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InkAnnotation="0" autoCompressPictures="0"/>
  <mc:AlternateContent xmlns:mc="http://schemas.openxmlformats.org/markup-compatibility/2006">
    <mc:Choice Requires="x15">
      <x15ac:absPath xmlns:x15ac="http://schemas.microsoft.com/office/spreadsheetml/2010/11/ac" url="\\sosiknas1.whoi.edu\Lab_data\LTER\HPLC\data\"/>
    </mc:Choice>
  </mc:AlternateContent>
  <xr:revisionPtr revIDLastSave="0" documentId="13_ncr:1_{B3380D39-5903-4FEF-9F04-B89D23B0E95A}" xr6:coauthVersionLast="47" xr6:coauthVersionMax="47" xr10:uidLastSave="{00000000-0000-0000-0000-000000000000}"/>
  <bookViews>
    <workbookView xWindow="-28920" yWindow="-120" windowWidth="29040" windowHeight="17640" xr2:uid="{81248BF0-CB8D-4513-BD17-A8AF7992273C}"/>
  </bookViews>
  <sheets>
    <sheet name="Report" sheetId="47" r:id="rId1"/>
    <sheet name="Analysis precision" sheetId="63" r:id="rId2"/>
    <sheet name="Replicate filter precision" sheetId="62" r:id="rId3"/>
    <sheet name="Eff LOQ chart" sheetId="61" r:id="rId4"/>
    <sheet name="Effective LOQ" sheetId="46" r:id="rId5"/>
    <sheet name="SS from PSO" sheetId="45" r:id="rId6"/>
    <sheet name="information" sheetId="56" r:id="rId7"/>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 i="62" l="1"/>
  <c r="C2" i="62"/>
  <c r="C1" i="62"/>
  <c r="C3" i="63"/>
  <c r="C2" i="63"/>
  <c r="C1" i="63"/>
  <c r="AU12" i="63" l="1"/>
  <c r="AE12" i="63"/>
  <c r="BJ11" i="63"/>
  <c r="BI11" i="63"/>
  <c r="BH11" i="63"/>
  <c r="BG11" i="63"/>
  <c r="BF11" i="63"/>
  <c r="BE11" i="63"/>
  <c r="BD11" i="63"/>
  <c r="BC11" i="63"/>
  <c r="BB11" i="63"/>
  <c r="BA11" i="63"/>
  <c r="AZ11" i="63"/>
  <c r="AY11" i="63"/>
  <c r="AX11" i="63"/>
  <c r="AW11" i="63"/>
  <c r="AV11" i="63"/>
  <c r="AU11" i="63"/>
  <c r="AT11" i="63"/>
  <c r="AS11" i="63"/>
  <c r="AR11" i="63"/>
  <c r="AQ11" i="63"/>
  <c r="AP11" i="63"/>
  <c r="AO11" i="63"/>
  <c r="AN11" i="63"/>
  <c r="AM11" i="63"/>
  <c r="AL11" i="63"/>
  <c r="AK11" i="63"/>
  <c r="AJ11" i="63"/>
  <c r="AI11" i="63"/>
  <c r="AH11" i="63"/>
  <c r="AG11" i="63"/>
  <c r="AF11" i="63"/>
  <c r="AE11" i="63"/>
  <c r="AD11" i="63"/>
  <c r="AC11" i="63"/>
  <c r="AB11" i="63"/>
  <c r="AA11" i="63"/>
  <c r="Z11" i="63"/>
  <c r="Y11" i="63"/>
  <c r="X11" i="63"/>
  <c r="W11" i="63"/>
  <c r="V11" i="63"/>
  <c r="BJ10" i="63"/>
  <c r="BJ12" i="63" s="1"/>
  <c r="BI10" i="63"/>
  <c r="BH10" i="63"/>
  <c r="BG10" i="63"/>
  <c r="BG12" i="63" s="1"/>
  <c r="BF10" i="63"/>
  <c r="BF12" i="63" s="1"/>
  <c r="BE10" i="63"/>
  <c r="BD10" i="63"/>
  <c r="BC10" i="63"/>
  <c r="BC12" i="63" s="1"/>
  <c r="BB10" i="63"/>
  <c r="BB12" i="63" s="1"/>
  <c r="BA10" i="63"/>
  <c r="AZ10" i="63"/>
  <c r="AY10" i="63"/>
  <c r="AY12" i="63" s="1"/>
  <c r="AX10" i="63"/>
  <c r="AX12" i="63" s="1"/>
  <c r="AW10" i="63"/>
  <c r="AV10" i="63"/>
  <c r="AU10" i="63"/>
  <c r="AT10" i="63"/>
  <c r="AT12" i="63" s="1"/>
  <c r="AS10" i="63"/>
  <c r="AR10" i="63"/>
  <c r="AQ10" i="63"/>
  <c r="AQ12" i="63" s="1"/>
  <c r="AP10" i="63"/>
  <c r="AP12" i="63" s="1"/>
  <c r="AO10" i="63"/>
  <c r="AN10" i="63"/>
  <c r="AM10" i="63"/>
  <c r="AM12" i="63" s="1"/>
  <c r="AL10" i="63"/>
  <c r="AL12" i="63" s="1"/>
  <c r="AK10" i="63"/>
  <c r="AJ10" i="63"/>
  <c r="AI10" i="63"/>
  <c r="AI12" i="63" s="1"/>
  <c r="AH10" i="63"/>
  <c r="AH12" i="63" s="1"/>
  <c r="AG10" i="63"/>
  <c r="AF10" i="63"/>
  <c r="AE10" i="63"/>
  <c r="AD10" i="63"/>
  <c r="AD12" i="63" s="1"/>
  <c r="AC10" i="63"/>
  <c r="AB10" i="63"/>
  <c r="AA10" i="63"/>
  <c r="AA12" i="63" s="1"/>
  <c r="Z10" i="63"/>
  <c r="Z12" i="63" s="1"/>
  <c r="Y10" i="63"/>
  <c r="X10" i="63"/>
  <c r="W10" i="63"/>
  <c r="W12" i="63" s="1"/>
  <c r="V10" i="63"/>
  <c r="V12" i="63" s="1"/>
  <c r="Y12" i="63" l="1"/>
  <c r="AC12" i="63"/>
  <c r="AG12" i="63"/>
  <c r="AK12" i="63"/>
  <c r="AO12" i="63"/>
  <c r="AS12" i="63"/>
  <c r="AW12" i="63"/>
  <c r="BA12" i="63"/>
  <c r="BE12" i="63"/>
  <c r="BI12" i="63"/>
  <c r="X12" i="63"/>
  <c r="BL12" i="63" s="1"/>
  <c r="AB12" i="63"/>
  <c r="AF12" i="63"/>
  <c r="AJ12" i="63"/>
  <c r="AN12" i="63"/>
  <c r="AR12" i="63"/>
  <c r="AV12" i="63"/>
  <c r="AZ12" i="63"/>
  <c r="BD12" i="63"/>
  <c r="BH12" i="63"/>
  <c r="BK12" i="63"/>
  <c r="BJ106" i="62" l="1"/>
  <c r="BI106" i="62"/>
  <c r="BH106" i="62"/>
  <c r="BG106" i="62"/>
  <c r="BF106" i="62"/>
  <c r="BE106" i="62"/>
  <c r="BD106" i="62"/>
  <c r="BC106" i="62"/>
  <c r="BB106" i="62"/>
  <c r="BA106" i="62"/>
  <c r="AZ106" i="62"/>
  <c r="AY106" i="62"/>
  <c r="AX106" i="62"/>
  <c r="AW106" i="62"/>
  <c r="AV106" i="62"/>
  <c r="AU106" i="62"/>
  <c r="AT106" i="62"/>
  <c r="AS106" i="62"/>
  <c r="AR106" i="62"/>
  <c r="AQ106" i="62"/>
  <c r="AP106" i="62"/>
  <c r="AO106" i="62"/>
  <c r="AN106" i="62"/>
  <c r="AM106" i="62"/>
  <c r="AL106" i="62"/>
  <c r="AK106" i="62"/>
  <c r="AJ106" i="62"/>
  <c r="AI106" i="62"/>
  <c r="AH106" i="62"/>
  <c r="AG106" i="62"/>
  <c r="AF106" i="62"/>
  <c r="AE106" i="62"/>
  <c r="AD106" i="62"/>
  <c r="AC106" i="62"/>
  <c r="AB106" i="62"/>
  <c r="AA106" i="62"/>
  <c r="Z106" i="62"/>
  <c r="Y106" i="62"/>
  <c r="X106" i="62"/>
  <c r="W106" i="62"/>
  <c r="V106" i="62"/>
  <c r="BJ105" i="62"/>
  <c r="BI105" i="62"/>
  <c r="BI107" i="62" s="1"/>
  <c r="BH105" i="62"/>
  <c r="BG105" i="62"/>
  <c r="BF105" i="62"/>
  <c r="BE105" i="62"/>
  <c r="BE107" i="62" s="1"/>
  <c r="BD105" i="62"/>
  <c r="BC105" i="62"/>
  <c r="BB105" i="62"/>
  <c r="BA105" i="62"/>
  <c r="BA107" i="62" s="1"/>
  <c r="AZ105" i="62"/>
  <c r="AY105" i="62"/>
  <c r="AX105" i="62"/>
  <c r="AW105" i="62"/>
  <c r="AW107" i="62" s="1"/>
  <c r="AV105" i="62"/>
  <c r="AU105" i="62"/>
  <c r="AU107" i="62" s="1"/>
  <c r="AT105" i="62"/>
  <c r="AS105" i="62"/>
  <c r="AS107" i="62" s="1"/>
  <c r="AR105" i="62"/>
  <c r="AQ105" i="62"/>
  <c r="AP105" i="62"/>
  <c r="AO105" i="62"/>
  <c r="AO107" i="62" s="1"/>
  <c r="AN105" i="62"/>
  <c r="AM105" i="62"/>
  <c r="AL105" i="62"/>
  <c r="AL107" i="62" s="1"/>
  <c r="AK105" i="62"/>
  <c r="AK107" i="62" s="1"/>
  <c r="AJ105" i="62"/>
  <c r="AI105" i="62"/>
  <c r="AI107" i="62" s="1"/>
  <c r="AH105" i="62"/>
  <c r="AG105" i="62"/>
  <c r="AG107" i="62" s="1"/>
  <c r="AF105" i="62"/>
  <c r="AF107" i="62" s="1"/>
  <c r="AE105" i="62"/>
  <c r="AD105" i="62"/>
  <c r="AC105" i="62"/>
  <c r="AC107" i="62" s="1"/>
  <c r="AB105" i="62"/>
  <c r="AA105" i="62"/>
  <c r="Z105" i="62"/>
  <c r="Y105" i="62"/>
  <c r="Y107" i="62" s="1"/>
  <c r="X105" i="62"/>
  <c r="W105" i="62"/>
  <c r="V105" i="62"/>
  <c r="BJ101" i="62"/>
  <c r="BI101" i="62"/>
  <c r="BH101" i="62"/>
  <c r="BG101" i="62"/>
  <c r="BF101" i="62"/>
  <c r="BE101" i="62"/>
  <c r="BD101" i="62"/>
  <c r="BC101" i="62"/>
  <c r="BB101" i="62"/>
  <c r="BA101" i="62"/>
  <c r="AZ101" i="62"/>
  <c r="AY101" i="62"/>
  <c r="AX101" i="62"/>
  <c r="AW101" i="62"/>
  <c r="AV101" i="62"/>
  <c r="AU101" i="62"/>
  <c r="AT101" i="62"/>
  <c r="AS101" i="62"/>
  <c r="AR101" i="62"/>
  <c r="AQ101" i="62"/>
  <c r="AP101" i="62"/>
  <c r="AO101" i="62"/>
  <c r="AN101" i="62"/>
  <c r="AM101" i="62"/>
  <c r="AL101" i="62"/>
  <c r="AK101" i="62"/>
  <c r="AJ101" i="62"/>
  <c r="AI101" i="62"/>
  <c r="AH101" i="62"/>
  <c r="AG101" i="62"/>
  <c r="AF101" i="62"/>
  <c r="AE101" i="62"/>
  <c r="AD101" i="62"/>
  <c r="AC101" i="62"/>
  <c r="AB101" i="62"/>
  <c r="AA101" i="62"/>
  <c r="Z101" i="62"/>
  <c r="Y101" i="62"/>
  <c r="X101" i="62"/>
  <c r="W101" i="62"/>
  <c r="V101" i="62"/>
  <c r="BJ100" i="62"/>
  <c r="BI100" i="62"/>
  <c r="BI102" i="62" s="1"/>
  <c r="BH100" i="62"/>
  <c r="BG100" i="62"/>
  <c r="BF100" i="62"/>
  <c r="BE100" i="62"/>
  <c r="BE102" i="62" s="1"/>
  <c r="BD100" i="62"/>
  <c r="BC100" i="62"/>
  <c r="BB100" i="62"/>
  <c r="BA100" i="62"/>
  <c r="BA102" i="62" s="1"/>
  <c r="AZ100" i="62"/>
  <c r="AY100" i="62"/>
  <c r="AX100" i="62"/>
  <c r="AW100" i="62"/>
  <c r="AW102" i="62" s="1"/>
  <c r="AV100" i="62"/>
  <c r="AU100" i="62"/>
  <c r="AU102" i="62" s="1"/>
  <c r="AT100" i="62"/>
  <c r="AS100" i="62"/>
  <c r="AS102" i="62" s="1"/>
  <c r="AR100" i="62"/>
  <c r="AQ100" i="62"/>
  <c r="AP100" i="62"/>
  <c r="AO100" i="62"/>
  <c r="AO102" i="62" s="1"/>
  <c r="AN100" i="62"/>
  <c r="AM100" i="62"/>
  <c r="AL100" i="62"/>
  <c r="AL102" i="62" s="1"/>
  <c r="AK100" i="62"/>
  <c r="AK102" i="62" s="1"/>
  <c r="AJ100" i="62"/>
  <c r="AI100" i="62"/>
  <c r="AI102" i="62" s="1"/>
  <c r="AH100" i="62"/>
  <c r="AG100" i="62"/>
  <c r="AG102" i="62" s="1"/>
  <c r="AF100" i="62"/>
  <c r="AE100" i="62"/>
  <c r="AD100" i="62"/>
  <c r="AC100" i="62"/>
  <c r="AC102" i="62" s="1"/>
  <c r="AB100" i="62"/>
  <c r="AA100" i="62"/>
  <c r="Z100" i="62"/>
  <c r="Y100" i="62"/>
  <c r="Y102" i="62" s="1"/>
  <c r="X100" i="62"/>
  <c r="W100" i="62"/>
  <c r="V100" i="62"/>
  <c r="AP97" i="62"/>
  <c r="AD97" i="62"/>
  <c r="BJ96" i="62"/>
  <c r="BI96" i="62"/>
  <c r="BH96" i="62"/>
  <c r="BG96" i="62"/>
  <c r="BF96" i="62"/>
  <c r="BE96" i="62"/>
  <c r="BD96" i="62"/>
  <c r="BC96" i="62"/>
  <c r="BB96" i="62"/>
  <c r="BA96" i="62"/>
  <c r="AZ96" i="62"/>
  <c r="AY96" i="62"/>
  <c r="AX96" i="62"/>
  <c r="AW96" i="62"/>
  <c r="AV96" i="62"/>
  <c r="AU96" i="62"/>
  <c r="AT96" i="62"/>
  <c r="AS96" i="62"/>
  <c r="AR96" i="62"/>
  <c r="AQ96" i="62"/>
  <c r="AP96" i="62"/>
  <c r="AO96" i="62"/>
  <c r="AN96" i="62"/>
  <c r="AM96" i="62"/>
  <c r="AL96" i="62"/>
  <c r="AK96" i="62"/>
  <c r="AJ96" i="62"/>
  <c r="AI96" i="62"/>
  <c r="AH96" i="62"/>
  <c r="AG96" i="62"/>
  <c r="AF96" i="62"/>
  <c r="AE96" i="62"/>
  <c r="AD96" i="62"/>
  <c r="AC96" i="62"/>
  <c r="AB96" i="62"/>
  <c r="AA96" i="62"/>
  <c r="Z96" i="62"/>
  <c r="Y96" i="62"/>
  <c r="X96" i="62"/>
  <c r="W96" i="62"/>
  <c r="V96" i="62"/>
  <c r="BJ95" i="62"/>
  <c r="BJ97" i="62" s="1"/>
  <c r="BI95" i="62"/>
  <c r="BH95" i="62"/>
  <c r="BG95" i="62"/>
  <c r="BF95" i="62"/>
  <c r="BF97" i="62" s="1"/>
  <c r="BE95" i="62"/>
  <c r="BD95" i="62"/>
  <c r="BC95" i="62"/>
  <c r="BB95" i="62"/>
  <c r="BB97" i="62" s="1"/>
  <c r="BA95" i="62"/>
  <c r="AZ95" i="62"/>
  <c r="AY95" i="62"/>
  <c r="AX95" i="62"/>
  <c r="AX97" i="62" s="1"/>
  <c r="AW95" i="62"/>
  <c r="AV95" i="62"/>
  <c r="AU95" i="62"/>
  <c r="AU97" i="62" s="1"/>
  <c r="AT95" i="62"/>
  <c r="AT97" i="62" s="1"/>
  <c r="AS95" i="62"/>
  <c r="AR95" i="62"/>
  <c r="AQ95" i="62"/>
  <c r="AP95" i="62"/>
  <c r="AO95" i="62"/>
  <c r="AO97" i="62" s="1"/>
  <c r="AN95" i="62"/>
  <c r="AM95" i="62"/>
  <c r="AL95" i="62"/>
  <c r="AL97" i="62" s="1"/>
  <c r="AK95" i="62"/>
  <c r="AK97" i="62" s="1"/>
  <c r="AJ95" i="62"/>
  <c r="AI95" i="62"/>
  <c r="AI97" i="62" s="1"/>
  <c r="AH95" i="62"/>
  <c r="AH97" i="62" s="1"/>
  <c r="AG95" i="62"/>
  <c r="AG97" i="62" s="1"/>
  <c r="AF95" i="62"/>
  <c r="AE95" i="62"/>
  <c r="AD95" i="62"/>
  <c r="AC95" i="62"/>
  <c r="AC97" i="62" s="1"/>
  <c r="AB95" i="62"/>
  <c r="AA95" i="62"/>
  <c r="Z95" i="62"/>
  <c r="Z97" i="62" s="1"/>
  <c r="Y95" i="62"/>
  <c r="Y97" i="62" s="1"/>
  <c r="X95" i="62"/>
  <c r="W95" i="62"/>
  <c r="V95" i="62"/>
  <c r="V97" i="62" s="1"/>
  <c r="BG92" i="62"/>
  <c r="BJ91" i="62"/>
  <c r="BI91" i="62"/>
  <c r="BH91" i="62"/>
  <c r="BG91" i="62"/>
  <c r="BF91" i="62"/>
  <c r="BE91" i="62"/>
  <c r="BD91" i="62"/>
  <c r="BC91" i="62"/>
  <c r="BB91" i="62"/>
  <c r="BA91" i="62"/>
  <c r="AZ91" i="62"/>
  <c r="AY91" i="62"/>
  <c r="AX91" i="62"/>
  <c r="AW91" i="62"/>
  <c r="AV91" i="62"/>
  <c r="AU91" i="62"/>
  <c r="AT91" i="62"/>
  <c r="AS91" i="62"/>
  <c r="AR91" i="62"/>
  <c r="AQ91" i="62"/>
  <c r="AP91" i="62"/>
  <c r="AO91" i="62"/>
  <c r="AN91" i="62"/>
  <c r="AM91" i="62"/>
  <c r="AL91" i="62"/>
  <c r="AK91" i="62"/>
  <c r="AJ91" i="62"/>
  <c r="AI91" i="62"/>
  <c r="AH91" i="62"/>
  <c r="AG91" i="62"/>
  <c r="AF91" i="62"/>
  <c r="AE91" i="62"/>
  <c r="AD91" i="62"/>
  <c r="AC91" i="62"/>
  <c r="AB91" i="62"/>
  <c r="AA91" i="62"/>
  <c r="Z91" i="62"/>
  <c r="Y91" i="62"/>
  <c r="X91" i="62"/>
  <c r="W91" i="62"/>
  <c r="V91" i="62"/>
  <c r="BJ90" i="62"/>
  <c r="BI90" i="62"/>
  <c r="BI92" i="62" s="1"/>
  <c r="BH90" i="62"/>
  <c r="BG90" i="62"/>
  <c r="BF90" i="62"/>
  <c r="BE90" i="62"/>
  <c r="BE92" i="62" s="1"/>
  <c r="BD90" i="62"/>
  <c r="BC90" i="62"/>
  <c r="BC92" i="62" s="1"/>
  <c r="BB90" i="62"/>
  <c r="BA90" i="62"/>
  <c r="BA92" i="62" s="1"/>
  <c r="AZ90" i="62"/>
  <c r="AY90" i="62"/>
  <c r="AY92" i="62" s="1"/>
  <c r="AX90" i="62"/>
  <c r="AW90" i="62"/>
  <c r="AW92" i="62" s="1"/>
  <c r="AV90" i="62"/>
  <c r="AU90" i="62"/>
  <c r="AU92" i="62" s="1"/>
  <c r="AT90" i="62"/>
  <c r="AS90" i="62"/>
  <c r="AS92" i="62" s="1"/>
  <c r="AR90" i="62"/>
  <c r="AQ90" i="62"/>
  <c r="AQ92" i="62" s="1"/>
  <c r="AP90" i="62"/>
  <c r="AO90" i="62"/>
  <c r="AO92" i="62" s="1"/>
  <c r="AN90" i="62"/>
  <c r="AM90" i="62"/>
  <c r="AM92" i="62" s="1"/>
  <c r="AL90" i="62"/>
  <c r="AL92" i="62" s="1"/>
  <c r="AK90" i="62"/>
  <c r="AK92" i="62" s="1"/>
  <c r="AJ90" i="62"/>
  <c r="AI90" i="62"/>
  <c r="AI92" i="62" s="1"/>
  <c r="AH90" i="62"/>
  <c r="AG90" i="62"/>
  <c r="AG92" i="62" s="1"/>
  <c r="AF90" i="62"/>
  <c r="AE90" i="62"/>
  <c r="AE92" i="62" s="1"/>
  <c r="AD90" i="62"/>
  <c r="AC90" i="62"/>
  <c r="AC92" i="62" s="1"/>
  <c r="AB90" i="62"/>
  <c r="AA90" i="62"/>
  <c r="AA92" i="62" s="1"/>
  <c r="Z90" i="62"/>
  <c r="Y90" i="62"/>
  <c r="Y92" i="62" s="1"/>
  <c r="X90" i="62"/>
  <c r="W90" i="62"/>
  <c r="W92" i="62" s="1"/>
  <c r="V90" i="62"/>
  <c r="AR87" i="62"/>
  <c r="BJ86" i="62"/>
  <c r="BI86" i="62"/>
  <c r="BI87" i="62" s="1"/>
  <c r="BH86" i="62"/>
  <c r="BH87" i="62" s="1"/>
  <c r="BG86" i="62"/>
  <c r="BF86" i="62"/>
  <c r="BE86" i="62"/>
  <c r="BE87" i="62" s="1"/>
  <c r="BD86" i="62"/>
  <c r="BC86" i="62"/>
  <c r="BB86" i="62"/>
  <c r="BA86" i="62"/>
  <c r="BA87" i="62" s="1"/>
  <c r="AZ86" i="62"/>
  <c r="AZ87" i="62" s="1"/>
  <c r="AY86" i="62"/>
  <c r="AX86" i="62"/>
  <c r="AW86" i="62"/>
  <c r="AW87" i="62" s="1"/>
  <c r="AV86" i="62"/>
  <c r="AV87" i="62" s="1"/>
  <c r="AU86" i="62"/>
  <c r="AT86" i="62"/>
  <c r="AS86" i="62"/>
  <c r="AS87" i="62" s="1"/>
  <c r="AR86" i="62"/>
  <c r="AQ86" i="62"/>
  <c r="AP86" i="62"/>
  <c r="AO86" i="62"/>
  <c r="AO87" i="62" s="1"/>
  <c r="AN86" i="62"/>
  <c r="AM86" i="62"/>
  <c r="AL86" i="62"/>
  <c r="AK86" i="62"/>
  <c r="AK87" i="62" s="1"/>
  <c r="AJ86" i="62"/>
  <c r="AJ87" i="62" s="1"/>
  <c r="AI86" i="62"/>
  <c r="AH86" i="62"/>
  <c r="AG86" i="62"/>
  <c r="AG87" i="62" s="1"/>
  <c r="AF86" i="62"/>
  <c r="AF87" i="62" s="1"/>
  <c r="AE86" i="62"/>
  <c r="AD86" i="62"/>
  <c r="AC86" i="62"/>
  <c r="AC87" i="62" s="1"/>
  <c r="AB86" i="62"/>
  <c r="AA86" i="62"/>
  <c r="Z86" i="62"/>
  <c r="Y86" i="62"/>
  <c r="Y87" i="62" s="1"/>
  <c r="X86" i="62"/>
  <c r="W86" i="62"/>
  <c r="V86" i="62"/>
  <c r="BJ85" i="62"/>
  <c r="BJ87" i="62" s="1"/>
  <c r="BI85" i="62"/>
  <c r="BH85" i="62"/>
  <c r="BG85" i="62"/>
  <c r="BG87" i="62" s="1"/>
  <c r="BF85" i="62"/>
  <c r="BF87" i="62" s="1"/>
  <c r="BE85" i="62"/>
  <c r="BD85" i="62"/>
  <c r="BC85" i="62"/>
  <c r="BC87" i="62" s="1"/>
  <c r="BB85" i="62"/>
  <c r="BB87" i="62" s="1"/>
  <c r="BA85" i="62"/>
  <c r="AZ85" i="62"/>
  <c r="AY85" i="62"/>
  <c r="AY87" i="62" s="1"/>
  <c r="AX85" i="62"/>
  <c r="AX87" i="62" s="1"/>
  <c r="AW85" i="62"/>
  <c r="AV85" i="62"/>
  <c r="AU85" i="62"/>
  <c r="AU87" i="62" s="1"/>
  <c r="AT85" i="62"/>
  <c r="AT87" i="62" s="1"/>
  <c r="AS85" i="62"/>
  <c r="AR85" i="62"/>
  <c r="AQ85" i="62"/>
  <c r="AQ87" i="62" s="1"/>
  <c r="AP85" i="62"/>
  <c r="AP87" i="62" s="1"/>
  <c r="AO85" i="62"/>
  <c r="AN85" i="62"/>
  <c r="AM85" i="62"/>
  <c r="AM87" i="62" s="1"/>
  <c r="AL85" i="62"/>
  <c r="AL87" i="62" s="1"/>
  <c r="AK85" i="62"/>
  <c r="AJ85" i="62"/>
  <c r="AI85" i="62"/>
  <c r="AI87" i="62" s="1"/>
  <c r="AH85" i="62"/>
  <c r="AH87" i="62" s="1"/>
  <c r="AG85" i="62"/>
  <c r="AF85" i="62"/>
  <c r="AE85" i="62"/>
  <c r="AE87" i="62" s="1"/>
  <c r="AD85" i="62"/>
  <c r="AD87" i="62" s="1"/>
  <c r="AC85" i="62"/>
  <c r="AB85" i="62"/>
  <c r="AB87" i="62" s="1"/>
  <c r="AA85" i="62"/>
  <c r="AA87" i="62" s="1"/>
  <c r="Z85" i="62"/>
  <c r="Z87" i="62" s="1"/>
  <c r="Y85" i="62"/>
  <c r="X85" i="62"/>
  <c r="W85" i="62"/>
  <c r="W87" i="62" s="1"/>
  <c r="V85" i="62"/>
  <c r="V87" i="62" s="1"/>
  <c r="BJ81" i="62"/>
  <c r="BI81" i="62"/>
  <c r="BH81" i="62"/>
  <c r="BG81" i="62"/>
  <c r="BF81" i="62"/>
  <c r="BE81" i="62"/>
  <c r="BD81" i="62"/>
  <c r="BC81" i="62"/>
  <c r="BB81" i="62"/>
  <c r="BA81" i="62"/>
  <c r="AZ81" i="62"/>
  <c r="AY81" i="62"/>
  <c r="AX81" i="62"/>
  <c r="AW81" i="62"/>
  <c r="AV81" i="62"/>
  <c r="AU81" i="62"/>
  <c r="AT81" i="62"/>
  <c r="AS81" i="62"/>
  <c r="AR81" i="62"/>
  <c r="AQ81" i="62"/>
  <c r="AP81" i="62"/>
  <c r="AO81" i="62"/>
  <c r="AN81" i="62"/>
  <c r="AM81" i="62"/>
  <c r="AL81" i="62"/>
  <c r="AK81" i="62"/>
  <c r="AJ81" i="62"/>
  <c r="AI81" i="62"/>
  <c r="AH81" i="62"/>
  <c r="AG81" i="62"/>
  <c r="AF81" i="62"/>
  <c r="AE81" i="62"/>
  <c r="AD81" i="62"/>
  <c r="AC81" i="62"/>
  <c r="AB81" i="62"/>
  <c r="AA81" i="62"/>
  <c r="AA82" i="62" s="1"/>
  <c r="Z81" i="62"/>
  <c r="Y81" i="62"/>
  <c r="X81" i="62"/>
  <c r="W81" i="62"/>
  <c r="V81" i="62"/>
  <c r="BJ80" i="62"/>
  <c r="BI80" i="62"/>
  <c r="BI82" i="62" s="1"/>
  <c r="BH80" i="62"/>
  <c r="BG80" i="62"/>
  <c r="BF80" i="62"/>
  <c r="BE80" i="62"/>
  <c r="BE82" i="62" s="1"/>
  <c r="BD80" i="62"/>
  <c r="BC80" i="62"/>
  <c r="BB80" i="62"/>
  <c r="BA80" i="62"/>
  <c r="BA82" i="62" s="1"/>
  <c r="AZ80" i="62"/>
  <c r="AY80" i="62"/>
  <c r="AX80" i="62"/>
  <c r="AW80" i="62"/>
  <c r="AW82" i="62" s="1"/>
  <c r="AV80" i="62"/>
  <c r="AU80" i="62"/>
  <c r="AU82" i="62" s="1"/>
  <c r="AT80" i="62"/>
  <c r="AS80" i="62"/>
  <c r="AS82" i="62" s="1"/>
  <c r="AR80" i="62"/>
  <c r="AQ80" i="62"/>
  <c r="AP80" i="62"/>
  <c r="AO80" i="62"/>
  <c r="AO82" i="62" s="1"/>
  <c r="AN80" i="62"/>
  <c r="AM80" i="62"/>
  <c r="AL80" i="62"/>
  <c r="AL82" i="62" s="1"/>
  <c r="AK80" i="62"/>
  <c r="AK82" i="62" s="1"/>
  <c r="AJ80" i="62"/>
  <c r="AI80" i="62"/>
  <c r="AI82" i="62" s="1"/>
  <c r="AH80" i="62"/>
  <c r="AG80" i="62"/>
  <c r="AG82" i="62" s="1"/>
  <c r="AF80" i="62"/>
  <c r="AE80" i="62"/>
  <c r="AD80" i="62"/>
  <c r="AC80" i="62"/>
  <c r="AC82" i="62" s="1"/>
  <c r="AB80" i="62"/>
  <c r="AA80" i="62"/>
  <c r="Z80" i="62"/>
  <c r="Y80" i="62"/>
  <c r="Y82" i="62" s="1"/>
  <c r="X80" i="62"/>
  <c r="W80" i="62"/>
  <c r="V80" i="62"/>
  <c r="AN77" i="62"/>
  <c r="BJ76" i="62"/>
  <c r="BI76" i="62"/>
  <c r="BH76" i="62"/>
  <c r="BH77" i="62" s="1"/>
  <c r="BG76" i="62"/>
  <c r="BF76" i="62"/>
  <c r="BE76" i="62"/>
  <c r="BD76" i="62"/>
  <c r="BD77" i="62" s="1"/>
  <c r="BC76" i="62"/>
  <c r="BB76" i="62"/>
  <c r="BA76" i="62"/>
  <c r="AZ76" i="62"/>
  <c r="AZ77" i="62" s="1"/>
  <c r="AY76" i="62"/>
  <c r="AX76" i="62"/>
  <c r="AW76" i="62"/>
  <c r="AV76" i="62"/>
  <c r="AV77" i="62" s="1"/>
  <c r="AU76" i="62"/>
  <c r="AT76" i="62"/>
  <c r="AS76" i="62"/>
  <c r="AR76" i="62"/>
  <c r="AQ76" i="62"/>
  <c r="AP76" i="62"/>
  <c r="AO76" i="62"/>
  <c r="AN76" i="62"/>
  <c r="AM76" i="62"/>
  <c r="AL76" i="62"/>
  <c r="AK76" i="62"/>
  <c r="AJ76" i="62"/>
  <c r="AJ77" i="62" s="1"/>
  <c r="AI76" i="62"/>
  <c r="AH76" i="62"/>
  <c r="AG76" i="62"/>
  <c r="AF76" i="62"/>
  <c r="AF77" i="62" s="1"/>
  <c r="AE76" i="62"/>
  <c r="AD76" i="62"/>
  <c r="AC76" i="62"/>
  <c r="AB76" i="62"/>
  <c r="AB77" i="62" s="1"/>
  <c r="AA76" i="62"/>
  <c r="Z76" i="62"/>
  <c r="Y76" i="62"/>
  <c r="X76" i="62"/>
  <c r="W76" i="62"/>
  <c r="V76" i="62"/>
  <c r="BJ75" i="62"/>
  <c r="BJ77" i="62" s="1"/>
  <c r="BI75" i="62"/>
  <c r="BH75" i="62"/>
  <c r="BG75" i="62"/>
  <c r="BG77" i="62" s="1"/>
  <c r="BF75" i="62"/>
  <c r="BF77" i="62" s="1"/>
  <c r="BE75" i="62"/>
  <c r="BD75" i="62"/>
  <c r="BC75" i="62"/>
  <c r="BC77" i="62" s="1"/>
  <c r="BB75" i="62"/>
  <c r="BB77" i="62" s="1"/>
  <c r="BA75" i="62"/>
  <c r="AZ75" i="62"/>
  <c r="AY75" i="62"/>
  <c r="AY77" i="62" s="1"/>
  <c r="AX75" i="62"/>
  <c r="AX77" i="62" s="1"/>
  <c r="AW75" i="62"/>
  <c r="AV75" i="62"/>
  <c r="AU75" i="62"/>
  <c r="AU77" i="62" s="1"/>
  <c r="AT75" i="62"/>
  <c r="AT77" i="62" s="1"/>
  <c r="AS75" i="62"/>
  <c r="AR75" i="62"/>
  <c r="AQ75" i="62"/>
  <c r="AQ77" i="62" s="1"/>
  <c r="AP75" i="62"/>
  <c r="AP77" i="62" s="1"/>
  <c r="AO75" i="62"/>
  <c r="AN75" i="62"/>
  <c r="AM75" i="62"/>
  <c r="AM77" i="62" s="1"/>
  <c r="AL75" i="62"/>
  <c r="AL77" i="62" s="1"/>
  <c r="AK75" i="62"/>
  <c r="AJ75" i="62"/>
  <c r="AI75" i="62"/>
  <c r="AI77" i="62" s="1"/>
  <c r="AH75" i="62"/>
  <c r="AH77" i="62" s="1"/>
  <c r="AG75" i="62"/>
  <c r="AF75" i="62"/>
  <c r="AE75" i="62"/>
  <c r="AE77" i="62" s="1"/>
  <c r="AD75" i="62"/>
  <c r="AD77" i="62" s="1"/>
  <c r="AC75" i="62"/>
  <c r="AB75" i="62"/>
  <c r="AA75" i="62"/>
  <c r="AA77" i="62" s="1"/>
  <c r="Z75" i="62"/>
  <c r="Z77" i="62" s="1"/>
  <c r="Y75" i="62"/>
  <c r="X75" i="62"/>
  <c r="W75" i="62"/>
  <c r="W77" i="62" s="1"/>
  <c r="V75" i="62"/>
  <c r="V77" i="62" s="1"/>
  <c r="BK77" i="62" s="1"/>
  <c r="AU72" i="62"/>
  <c r="BJ71" i="62"/>
  <c r="BI71" i="62"/>
  <c r="BH71" i="62"/>
  <c r="BG71" i="62"/>
  <c r="BG72" i="62" s="1"/>
  <c r="BF71" i="62"/>
  <c r="BE71" i="62"/>
  <c r="BD71" i="62"/>
  <c r="BC71" i="62"/>
  <c r="BB71" i="62"/>
  <c r="BA71" i="62"/>
  <c r="AZ71" i="62"/>
  <c r="AY71" i="62"/>
  <c r="AX71" i="62"/>
  <c r="AW71" i="62"/>
  <c r="AV71" i="62"/>
  <c r="AU71" i="62"/>
  <c r="AT71" i="62"/>
  <c r="AS71" i="62"/>
  <c r="AR71" i="62"/>
  <c r="AQ71" i="62"/>
  <c r="AP71" i="62"/>
  <c r="AO71" i="62"/>
  <c r="AN71" i="62"/>
  <c r="AM71" i="62"/>
  <c r="AL71" i="62"/>
  <c r="AK71" i="62"/>
  <c r="AJ71" i="62"/>
  <c r="AI71" i="62"/>
  <c r="AH71" i="62"/>
  <c r="AG71" i="62"/>
  <c r="AF71" i="62"/>
  <c r="AE71" i="62"/>
  <c r="AD71" i="62"/>
  <c r="AC71" i="62"/>
  <c r="AB71" i="62"/>
  <c r="AA71" i="62"/>
  <c r="Z71" i="62"/>
  <c r="Y71" i="62"/>
  <c r="X71" i="62"/>
  <c r="W71" i="62"/>
  <c r="V71" i="62"/>
  <c r="BJ70" i="62"/>
  <c r="BI70" i="62"/>
  <c r="BI72" i="62" s="1"/>
  <c r="BH70" i="62"/>
  <c r="BG70" i="62"/>
  <c r="BF70" i="62"/>
  <c r="BE70" i="62"/>
  <c r="BE72" i="62" s="1"/>
  <c r="BD70" i="62"/>
  <c r="BC70" i="62"/>
  <c r="BB70" i="62"/>
  <c r="BA70" i="62"/>
  <c r="BA72" i="62" s="1"/>
  <c r="AZ70" i="62"/>
  <c r="AY70" i="62"/>
  <c r="AX70" i="62"/>
  <c r="AW70" i="62"/>
  <c r="AW72" i="62" s="1"/>
  <c r="AV70" i="62"/>
  <c r="AU70" i="62"/>
  <c r="AT70" i="62"/>
  <c r="AS70" i="62"/>
  <c r="AS72" i="62" s="1"/>
  <c r="AR70" i="62"/>
  <c r="AQ70" i="62"/>
  <c r="AP70" i="62"/>
  <c r="AO70" i="62"/>
  <c r="AO72" i="62" s="1"/>
  <c r="AN70" i="62"/>
  <c r="AM70" i="62"/>
  <c r="AL70" i="62"/>
  <c r="AL72" i="62" s="1"/>
  <c r="AK70" i="62"/>
  <c r="AK72" i="62" s="1"/>
  <c r="AJ70" i="62"/>
  <c r="AI70" i="62"/>
  <c r="AI72" i="62" s="1"/>
  <c r="AH70" i="62"/>
  <c r="AG70" i="62"/>
  <c r="AG72" i="62" s="1"/>
  <c r="AF70" i="62"/>
  <c r="AE70" i="62"/>
  <c r="AD70" i="62"/>
  <c r="AC70" i="62"/>
  <c r="AC72" i="62" s="1"/>
  <c r="AB70" i="62"/>
  <c r="AA70" i="62"/>
  <c r="Z70" i="62"/>
  <c r="Y70" i="62"/>
  <c r="Y72" i="62" s="1"/>
  <c r="X70" i="62"/>
  <c r="W70" i="62"/>
  <c r="V70" i="62"/>
  <c r="BF67" i="62"/>
  <c r="AD67" i="62"/>
  <c r="BJ66" i="62"/>
  <c r="BI66" i="62"/>
  <c r="BH66" i="62"/>
  <c r="BG66" i="62"/>
  <c r="BF66" i="62"/>
  <c r="BE66" i="62"/>
  <c r="BD66" i="62"/>
  <c r="BC66" i="62"/>
  <c r="BB66" i="62"/>
  <c r="BA66" i="62"/>
  <c r="AZ66" i="62"/>
  <c r="AY66" i="62"/>
  <c r="AX66" i="62"/>
  <c r="AW66" i="62"/>
  <c r="AV66" i="62"/>
  <c r="AU66" i="62"/>
  <c r="AT66" i="62"/>
  <c r="AS66" i="62"/>
  <c r="AR66" i="62"/>
  <c r="AQ66" i="62"/>
  <c r="AP66" i="62"/>
  <c r="AO66" i="62"/>
  <c r="AN66" i="62"/>
  <c r="AM66" i="62"/>
  <c r="AL66" i="62"/>
  <c r="AK66" i="62"/>
  <c r="AJ66" i="62"/>
  <c r="AI66" i="62"/>
  <c r="AI67" i="62" s="1"/>
  <c r="AH66" i="62"/>
  <c r="AG66" i="62"/>
  <c r="AF66" i="62"/>
  <c r="AE66" i="62"/>
  <c r="AE67" i="62" s="1"/>
  <c r="AD66" i="62"/>
  <c r="AC66" i="62"/>
  <c r="AB66" i="62"/>
  <c r="AA66" i="62"/>
  <c r="AA67" i="62" s="1"/>
  <c r="Z66" i="62"/>
  <c r="Y66" i="62"/>
  <c r="X66" i="62"/>
  <c r="W66" i="62"/>
  <c r="W67" i="62" s="1"/>
  <c r="V66" i="62"/>
  <c r="BJ65" i="62"/>
  <c r="BI65" i="62"/>
  <c r="BH65" i="62"/>
  <c r="BH67" i="62" s="1"/>
  <c r="BG65" i="62"/>
  <c r="BF65" i="62"/>
  <c r="BE65" i="62"/>
  <c r="BD65" i="62"/>
  <c r="BD67" i="62" s="1"/>
  <c r="BC65" i="62"/>
  <c r="BB65" i="62"/>
  <c r="BA65" i="62"/>
  <c r="AZ65" i="62"/>
  <c r="AZ67" i="62" s="1"/>
  <c r="AY65" i="62"/>
  <c r="AX65" i="62"/>
  <c r="AW65" i="62"/>
  <c r="AV65" i="62"/>
  <c r="AV67" i="62" s="1"/>
  <c r="AU65" i="62"/>
  <c r="AU67" i="62" s="1"/>
  <c r="AT65" i="62"/>
  <c r="AS65" i="62"/>
  <c r="AR65" i="62"/>
  <c r="AR67" i="62" s="1"/>
  <c r="AQ65" i="62"/>
  <c r="AP65" i="62"/>
  <c r="AP67" i="62" s="1"/>
  <c r="AO65" i="62"/>
  <c r="AN65" i="62"/>
  <c r="AN67" i="62" s="1"/>
  <c r="AM65" i="62"/>
  <c r="AL65" i="62"/>
  <c r="AK65" i="62"/>
  <c r="AJ65" i="62"/>
  <c r="AJ67" i="62" s="1"/>
  <c r="AI65" i="62"/>
  <c r="AH65" i="62"/>
  <c r="AG65" i="62"/>
  <c r="AF65" i="62"/>
  <c r="AF67" i="62" s="1"/>
  <c r="AE65" i="62"/>
  <c r="AD65" i="62"/>
  <c r="AC65" i="62"/>
  <c r="AB65" i="62"/>
  <c r="AB67" i="62" s="1"/>
  <c r="AA65" i="62"/>
  <c r="Z65" i="62"/>
  <c r="Y65" i="62"/>
  <c r="X65" i="62"/>
  <c r="X67" i="62" s="1"/>
  <c r="W65" i="62"/>
  <c r="V65" i="62"/>
  <c r="AS62" i="62"/>
  <c r="BJ61" i="62"/>
  <c r="BI61" i="62"/>
  <c r="BH61" i="62"/>
  <c r="BG61" i="62"/>
  <c r="BF61" i="62"/>
  <c r="BE61" i="62"/>
  <c r="BD61" i="62"/>
  <c r="BC61" i="62"/>
  <c r="BB61" i="62"/>
  <c r="BA61" i="62"/>
  <c r="AZ61" i="62"/>
  <c r="AY61" i="62"/>
  <c r="AX61" i="62"/>
  <c r="AW61" i="62"/>
  <c r="AV61" i="62"/>
  <c r="AU61" i="62"/>
  <c r="AT61" i="62"/>
  <c r="AS61" i="62"/>
  <c r="AR61" i="62"/>
  <c r="AQ61" i="62"/>
  <c r="AP61" i="62"/>
  <c r="AO61" i="62"/>
  <c r="AN61" i="62"/>
  <c r="AM61" i="62"/>
  <c r="AL61" i="62"/>
  <c r="AK61" i="62"/>
  <c r="AJ61" i="62"/>
  <c r="AI61" i="62"/>
  <c r="AH61" i="62"/>
  <c r="AG61" i="62"/>
  <c r="AF61" i="62"/>
  <c r="AE61" i="62"/>
  <c r="AD61" i="62"/>
  <c r="AC61" i="62"/>
  <c r="AB61" i="62"/>
  <c r="AA61" i="62"/>
  <c r="Z61" i="62"/>
  <c r="Y61" i="62"/>
  <c r="X61" i="62"/>
  <c r="W61" i="62"/>
  <c r="V61" i="62"/>
  <c r="BJ60" i="62"/>
  <c r="BI60" i="62"/>
  <c r="BI62" i="62" s="1"/>
  <c r="BH60" i="62"/>
  <c r="BG60" i="62"/>
  <c r="BF60" i="62"/>
  <c r="BE60" i="62"/>
  <c r="BE62" i="62" s="1"/>
  <c r="BD60" i="62"/>
  <c r="BC60" i="62"/>
  <c r="BB60" i="62"/>
  <c r="BA60" i="62"/>
  <c r="BA62" i="62" s="1"/>
  <c r="AZ60" i="62"/>
  <c r="AY60" i="62"/>
  <c r="AX60" i="62"/>
  <c r="AW60" i="62"/>
  <c r="AW62" i="62" s="1"/>
  <c r="AV60" i="62"/>
  <c r="AU60" i="62"/>
  <c r="AU62" i="62" s="1"/>
  <c r="AT60" i="62"/>
  <c r="AS60" i="62"/>
  <c r="AR60" i="62"/>
  <c r="AQ60" i="62"/>
  <c r="AP60" i="62"/>
  <c r="AO60" i="62"/>
  <c r="AO62" i="62" s="1"/>
  <c r="AN60" i="62"/>
  <c r="AM60" i="62"/>
  <c r="AL60" i="62"/>
  <c r="AL62" i="62" s="1"/>
  <c r="AK60" i="62"/>
  <c r="AK62" i="62" s="1"/>
  <c r="AJ60" i="62"/>
  <c r="AI60" i="62"/>
  <c r="AI62" i="62" s="1"/>
  <c r="AH60" i="62"/>
  <c r="AG60" i="62"/>
  <c r="AG62" i="62" s="1"/>
  <c r="AF60" i="62"/>
  <c r="AE60" i="62"/>
  <c r="AD60" i="62"/>
  <c r="AC60" i="62"/>
  <c r="AC62" i="62" s="1"/>
  <c r="AB60" i="62"/>
  <c r="AA60" i="62"/>
  <c r="Z60" i="62"/>
  <c r="Y60" i="62"/>
  <c r="Y62" i="62" s="1"/>
  <c r="X60" i="62"/>
  <c r="W60" i="62"/>
  <c r="V60" i="62"/>
  <c r="BH57" i="62"/>
  <c r="AV57" i="62"/>
  <c r="AL57" i="62"/>
  <c r="BJ56" i="62"/>
  <c r="BI56" i="62"/>
  <c r="BH56" i="62"/>
  <c r="BG56" i="62"/>
  <c r="BF56" i="62"/>
  <c r="BE56" i="62"/>
  <c r="BE57" i="62" s="1"/>
  <c r="BD56" i="62"/>
  <c r="BC56" i="62"/>
  <c r="BB56" i="62"/>
  <c r="BA56" i="62"/>
  <c r="AZ56" i="62"/>
  <c r="AY56" i="62"/>
  <c r="AX56" i="62"/>
  <c r="AW56" i="62"/>
  <c r="AV56" i="62"/>
  <c r="AU56" i="62"/>
  <c r="AT56" i="62"/>
  <c r="AS56" i="62"/>
  <c r="AR56" i="62"/>
  <c r="AQ56" i="62"/>
  <c r="AP56" i="62"/>
  <c r="AO56" i="62"/>
  <c r="AO57" i="62" s="1"/>
  <c r="AN56" i="62"/>
  <c r="AM56" i="62"/>
  <c r="AL56" i="62"/>
  <c r="AK56" i="62"/>
  <c r="AK57" i="62" s="1"/>
  <c r="AJ56" i="62"/>
  <c r="AI56" i="62"/>
  <c r="AH56" i="62"/>
  <c r="AG56" i="62"/>
  <c r="AF56" i="62"/>
  <c r="AE56" i="62"/>
  <c r="AD56" i="62"/>
  <c r="AC56" i="62"/>
  <c r="AB56" i="62"/>
  <c r="AA56" i="62"/>
  <c r="Z56" i="62"/>
  <c r="Y56" i="62"/>
  <c r="Y57" i="62" s="1"/>
  <c r="X56" i="62"/>
  <c r="W56" i="62"/>
  <c r="V56" i="62"/>
  <c r="BJ55" i="62"/>
  <c r="BI55" i="62"/>
  <c r="BH55" i="62"/>
  <c r="BG55" i="62"/>
  <c r="BG57" i="62" s="1"/>
  <c r="BF55" i="62"/>
  <c r="BE55" i="62"/>
  <c r="BD55" i="62"/>
  <c r="BD57" i="62" s="1"/>
  <c r="BC55" i="62"/>
  <c r="BC57" i="62" s="1"/>
  <c r="BB55" i="62"/>
  <c r="BB57" i="62" s="1"/>
  <c r="BA55" i="62"/>
  <c r="AZ55" i="62"/>
  <c r="AZ57" i="62" s="1"/>
  <c r="AY55" i="62"/>
  <c r="AY57" i="62" s="1"/>
  <c r="AX55" i="62"/>
  <c r="AW55" i="62"/>
  <c r="AW57" i="62" s="1"/>
  <c r="AV55" i="62"/>
  <c r="AU55" i="62"/>
  <c r="AU57" i="62" s="1"/>
  <c r="AT55" i="62"/>
  <c r="AS55" i="62"/>
  <c r="AR55" i="62"/>
  <c r="AR57" i="62" s="1"/>
  <c r="AQ55" i="62"/>
  <c r="AQ57" i="62" s="1"/>
  <c r="AP55" i="62"/>
  <c r="AO55" i="62"/>
  <c r="AN55" i="62"/>
  <c r="AN57" i="62" s="1"/>
  <c r="AM55" i="62"/>
  <c r="AM57" i="62" s="1"/>
  <c r="AL55" i="62"/>
  <c r="AK55" i="62"/>
  <c r="AJ55" i="62"/>
  <c r="AJ57" i="62" s="1"/>
  <c r="AI55" i="62"/>
  <c r="AI57" i="62" s="1"/>
  <c r="AH55" i="62"/>
  <c r="AG55" i="62"/>
  <c r="AF55" i="62"/>
  <c r="AF57" i="62" s="1"/>
  <c r="AE55" i="62"/>
  <c r="AE57" i="62" s="1"/>
  <c r="AD55" i="62"/>
  <c r="AC55" i="62"/>
  <c r="AC57" i="62" s="1"/>
  <c r="AB55" i="62"/>
  <c r="AB57" i="62" s="1"/>
  <c r="AA55" i="62"/>
  <c r="AA57" i="62" s="1"/>
  <c r="Z55" i="62"/>
  <c r="Z57" i="62" s="1"/>
  <c r="Y55" i="62"/>
  <c r="X55" i="62"/>
  <c r="X57" i="62" s="1"/>
  <c r="W55" i="62"/>
  <c r="W57" i="62" s="1"/>
  <c r="V55" i="62"/>
  <c r="BJ51" i="62"/>
  <c r="BI51" i="62"/>
  <c r="BH51" i="62"/>
  <c r="BG51" i="62"/>
  <c r="BF51" i="62"/>
  <c r="BE51" i="62"/>
  <c r="BD51" i="62"/>
  <c r="BC51" i="62"/>
  <c r="BB51" i="62"/>
  <c r="BA51" i="62"/>
  <c r="AZ51" i="62"/>
  <c r="AY51" i="62"/>
  <c r="AX51" i="62"/>
  <c r="AW51" i="62"/>
  <c r="AV51" i="62"/>
  <c r="AU51" i="62"/>
  <c r="AT51" i="62"/>
  <c r="AS51" i="62"/>
  <c r="AR51" i="62"/>
  <c r="AQ51" i="62"/>
  <c r="AP51" i="62"/>
  <c r="AO51" i="62"/>
  <c r="AN51" i="62"/>
  <c r="AM51" i="62"/>
  <c r="AL51" i="62"/>
  <c r="AK51" i="62"/>
  <c r="AJ51" i="62"/>
  <c r="AI51" i="62"/>
  <c r="AH51" i="62"/>
  <c r="AG51" i="62"/>
  <c r="AF51" i="62"/>
  <c r="AE51" i="62"/>
  <c r="AD51" i="62"/>
  <c r="AC51" i="62"/>
  <c r="AB51" i="62"/>
  <c r="AA51" i="62"/>
  <c r="Z51" i="62"/>
  <c r="Y51" i="62"/>
  <c r="X51" i="62"/>
  <c r="W51" i="62"/>
  <c r="V51" i="62"/>
  <c r="BJ50" i="62"/>
  <c r="BI50" i="62"/>
  <c r="BH50" i="62"/>
  <c r="BG50" i="62"/>
  <c r="BF50" i="62"/>
  <c r="BF52" i="62" s="1"/>
  <c r="BE50" i="62"/>
  <c r="BD50" i="62"/>
  <c r="BC50" i="62"/>
  <c r="BB50" i="62"/>
  <c r="BA50" i="62"/>
  <c r="AZ50" i="62"/>
  <c r="AY50" i="62"/>
  <c r="AX50" i="62"/>
  <c r="AW50" i="62"/>
  <c r="AV50" i="62"/>
  <c r="AU50" i="62"/>
  <c r="AU52" i="62" s="1"/>
  <c r="AT50" i="62"/>
  <c r="AS50" i="62"/>
  <c r="AR50" i="62"/>
  <c r="AQ50" i="62"/>
  <c r="AP50" i="62"/>
  <c r="AO50" i="62"/>
  <c r="AN50" i="62"/>
  <c r="AM50" i="62"/>
  <c r="AL50" i="62"/>
  <c r="AK50" i="62"/>
  <c r="AJ50" i="62"/>
  <c r="AI50" i="62"/>
  <c r="AH50" i="62"/>
  <c r="AG50" i="62"/>
  <c r="AF50" i="62"/>
  <c r="AE50" i="62"/>
  <c r="AD50" i="62"/>
  <c r="AD52" i="62" s="1"/>
  <c r="AC50" i="62"/>
  <c r="AB50" i="62"/>
  <c r="AA50" i="62"/>
  <c r="Z50" i="62"/>
  <c r="Y50" i="62"/>
  <c r="X50" i="62"/>
  <c r="W50" i="62"/>
  <c r="V50" i="62"/>
  <c r="BJ46" i="62"/>
  <c r="BI46" i="62"/>
  <c r="BH46" i="62"/>
  <c r="BG46" i="62"/>
  <c r="BF46" i="62"/>
  <c r="BE46" i="62"/>
  <c r="BD46" i="62"/>
  <c r="BC46" i="62"/>
  <c r="BB46" i="62"/>
  <c r="BA46" i="62"/>
  <c r="AZ46" i="62"/>
  <c r="AY46" i="62"/>
  <c r="AX46" i="62"/>
  <c r="AW46" i="62"/>
  <c r="AV46" i="62"/>
  <c r="AU46" i="62"/>
  <c r="AT46" i="62"/>
  <c r="AS46" i="62"/>
  <c r="AR46" i="62"/>
  <c r="AQ46" i="62"/>
  <c r="AP46" i="62"/>
  <c r="AO46" i="62"/>
  <c r="AN46" i="62"/>
  <c r="AM46" i="62"/>
  <c r="AL46" i="62"/>
  <c r="AK46" i="62"/>
  <c r="AJ46" i="62"/>
  <c r="AI46" i="62"/>
  <c r="AH46" i="62"/>
  <c r="AG46" i="62"/>
  <c r="AF46" i="62"/>
  <c r="AE46" i="62"/>
  <c r="AD46" i="62"/>
  <c r="AC46" i="62"/>
  <c r="AB46" i="62"/>
  <c r="AA46" i="62"/>
  <c r="AA47" i="62" s="1"/>
  <c r="Z46" i="62"/>
  <c r="Y46" i="62"/>
  <c r="X46" i="62"/>
  <c r="W46" i="62"/>
  <c r="V46" i="62"/>
  <c r="BJ45" i="62"/>
  <c r="BJ47" i="62" s="1"/>
  <c r="BI45" i="62"/>
  <c r="BH45" i="62"/>
  <c r="BG45" i="62"/>
  <c r="BF45" i="62"/>
  <c r="BF47" i="62" s="1"/>
  <c r="BE45" i="62"/>
  <c r="BD45" i="62"/>
  <c r="BD47" i="62" s="1"/>
  <c r="BC45" i="62"/>
  <c r="BB45" i="62"/>
  <c r="BB47" i="62" s="1"/>
  <c r="BA45" i="62"/>
  <c r="AZ45" i="62"/>
  <c r="AY45" i="62"/>
  <c r="AX45" i="62"/>
  <c r="AX47" i="62" s="1"/>
  <c r="AW45" i="62"/>
  <c r="AV45" i="62"/>
  <c r="AU45" i="62"/>
  <c r="AU47" i="62" s="1"/>
  <c r="AT45" i="62"/>
  <c r="AT47" i="62" s="1"/>
  <c r="AS45" i="62"/>
  <c r="AR45" i="62"/>
  <c r="AQ45" i="62"/>
  <c r="AP45" i="62"/>
  <c r="AP47" i="62" s="1"/>
  <c r="AO45" i="62"/>
  <c r="AN45" i="62"/>
  <c r="AN47" i="62" s="1"/>
  <c r="AM45" i="62"/>
  <c r="AL45" i="62"/>
  <c r="AL47" i="62" s="1"/>
  <c r="AK45" i="62"/>
  <c r="AJ45" i="62"/>
  <c r="AI45" i="62"/>
  <c r="AI47" i="62" s="1"/>
  <c r="AH45" i="62"/>
  <c r="AH47" i="62" s="1"/>
  <c r="AG45" i="62"/>
  <c r="AF45" i="62"/>
  <c r="AF47" i="62" s="1"/>
  <c r="AE45" i="62"/>
  <c r="AD45" i="62"/>
  <c r="AD47" i="62" s="1"/>
  <c r="AC45" i="62"/>
  <c r="AB45" i="62"/>
  <c r="AA45" i="62"/>
  <c r="Z45" i="62"/>
  <c r="Z47" i="62" s="1"/>
  <c r="Y45" i="62"/>
  <c r="X45" i="62"/>
  <c r="W45" i="62"/>
  <c r="V45" i="62"/>
  <c r="V47" i="62" s="1"/>
  <c r="BI42" i="62"/>
  <c r="AP42" i="62"/>
  <c r="AD42" i="62"/>
  <c r="Y42" i="62"/>
  <c r="BJ41" i="62"/>
  <c r="BI41" i="62"/>
  <c r="BH41" i="62"/>
  <c r="BG41" i="62"/>
  <c r="BF41" i="62"/>
  <c r="BE41" i="62"/>
  <c r="BD41" i="62"/>
  <c r="BC41" i="62"/>
  <c r="BB41" i="62"/>
  <c r="BA41" i="62"/>
  <c r="AZ41" i="62"/>
  <c r="AY41" i="62"/>
  <c r="AX41" i="62"/>
  <c r="AW41" i="62"/>
  <c r="AV41" i="62"/>
  <c r="AU41" i="62"/>
  <c r="AT41" i="62"/>
  <c r="AS41" i="62"/>
  <c r="AR41" i="62"/>
  <c r="AQ41" i="62"/>
  <c r="AP41" i="62"/>
  <c r="AO41" i="62"/>
  <c r="AN41" i="62"/>
  <c r="AM41" i="62"/>
  <c r="AL41" i="62"/>
  <c r="AK41" i="62"/>
  <c r="AJ41" i="62"/>
  <c r="AI41" i="62"/>
  <c r="AH41" i="62"/>
  <c r="AG41" i="62"/>
  <c r="AF41" i="62"/>
  <c r="AE41" i="62"/>
  <c r="AD41" i="62"/>
  <c r="AC41" i="62"/>
  <c r="AB41" i="62"/>
  <c r="AA41" i="62"/>
  <c r="Z41" i="62"/>
  <c r="Y41" i="62"/>
  <c r="X41" i="62"/>
  <c r="W41" i="62"/>
  <c r="V41" i="62"/>
  <c r="BJ40" i="62"/>
  <c r="BI40" i="62"/>
  <c r="BH40" i="62"/>
  <c r="BH42" i="62" s="1"/>
  <c r="BG40" i="62"/>
  <c r="BF40" i="62"/>
  <c r="BE40" i="62"/>
  <c r="BE42" i="62" s="1"/>
  <c r="BD40" i="62"/>
  <c r="BD42" i="62" s="1"/>
  <c r="BC40" i="62"/>
  <c r="BB40" i="62"/>
  <c r="BA40" i="62"/>
  <c r="BA42" i="62" s="1"/>
  <c r="AZ40" i="62"/>
  <c r="AZ42" i="62" s="1"/>
  <c r="AY40" i="62"/>
  <c r="AX40" i="62"/>
  <c r="AW40" i="62"/>
  <c r="AW42" i="62" s="1"/>
  <c r="AV40" i="62"/>
  <c r="AV42" i="62" s="1"/>
  <c r="AU40" i="62"/>
  <c r="AU42" i="62" s="1"/>
  <c r="AT40" i="62"/>
  <c r="AS40" i="62"/>
  <c r="AS42" i="62" s="1"/>
  <c r="AR40" i="62"/>
  <c r="AR42" i="62" s="1"/>
  <c r="AQ40" i="62"/>
  <c r="AP40" i="62"/>
  <c r="AO40" i="62"/>
  <c r="AO42" i="62" s="1"/>
  <c r="AN40" i="62"/>
  <c r="AN42" i="62" s="1"/>
  <c r="AM40" i="62"/>
  <c r="AL40" i="62"/>
  <c r="AK40" i="62"/>
  <c r="AK42" i="62" s="1"/>
  <c r="AJ40" i="62"/>
  <c r="AJ42" i="62" s="1"/>
  <c r="AI40" i="62"/>
  <c r="AH40" i="62"/>
  <c r="AH42" i="62" s="1"/>
  <c r="AG40" i="62"/>
  <c r="AG42" i="62" s="1"/>
  <c r="AF40" i="62"/>
  <c r="AF42" i="62" s="1"/>
  <c r="AE40" i="62"/>
  <c r="AD40" i="62"/>
  <c r="AC40" i="62"/>
  <c r="AC42" i="62" s="1"/>
  <c r="AB40" i="62"/>
  <c r="AB42" i="62" s="1"/>
  <c r="AA40" i="62"/>
  <c r="Z40" i="62"/>
  <c r="Z42" i="62" s="1"/>
  <c r="Y40" i="62"/>
  <c r="X40" i="62"/>
  <c r="X42" i="62" s="1"/>
  <c r="W40" i="62"/>
  <c r="V40" i="62"/>
  <c r="BJ36" i="62"/>
  <c r="BI36" i="62"/>
  <c r="BH36" i="62"/>
  <c r="BG36" i="62"/>
  <c r="BF36" i="62"/>
  <c r="BE36" i="62"/>
  <c r="BD36" i="62"/>
  <c r="BC36" i="62"/>
  <c r="BB36" i="62"/>
  <c r="BA36" i="62"/>
  <c r="AZ36" i="62"/>
  <c r="AY36" i="62"/>
  <c r="AX36" i="62"/>
  <c r="AW36" i="62"/>
  <c r="AV36" i="62"/>
  <c r="AU36" i="62"/>
  <c r="AT36" i="62"/>
  <c r="AS36" i="62"/>
  <c r="AR36" i="62"/>
  <c r="AQ36" i="62"/>
  <c r="AP36" i="62"/>
  <c r="AO36" i="62"/>
  <c r="AN36" i="62"/>
  <c r="AM36" i="62"/>
  <c r="AL36" i="62"/>
  <c r="AK36" i="62"/>
  <c r="AJ36" i="62"/>
  <c r="AI36" i="62"/>
  <c r="AH36" i="62"/>
  <c r="AG36" i="62"/>
  <c r="AF36" i="62"/>
  <c r="AE36" i="62"/>
  <c r="AD36" i="62"/>
  <c r="AC36" i="62"/>
  <c r="AB36" i="62"/>
  <c r="AA36" i="62"/>
  <c r="Z36" i="62"/>
  <c r="Y36" i="62"/>
  <c r="X36" i="62"/>
  <c r="W36" i="62"/>
  <c r="V36" i="62"/>
  <c r="BJ35" i="62"/>
  <c r="BJ37" i="62" s="1"/>
  <c r="BI35" i="62"/>
  <c r="BH35" i="62"/>
  <c r="BH37" i="62" s="1"/>
  <c r="BG35" i="62"/>
  <c r="BG37" i="62" s="1"/>
  <c r="BF35" i="62"/>
  <c r="BF37" i="62" s="1"/>
  <c r="BE35" i="62"/>
  <c r="BD35" i="62"/>
  <c r="BD37" i="62" s="1"/>
  <c r="BC35" i="62"/>
  <c r="BB35" i="62"/>
  <c r="BB37" i="62" s="1"/>
  <c r="BA35" i="62"/>
  <c r="AZ35" i="62"/>
  <c r="AZ37" i="62" s="1"/>
  <c r="AY35" i="62"/>
  <c r="AY37" i="62" s="1"/>
  <c r="AX35" i="62"/>
  <c r="AW35" i="62"/>
  <c r="AV35" i="62"/>
  <c r="AV37" i="62" s="1"/>
  <c r="AU35" i="62"/>
  <c r="AU37" i="62" s="1"/>
  <c r="AT35" i="62"/>
  <c r="AT37" i="62" s="1"/>
  <c r="AS35" i="62"/>
  <c r="AR35" i="62"/>
  <c r="AR37" i="62" s="1"/>
  <c r="AQ35" i="62"/>
  <c r="AQ37" i="62" s="1"/>
  <c r="AP35" i="62"/>
  <c r="AO35" i="62"/>
  <c r="AO37" i="62" s="1"/>
  <c r="AN35" i="62"/>
  <c r="AN37" i="62" s="1"/>
  <c r="AM35" i="62"/>
  <c r="AL35" i="62"/>
  <c r="AL37" i="62" s="1"/>
  <c r="AK35" i="62"/>
  <c r="AJ35" i="62"/>
  <c r="AJ37" i="62" s="1"/>
  <c r="AI35" i="62"/>
  <c r="AI37" i="62" s="1"/>
  <c r="AH35" i="62"/>
  <c r="AH37" i="62" s="1"/>
  <c r="AG35" i="62"/>
  <c r="AF35" i="62"/>
  <c r="AF37" i="62" s="1"/>
  <c r="AE35" i="62"/>
  <c r="AD35" i="62"/>
  <c r="AC35" i="62"/>
  <c r="AB35" i="62"/>
  <c r="AB37" i="62" s="1"/>
  <c r="AA35" i="62"/>
  <c r="AA37" i="62" s="1"/>
  <c r="Z35" i="62"/>
  <c r="Z37" i="62" s="1"/>
  <c r="Y35" i="62"/>
  <c r="X35" i="62"/>
  <c r="X37" i="62" s="1"/>
  <c r="W35" i="62"/>
  <c r="V35" i="62"/>
  <c r="V37" i="62" s="1"/>
  <c r="BJ31" i="62"/>
  <c r="BI31" i="62"/>
  <c r="BH31" i="62"/>
  <c r="BG31" i="62"/>
  <c r="BF31" i="62"/>
  <c r="BE31" i="62"/>
  <c r="BD31" i="62"/>
  <c r="BC31" i="62"/>
  <c r="BB31" i="62"/>
  <c r="BA31" i="62"/>
  <c r="AZ31" i="62"/>
  <c r="AY31" i="62"/>
  <c r="AX31" i="62"/>
  <c r="AW31" i="62"/>
  <c r="AV31" i="62"/>
  <c r="AU31" i="62"/>
  <c r="AT31" i="62"/>
  <c r="AS31" i="62"/>
  <c r="AR31" i="62"/>
  <c r="AQ31" i="62"/>
  <c r="AP31" i="62"/>
  <c r="AO31" i="62"/>
  <c r="AN31" i="62"/>
  <c r="AM31" i="62"/>
  <c r="AL31" i="62"/>
  <c r="AK31" i="62"/>
  <c r="AJ31" i="62"/>
  <c r="AI31" i="62"/>
  <c r="AH31" i="62"/>
  <c r="AG31" i="62"/>
  <c r="AF31" i="62"/>
  <c r="AE31" i="62"/>
  <c r="AD31" i="62"/>
  <c r="AC31" i="62"/>
  <c r="AB31" i="62"/>
  <c r="AA31" i="62"/>
  <c r="Z31" i="62"/>
  <c r="Y31" i="62"/>
  <c r="X31" i="62"/>
  <c r="W31" i="62"/>
  <c r="V31" i="62"/>
  <c r="BJ30" i="62"/>
  <c r="BI30" i="62"/>
  <c r="BH30" i="62"/>
  <c r="BG30" i="62"/>
  <c r="BG32" i="62" s="1"/>
  <c r="BF30" i="62"/>
  <c r="BE30" i="62"/>
  <c r="BD30" i="62"/>
  <c r="BC30" i="62"/>
  <c r="BB30" i="62"/>
  <c r="BA30" i="62"/>
  <c r="AZ30" i="62"/>
  <c r="AY30" i="62"/>
  <c r="AY32" i="62" s="1"/>
  <c r="AX30" i="62"/>
  <c r="AW30" i="62"/>
  <c r="AV30" i="62"/>
  <c r="AU30" i="62"/>
  <c r="AU32" i="62" s="1"/>
  <c r="AT30" i="62"/>
  <c r="AT32" i="62" s="1"/>
  <c r="AS30" i="62"/>
  <c r="AR30" i="62"/>
  <c r="AQ30" i="62"/>
  <c r="AQ32" i="62" s="1"/>
  <c r="AP30" i="62"/>
  <c r="AO30" i="62"/>
  <c r="AO32" i="62" s="1"/>
  <c r="AN30" i="62"/>
  <c r="AM30" i="62"/>
  <c r="AM32" i="62" s="1"/>
  <c r="AL30" i="62"/>
  <c r="AL32" i="62" s="1"/>
  <c r="AK30" i="62"/>
  <c r="AJ30" i="62"/>
  <c r="AI30" i="62"/>
  <c r="AI32" i="62" s="1"/>
  <c r="AH30" i="62"/>
  <c r="AG30" i="62"/>
  <c r="AF30" i="62"/>
  <c r="AE30" i="62"/>
  <c r="AE32" i="62" s="1"/>
  <c r="AD30" i="62"/>
  <c r="AC30" i="62"/>
  <c r="AB30" i="62"/>
  <c r="AA30" i="62"/>
  <c r="AA32" i="62" s="1"/>
  <c r="Z30" i="62"/>
  <c r="Z32" i="62" s="1"/>
  <c r="Y30" i="62"/>
  <c r="X30" i="62"/>
  <c r="W30" i="62"/>
  <c r="V30" i="62"/>
  <c r="BJ26" i="62"/>
  <c r="BI26" i="62"/>
  <c r="BH26" i="62"/>
  <c r="BG26" i="62"/>
  <c r="BF26" i="62"/>
  <c r="BE26" i="62"/>
  <c r="BD26" i="62"/>
  <c r="BC26" i="62"/>
  <c r="BB26" i="62"/>
  <c r="BA26" i="62"/>
  <c r="AZ26" i="62"/>
  <c r="AY26" i="62"/>
  <c r="AX26" i="62"/>
  <c r="AW26" i="62"/>
  <c r="AV26" i="62"/>
  <c r="AU26" i="62"/>
  <c r="AT26" i="62"/>
  <c r="AS26" i="62"/>
  <c r="AR26" i="62"/>
  <c r="AQ26" i="62"/>
  <c r="AP26" i="62"/>
  <c r="AO26" i="62"/>
  <c r="AN26" i="62"/>
  <c r="AM26" i="62"/>
  <c r="AL26" i="62"/>
  <c r="AK26" i="62"/>
  <c r="AJ26" i="62"/>
  <c r="AI26" i="62"/>
  <c r="AH26" i="62"/>
  <c r="AG26" i="62"/>
  <c r="AF26" i="62"/>
  <c r="AE26" i="62"/>
  <c r="AD26" i="62"/>
  <c r="AC26" i="62"/>
  <c r="AB26" i="62"/>
  <c r="AA26" i="62"/>
  <c r="Z26" i="62"/>
  <c r="Y26" i="62"/>
  <c r="X26" i="62"/>
  <c r="W26" i="62"/>
  <c r="V26" i="62"/>
  <c r="BJ25" i="62"/>
  <c r="BI25" i="62"/>
  <c r="BH25" i="62"/>
  <c r="BH27" i="62" s="1"/>
  <c r="BG25" i="62"/>
  <c r="BF25" i="62"/>
  <c r="BE25" i="62"/>
  <c r="BE27" i="62" s="1"/>
  <c r="BD25" i="62"/>
  <c r="BC25" i="62"/>
  <c r="BB25" i="62"/>
  <c r="BA25" i="62"/>
  <c r="AZ25" i="62"/>
  <c r="AZ27" i="62" s="1"/>
  <c r="AY25" i="62"/>
  <c r="AX25" i="62"/>
  <c r="AW25" i="62"/>
  <c r="AW27" i="62" s="1"/>
  <c r="AV25" i="62"/>
  <c r="AU25" i="62"/>
  <c r="AU27" i="62" s="1"/>
  <c r="AT25" i="62"/>
  <c r="AS25" i="62"/>
  <c r="AR25" i="62"/>
  <c r="AQ25" i="62"/>
  <c r="AP25" i="62"/>
  <c r="AP27" i="62" s="1"/>
  <c r="AO25" i="62"/>
  <c r="AO27" i="62" s="1"/>
  <c r="AN25" i="62"/>
  <c r="AM25" i="62"/>
  <c r="AL25" i="62"/>
  <c r="AL27" i="62" s="1"/>
  <c r="AK25" i="62"/>
  <c r="AJ25" i="62"/>
  <c r="AI25" i="62"/>
  <c r="AI27" i="62" s="1"/>
  <c r="AH25" i="62"/>
  <c r="AH27" i="62" s="1"/>
  <c r="AG25" i="62"/>
  <c r="AG27" i="62" s="1"/>
  <c r="AF25" i="62"/>
  <c r="AE25" i="62"/>
  <c r="AD25" i="62"/>
  <c r="AD27" i="62" s="1"/>
  <c r="AC25" i="62"/>
  <c r="AB25" i="62"/>
  <c r="AA25" i="62"/>
  <c r="Z25" i="62"/>
  <c r="Z27" i="62" s="1"/>
  <c r="Y25" i="62"/>
  <c r="Y27" i="62" s="1"/>
  <c r="X25" i="62"/>
  <c r="W25" i="62"/>
  <c r="V25" i="62"/>
  <c r="V27" i="62" s="1"/>
  <c r="BK27" i="62" s="1"/>
  <c r="BJ21" i="62"/>
  <c r="BI21" i="62"/>
  <c r="BH21" i="62"/>
  <c r="BG21" i="62"/>
  <c r="BF21" i="62"/>
  <c r="BE21" i="62"/>
  <c r="BD21" i="62"/>
  <c r="BC21" i="62"/>
  <c r="BB21" i="62"/>
  <c r="BA21" i="62"/>
  <c r="AZ21" i="62"/>
  <c r="AY21" i="62"/>
  <c r="AX21" i="62"/>
  <c r="AW21" i="62"/>
  <c r="AV21" i="62"/>
  <c r="AU21" i="62"/>
  <c r="AT21" i="62"/>
  <c r="AS21" i="62"/>
  <c r="AR21" i="62"/>
  <c r="AQ21" i="62"/>
  <c r="AP21" i="62"/>
  <c r="AO21" i="62"/>
  <c r="AN21" i="62"/>
  <c r="AM21" i="62"/>
  <c r="AL21" i="62"/>
  <c r="AK21" i="62"/>
  <c r="AJ21" i="62"/>
  <c r="AI21" i="62"/>
  <c r="AH21" i="62"/>
  <c r="AG21" i="62"/>
  <c r="AF21" i="62"/>
  <c r="AE21" i="62"/>
  <c r="AD21" i="62"/>
  <c r="AC21" i="62"/>
  <c r="AB21" i="62"/>
  <c r="AA21" i="62"/>
  <c r="Z21" i="62"/>
  <c r="Y21" i="62"/>
  <c r="X21" i="62"/>
  <c r="W21" i="62"/>
  <c r="V21" i="62"/>
  <c r="BJ20" i="62"/>
  <c r="BJ22" i="62" s="1"/>
  <c r="BI20" i="62"/>
  <c r="BI22" i="62" s="1"/>
  <c r="BH20" i="62"/>
  <c r="BG20" i="62"/>
  <c r="BF20" i="62"/>
  <c r="BF22" i="62" s="1"/>
  <c r="BE20" i="62"/>
  <c r="BE22" i="62" s="1"/>
  <c r="BD20" i="62"/>
  <c r="BC20" i="62"/>
  <c r="BB20" i="62"/>
  <c r="BB22" i="62" s="1"/>
  <c r="BA20" i="62"/>
  <c r="BA22" i="62" s="1"/>
  <c r="AZ20" i="62"/>
  <c r="AY20" i="62"/>
  <c r="AX20" i="62"/>
  <c r="AX22" i="62" s="1"/>
  <c r="AW20" i="62"/>
  <c r="AW22" i="62" s="1"/>
  <c r="AV20" i="62"/>
  <c r="AU20" i="62"/>
  <c r="AU22" i="62" s="1"/>
  <c r="AT20" i="62"/>
  <c r="AT22" i="62" s="1"/>
  <c r="AS20" i="62"/>
  <c r="AS22" i="62" s="1"/>
  <c r="AR20" i="62"/>
  <c r="AQ20" i="62"/>
  <c r="AP20" i="62"/>
  <c r="AP22" i="62" s="1"/>
  <c r="AO20" i="62"/>
  <c r="AO22" i="62" s="1"/>
  <c r="AN20" i="62"/>
  <c r="AM20" i="62"/>
  <c r="AL20" i="62"/>
  <c r="AL22" i="62" s="1"/>
  <c r="AK20" i="62"/>
  <c r="AK22" i="62" s="1"/>
  <c r="AJ20" i="62"/>
  <c r="AI20" i="62"/>
  <c r="AI22" i="62" s="1"/>
  <c r="AH20" i="62"/>
  <c r="AH22" i="62" s="1"/>
  <c r="AG20" i="62"/>
  <c r="AG22" i="62" s="1"/>
  <c r="AF20" i="62"/>
  <c r="AE20" i="62"/>
  <c r="AD20" i="62"/>
  <c r="AD22" i="62" s="1"/>
  <c r="AC20" i="62"/>
  <c r="AC22" i="62" s="1"/>
  <c r="AB20" i="62"/>
  <c r="AA20" i="62"/>
  <c r="Z20" i="62"/>
  <c r="Z22" i="62" s="1"/>
  <c r="Y20" i="62"/>
  <c r="Y22" i="62" s="1"/>
  <c r="X20" i="62"/>
  <c r="W20" i="62"/>
  <c r="V20" i="62"/>
  <c r="V22" i="62" s="1"/>
  <c r="AP17" i="62"/>
  <c r="BJ16" i="62"/>
  <c r="BI16" i="62"/>
  <c r="BH16" i="62"/>
  <c r="BG16" i="62"/>
  <c r="BF16" i="62"/>
  <c r="BE16" i="62"/>
  <c r="BD16" i="62"/>
  <c r="BC16" i="62"/>
  <c r="BB16" i="62"/>
  <c r="BA16" i="62"/>
  <c r="AZ16" i="62"/>
  <c r="AY16" i="62"/>
  <c r="AX16" i="62"/>
  <c r="AW16" i="62"/>
  <c r="AV16" i="62"/>
  <c r="AU16" i="62"/>
  <c r="AT16" i="62"/>
  <c r="AS16" i="62"/>
  <c r="AR16" i="62"/>
  <c r="AQ16" i="62"/>
  <c r="AP16" i="62"/>
  <c r="AO16" i="62"/>
  <c r="AN16" i="62"/>
  <c r="AM16" i="62"/>
  <c r="AL16" i="62"/>
  <c r="AK16" i="62"/>
  <c r="AJ16" i="62"/>
  <c r="AI16" i="62"/>
  <c r="AH16" i="62"/>
  <c r="AG16" i="62"/>
  <c r="AF16" i="62"/>
  <c r="AE16" i="62"/>
  <c r="AD16" i="62"/>
  <c r="AC16" i="62"/>
  <c r="AB16" i="62"/>
  <c r="AA16" i="62"/>
  <c r="Z16" i="62"/>
  <c r="Y16" i="62"/>
  <c r="X16" i="62"/>
  <c r="W16" i="62"/>
  <c r="V16" i="62"/>
  <c r="BJ15" i="62"/>
  <c r="BI15" i="62"/>
  <c r="BH15" i="62"/>
  <c r="BH17" i="62" s="1"/>
  <c r="BG15" i="62"/>
  <c r="BF15" i="62"/>
  <c r="BE15" i="62"/>
  <c r="BD15" i="62"/>
  <c r="BD17" i="62" s="1"/>
  <c r="BC15" i="62"/>
  <c r="BB15" i="62"/>
  <c r="BA15" i="62"/>
  <c r="AZ15" i="62"/>
  <c r="AZ17" i="62" s="1"/>
  <c r="AY15" i="62"/>
  <c r="AX15" i="62"/>
  <c r="AW15" i="62"/>
  <c r="AV15" i="62"/>
  <c r="AV17" i="62" s="1"/>
  <c r="AU15" i="62"/>
  <c r="AU17" i="62" s="1"/>
  <c r="AT15" i="62"/>
  <c r="AS15" i="62"/>
  <c r="AR15" i="62"/>
  <c r="AR17" i="62" s="1"/>
  <c r="AQ15" i="62"/>
  <c r="AP15" i="62"/>
  <c r="AO15" i="62"/>
  <c r="AN15" i="62"/>
  <c r="AN17" i="62" s="1"/>
  <c r="AM15" i="62"/>
  <c r="AL15" i="62"/>
  <c r="AL17" i="62" s="1"/>
  <c r="AK15" i="62"/>
  <c r="AJ15" i="62"/>
  <c r="AJ17" i="62" s="1"/>
  <c r="AI15" i="62"/>
  <c r="AI17" i="62" s="1"/>
  <c r="AH15" i="62"/>
  <c r="AG15" i="62"/>
  <c r="AF15" i="62"/>
  <c r="AF17" i="62" s="1"/>
  <c r="AE15" i="62"/>
  <c r="AD15" i="62"/>
  <c r="AC15" i="62"/>
  <c r="AB15" i="62"/>
  <c r="AB17" i="62" s="1"/>
  <c r="AA15" i="62"/>
  <c r="Z15" i="62"/>
  <c r="Y15" i="62"/>
  <c r="X15" i="62"/>
  <c r="X17" i="62" s="1"/>
  <c r="W15" i="62"/>
  <c r="V15" i="62"/>
  <c r="BJ11" i="62"/>
  <c r="BI11" i="62"/>
  <c r="BH11" i="62"/>
  <c r="BG11" i="62"/>
  <c r="BF11" i="62"/>
  <c r="BE11" i="62"/>
  <c r="BD11" i="62"/>
  <c r="BC11" i="62"/>
  <c r="BB11" i="62"/>
  <c r="BA11" i="62"/>
  <c r="AZ11" i="62"/>
  <c r="AY11" i="62"/>
  <c r="AX11" i="62"/>
  <c r="AW11" i="62"/>
  <c r="AV11" i="62"/>
  <c r="AU11" i="62"/>
  <c r="AT11" i="62"/>
  <c r="AS11" i="62"/>
  <c r="AR11" i="62"/>
  <c r="AQ11" i="62"/>
  <c r="AP11" i="62"/>
  <c r="AO11" i="62"/>
  <c r="AN11" i="62"/>
  <c r="AM11" i="62"/>
  <c r="AL11" i="62"/>
  <c r="AK11" i="62"/>
  <c r="AJ11" i="62"/>
  <c r="AI11" i="62"/>
  <c r="AH11" i="62"/>
  <c r="AG11" i="62"/>
  <c r="AF11" i="62"/>
  <c r="AE11" i="62"/>
  <c r="AD11" i="62"/>
  <c r="AC11" i="62"/>
  <c r="AB11" i="62"/>
  <c r="AA11" i="62"/>
  <c r="Z11" i="62"/>
  <c r="Y11" i="62"/>
  <c r="X11" i="62"/>
  <c r="W11" i="62"/>
  <c r="V11" i="62"/>
  <c r="BJ10" i="62"/>
  <c r="BI10" i="62"/>
  <c r="BI12" i="62" s="1"/>
  <c r="BH10" i="62"/>
  <c r="BG10" i="62"/>
  <c r="BF10" i="62"/>
  <c r="BE10" i="62"/>
  <c r="BE12" i="62" s="1"/>
  <c r="BD10" i="62"/>
  <c r="BC10" i="62"/>
  <c r="BB10" i="62"/>
  <c r="BA10" i="62"/>
  <c r="BA12" i="62" s="1"/>
  <c r="AZ10" i="62"/>
  <c r="AY10" i="62"/>
  <c r="AY12" i="62" s="1"/>
  <c r="AX10" i="62"/>
  <c r="AW10" i="62"/>
  <c r="AW12" i="62" s="1"/>
  <c r="AV10" i="62"/>
  <c r="AU10" i="62"/>
  <c r="AU12" i="62" s="1"/>
  <c r="AT10" i="62"/>
  <c r="AS10" i="62"/>
  <c r="AS12" i="62" s="1"/>
  <c r="AR10" i="62"/>
  <c r="AQ10" i="62"/>
  <c r="AP10" i="62"/>
  <c r="AO10" i="62"/>
  <c r="AO12" i="62" s="1"/>
  <c r="AN10" i="62"/>
  <c r="AM10" i="62"/>
  <c r="AL10" i="62"/>
  <c r="AL12" i="62" s="1"/>
  <c r="AK10" i="62"/>
  <c r="AK12" i="62" s="1"/>
  <c r="AJ10" i="62"/>
  <c r="AI10" i="62"/>
  <c r="AI12" i="62" s="1"/>
  <c r="AH10" i="62"/>
  <c r="AG10" i="62"/>
  <c r="AG12" i="62" s="1"/>
  <c r="AF10" i="62"/>
  <c r="AE10" i="62"/>
  <c r="AD10" i="62"/>
  <c r="AC10" i="62"/>
  <c r="AC12" i="62" s="1"/>
  <c r="AB10" i="62"/>
  <c r="AA10" i="62"/>
  <c r="Z10" i="62"/>
  <c r="Y10" i="62"/>
  <c r="Y12" i="62" s="1"/>
  <c r="X10" i="62"/>
  <c r="W10" i="62"/>
  <c r="V10" i="62"/>
  <c r="AE12" i="62" l="1"/>
  <c r="X47" i="62"/>
  <c r="AB47" i="62"/>
  <c r="AR47" i="62"/>
  <c r="AV47" i="62"/>
  <c r="BH47" i="62"/>
  <c r="V52" i="62"/>
  <c r="Z52" i="62"/>
  <c r="AH52" i="62"/>
  <c r="AL52" i="62"/>
  <c r="AP52" i="62"/>
  <c r="AT52" i="62"/>
  <c r="AX52" i="62"/>
  <c r="BB52" i="62"/>
  <c r="BJ52" i="62"/>
  <c r="X12" i="62"/>
  <c r="AB12" i="62"/>
  <c r="AF12" i="62"/>
  <c r="AJ12" i="62"/>
  <c r="AN12" i="62"/>
  <c r="AR12" i="62"/>
  <c r="AV12" i="62"/>
  <c r="AZ12" i="62"/>
  <c r="BD12" i="62"/>
  <c r="BH12" i="62"/>
  <c r="V12" i="62"/>
  <c r="Z12" i="62"/>
  <c r="AD12" i="62"/>
  <c r="AH12" i="62"/>
  <c r="AP12" i="62"/>
  <c r="AT12" i="62"/>
  <c r="AX12" i="62"/>
  <c r="BB12" i="62"/>
  <c r="BF12" i="62"/>
  <c r="BJ12" i="62"/>
  <c r="AE17" i="62"/>
  <c r="AH17" i="62"/>
  <c r="BF17" i="62"/>
  <c r="X22" i="62"/>
  <c r="AB22" i="62"/>
  <c r="AF22" i="62"/>
  <c r="AJ22" i="62"/>
  <c r="AN22" i="62"/>
  <c r="AR22" i="62"/>
  <c r="AV22" i="62"/>
  <c r="AZ22" i="62"/>
  <c r="BD22" i="62"/>
  <c r="BH22" i="62"/>
  <c r="AD37" i="62"/>
  <c r="AP37" i="62"/>
  <c r="AX37" i="62"/>
  <c r="AC52" i="62"/>
  <c r="AS52" i="62"/>
  <c r="V57" i="62"/>
  <c r="AH57" i="62"/>
  <c r="AP57" i="62"/>
  <c r="AX57" i="62"/>
  <c r="BF57" i="62"/>
  <c r="X102" i="62"/>
  <c r="AB102" i="62"/>
  <c r="AF102" i="62"/>
  <c r="AJ102" i="62"/>
  <c r="AN102" i="62"/>
  <c r="AR102" i="62"/>
  <c r="AV102" i="62"/>
  <c r="AZ102" i="62"/>
  <c r="BD102" i="62"/>
  <c r="BH102" i="62"/>
  <c r="AJ27" i="62"/>
  <c r="AV27" i="62"/>
  <c r="X82" i="62"/>
  <c r="AB82" i="62"/>
  <c r="AF82" i="62"/>
  <c r="AJ82" i="62"/>
  <c r="AN82" i="62"/>
  <c r="AR82" i="62"/>
  <c r="AV82" i="62"/>
  <c r="AZ82" i="62"/>
  <c r="BD82" i="62"/>
  <c r="BH82" i="62"/>
  <c r="X92" i="62"/>
  <c r="AB92" i="62"/>
  <c r="AF92" i="62"/>
  <c r="AJ92" i="62"/>
  <c r="AN92" i="62"/>
  <c r="AR92" i="62"/>
  <c r="AV92" i="62"/>
  <c r="AZ92" i="62"/>
  <c r="BD92" i="62"/>
  <c r="BH92" i="62"/>
  <c r="AT27" i="62"/>
  <c r="AX27" i="62"/>
  <c r="BB27" i="62"/>
  <c r="BF27" i="62"/>
  <c r="BJ27" i="62"/>
  <c r="AB32" i="62"/>
  <c r="AJ32" i="62"/>
  <c r="AR32" i="62"/>
  <c r="AZ32" i="62"/>
  <c r="BH32" i="62"/>
  <c r="W32" i="62"/>
  <c r="BC32" i="62"/>
  <c r="V42" i="62"/>
  <c r="BK42" i="62" s="1"/>
  <c r="AL42" i="62"/>
  <c r="AT42" i="62"/>
  <c r="AX42" i="62"/>
  <c r="BB42" i="62"/>
  <c r="BJ42" i="62"/>
  <c r="AM47" i="62"/>
  <c r="BC47" i="62"/>
  <c r="Y52" i="62"/>
  <c r="AG52" i="62"/>
  <c r="AK52" i="62"/>
  <c r="AO52" i="62"/>
  <c r="AW52" i="62"/>
  <c r="BA52" i="62"/>
  <c r="BE52" i="62"/>
  <c r="BI52" i="62"/>
  <c r="AG57" i="62"/>
  <c r="BL57" i="62" s="1"/>
  <c r="AS57" i="62"/>
  <c r="BA57" i="62"/>
  <c r="BI57" i="62"/>
  <c r="X77" i="62"/>
  <c r="AR77" i="62"/>
  <c r="V82" i="62"/>
  <c r="Z82" i="62"/>
  <c r="AD82" i="62"/>
  <c r="AH82" i="62"/>
  <c r="AP82" i="62"/>
  <c r="AT82" i="62"/>
  <c r="AX82" i="62"/>
  <c r="BB82" i="62"/>
  <c r="BF82" i="62"/>
  <c r="BJ82" i="62"/>
  <c r="X87" i="62"/>
  <c r="BL87" i="62" s="1"/>
  <c r="AN87" i="62"/>
  <c r="BD87" i="62"/>
  <c r="V92" i="62"/>
  <c r="Z92" i="62"/>
  <c r="AD92" i="62"/>
  <c r="BL92" i="62" s="1"/>
  <c r="AH92" i="62"/>
  <c r="AP92" i="62"/>
  <c r="AT92" i="62"/>
  <c r="AX92" i="62"/>
  <c r="BB92" i="62"/>
  <c r="BF92" i="62"/>
  <c r="BJ92" i="62"/>
  <c r="W102" i="62"/>
  <c r="AA102" i="62"/>
  <c r="AE102" i="62"/>
  <c r="AM102" i="62"/>
  <c r="AQ102" i="62"/>
  <c r="AY102" i="62"/>
  <c r="BC102" i="62"/>
  <c r="BG102" i="62"/>
  <c r="X107" i="62"/>
  <c r="AB107" i="62"/>
  <c r="AJ107" i="62"/>
  <c r="AN107" i="62"/>
  <c r="AR107" i="62"/>
  <c r="AV107" i="62"/>
  <c r="AZ107" i="62"/>
  <c r="BD107" i="62"/>
  <c r="BH107" i="62"/>
  <c r="V17" i="62"/>
  <c r="Z17" i="62"/>
  <c r="AX17" i="62"/>
  <c r="BB17" i="62"/>
  <c r="BJ17" i="62"/>
  <c r="X27" i="62"/>
  <c r="AB27" i="62"/>
  <c r="AF27" i="62"/>
  <c r="AN27" i="62"/>
  <c r="AR27" i="62"/>
  <c r="BD27" i="62"/>
  <c r="W17" i="62"/>
  <c r="BL17" i="62" s="1"/>
  <c r="AA17" i="62"/>
  <c r="AM17" i="62"/>
  <c r="AQ17" i="62"/>
  <c r="AY17" i="62"/>
  <c r="BC17" i="62"/>
  <c r="BG17" i="62"/>
  <c r="AC27" i="62"/>
  <c r="AK27" i="62"/>
  <c r="AS27" i="62"/>
  <c r="BA27" i="62"/>
  <c r="BI27" i="62"/>
  <c r="X32" i="62"/>
  <c r="AF32" i="62"/>
  <c r="AN32" i="62"/>
  <c r="AV32" i="62"/>
  <c r="BD32" i="62"/>
  <c r="W37" i="62"/>
  <c r="AE37" i="62"/>
  <c r="AM37" i="62"/>
  <c r="BC37" i="62"/>
  <c r="Y47" i="62"/>
  <c r="X62" i="62"/>
  <c r="AB62" i="62"/>
  <c r="AF62" i="62"/>
  <c r="AJ62" i="62"/>
  <c r="AN62" i="62"/>
  <c r="AR62" i="62"/>
  <c r="AV62" i="62"/>
  <c r="AZ62" i="62"/>
  <c r="BD62" i="62"/>
  <c r="BH62" i="62"/>
  <c r="W12" i="62"/>
  <c r="BL12" i="62" s="1"/>
  <c r="AA12" i="62"/>
  <c r="AM12" i="62"/>
  <c r="AQ12" i="62"/>
  <c r="BC12" i="62"/>
  <c r="BG12" i="62"/>
  <c r="Y17" i="62"/>
  <c r="AC17" i="62"/>
  <c r="AG17" i="62"/>
  <c r="AK17" i="62"/>
  <c r="AO17" i="62"/>
  <c r="AS17" i="62"/>
  <c r="AW17" i="62"/>
  <c r="BA17" i="62"/>
  <c r="BE17" i="62"/>
  <c r="BI17" i="62"/>
  <c r="W27" i="62"/>
  <c r="AA27" i="62"/>
  <c r="AE27" i="62"/>
  <c r="AM27" i="62"/>
  <c r="AQ27" i="62"/>
  <c r="AY27" i="62"/>
  <c r="BC27" i="62"/>
  <c r="BG27" i="62"/>
  <c r="V32" i="62"/>
  <c r="BK32" i="62" s="1"/>
  <c r="AD32" i="62"/>
  <c r="AH32" i="62"/>
  <c r="AP32" i="62"/>
  <c r="AX32" i="62"/>
  <c r="BB32" i="62"/>
  <c r="BF32" i="62"/>
  <c r="BJ32" i="62"/>
  <c r="Y37" i="62"/>
  <c r="BL37" i="62" s="1"/>
  <c r="AC37" i="62"/>
  <c r="AG37" i="62"/>
  <c r="AK37" i="62"/>
  <c r="AS37" i="62"/>
  <c r="AW37" i="62"/>
  <c r="BA37" i="62"/>
  <c r="BE37" i="62"/>
  <c r="BI37" i="62"/>
  <c r="BF42" i="62"/>
  <c r="W47" i="62"/>
  <c r="AE47" i="62"/>
  <c r="AQ47" i="62"/>
  <c r="AY47" i="62"/>
  <c r="BG47" i="62"/>
  <c r="V67" i="62"/>
  <c r="Z67" i="62"/>
  <c r="AH67" i="62"/>
  <c r="AL67" i="62"/>
  <c r="AT67" i="62"/>
  <c r="AX67" i="62"/>
  <c r="BB67" i="62"/>
  <c r="BJ67" i="62"/>
  <c r="Y77" i="62"/>
  <c r="AC77" i="62"/>
  <c r="AG77" i="62"/>
  <c r="AK77" i="62"/>
  <c r="AO77" i="62"/>
  <c r="AS77" i="62"/>
  <c r="AW77" i="62"/>
  <c r="BA77" i="62"/>
  <c r="BE77" i="62"/>
  <c r="BI77" i="62"/>
  <c r="V102" i="62"/>
  <c r="Z102" i="62"/>
  <c r="AD102" i="62"/>
  <c r="AH102" i="62"/>
  <c r="AP102" i="62"/>
  <c r="AT102" i="62"/>
  <c r="AX102" i="62"/>
  <c r="BB102" i="62"/>
  <c r="BF102" i="62"/>
  <c r="BJ102" i="62"/>
  <c r="AD17" i="62"/>
  <c r="AT17" i="62"/>
  <c r="W42" i="62"/>
  <c r="AA42" i="62"/>
  <c r="AE42" i="62"/>
  <c r="AI42" i="62"/>
  <c r="AM42" i="62"/>
  <c r="AQ42" i="62"/>
  <c r="AY42" i="62"/>
  <c r="BC42" i="62"/>
  <c r="BG42" i="62"/>
  <c r="AJ47" i="62"/>
  <c r="AZ47" i="62"/>
  <c r="W52" i="62"/>
  <c r="AA52" i="62"/>
  <c r="AE52" i="62"/>
  <c r="AI52" i="62"/>
  <c r="AM52" i="62"/>
  <c r="AQ52" i="62"/>
  <c r="AY52" i="62"/>
  <c r="BC52" i="62"/>
  <c r="BG52" i="62"/>
  <c r="AD57" i="62"/>
  <c r="AT57" i="62"/>
  <c r="BJ57" i="62"/>
  <c r="W62" i="62"/>
  <c r="AA62" i="62"/>
  <c r="AE62" i="62"/>
  <c r="AM62" i="62"/>
  <c r="AQ62" i="62"/>
  <c r="AY62" i="62"/>
  <c r="BC62" i="62"/>
  <c r="BG62" i="62"/>
  <c r="AM67" i="62"/>
  <c r="AQ67" i="62"/>
  <c r="AY67" i="62"/>
  <c r="BC67" i="62"/>
  <c r="BG67" i="62"/>
  <c r="W72" i="62"/>
  <c r="AA72" i="62"/>
  <c r="AE72" i="62"/>
  <c r="AM72" i="62"/>
  <c r="AQ72" i="62"/>
  <c r="AY72" i="62"/>
  <c r="BC72" i="62"/>
  <c r="V72" i="62"/>
  <c r="BK72" i="62" s="1"/>
  <c r="Z72" i="62"/>
  <c r="AD72" i="62"/>
  <c r="AH72" i="62"/>
  <c r="AP72" i="62"/>
  <c r="AT72" i="62"/>
  <c r="AX72" i="62"/>
  <c r="BB72" i="62"/>
  <c r="BF72" i="62"/>
  <c r="BJ72" i="62"/>
  <c r="W82" i="62"/>
  <c r="AE82" i="62"/>
  <c r="AM82" i="62"/>
  <c r="AQ82" i="62"/>
  <c r="AY82" i="62"/>
  <c r="BC82" i="62"/>
  <c r="BG82" i="62"/>
  <c r="X97" i="62"/>
  <c r="AB97" i="62"/>
  <c r="AF97" i="62"/>
  <c r="AJ97" i="62"/>
  <c r="AN97" i="62"/>
  <c r="AR97" i="62"/>
  <c r="AV97" i="62"/>
  <c r="AZ97" i="62"/>
  <c r="BD97" i="62"/>
  <c r="BH97" i="62"/>
  <c r="W97" i="62"/>
  <c r="BL97" i="62" s="1"/>
  <c r="AA97" i="62"/>
  <c r="AE97" i="62"/>
  <c r="AM97" i="62"/>
  <c r="AQ97" i="62"/>
  <c r="AY97" i="62"/>
  <c r="BC97" i="62"/>
  <c r="BG97" i="62"/>
  <c r="V107" i="62"/>
  <c r="Z107" i="62"/>
  <c r="AD107" i="62"/>
  <c r="AH107" i="62"/>
  <c r="AP107" i="62"/>
  <c r="AT107" i="62"/>
  <c r="AX107" i="62"/>
  <c r="BB107" i="62"/>
  <c r="BF107" i="62"/>
  <c r="BJ107" i="62"/>
  <c r="AS97" i="62"/>
  <c r="AW97" i="62"/>
  <c r="BA97" i="62"/>
  <c r="BE97" i="62"/>
  <c r="BI97" i="62"/>
  <c r="W107" i="62"/>
  <c r="AA107" i="62"/>
  <c r="AE107" i="62"/>
  <c r="AM107" i="62"/>
  <c r="AQ107" i="62"/>
  <c r="AY107" i="62"/>
  <c r="BC107" i="62"/>
  <c r="BG107" i="62"/>
  <c r="BK92" i="62"/>
  <c r="BK87" i="62"/>
  <c r="BK97" i="62"/>
  <c r="BK102" i="62"/>
  <c r="BK22" i="62"/>
  <c r="BK57" i="62"/>
  <c r="BK12" i="62"/>
  <c r="BK17" i="62"/>
  <c r="BK47" i="62"/>
  <c r="BK52" i="62"/>
  <c r="BK82" i="62"/>
  <c r="W22" i="62"/>
  <c r="AA22" i="62"/>
  <c r="AE22" i="62"/>
  <c r="AM22" i="62"/>
  <c r="AQ22" i="62"/>
  <c r="AY22" i="62"/>
  <c r="BC22" i="62"/>
  <c r="BG22" i="62"/>
  <c r="Y32" i="62"/>
  <c r="AC32" i="62"/>
  <c r="AG32" i="62"/>
  <c r="AK32" i="62"/>
  <c r="AS32" i="62"/>
  <c r="AW32" i="62"/>
  <c r="BA32" i="62"/>
  <c r="BE32" i="62"/>
  <c r="BI32" i="62"/>
  <c r="BK37" i="62"/>
  <c r="BK67" i="62"/>
  <c r="AC47" i="62"/>
  <c r="AG47" i="62"/>
  <c r="AK47" i="62"/>
  <c r="AO47" i="62"/>
  <c r="AS47" i="62"/>
  <c r="AW47" i="62"/>
  <c r="BA47" i="62"/>
  <c r="BE47" i="62"/>
  <c r="BI47" i="62"/>
  <c r="V62" i="62"/>
  <c r="Z62" i="62"/>
  <c r="AD62" i="62"/>
  <c r="AH62" i="62"/>
  <c r="AP62" i="62"/>
  <c r="AT62" i="62"/>
  <c r="AX62" i="62"/>
  <c r="BB62" i="62"/>
  <c r="BF62" i="62"/>
  <c r="BJ62" i="62"/>
  <c r="X52" i="62"/>
  <c r="AB52" i="62"/>
  <c r="AF52" i="62"/>
  <c r="AJ52" i="62"/>
  <c r="AN52" i="62"/>
  <c r="AR52" i="62"/>
  <c r="AV52" i="62"/>
  <c r="AZ52" i="62"/>
  <c r="BD52" i="62"/>
  <c r="BH52" i="62"/>
  <c r="Y67" i="62"/>
  <c r="AC67" i="62"/>
  <c r="AG67" i="62"/>
  <c r="AK67" i="62"/>
  <c r="AO67" i="62"/>
  <c r="AS67" i="62"/>
  <c r="AW67" i="62"/>
  <c r="BA67" i="62"/>
  <c r="BE67" i="62"/>
  <c r="BI67" i="62"/>
  <c r="X72" i="62"/>
  <c r="BL72" i="62" s="1"/>
  <c r="AB72" i="62"/>
  <c r="AF72" i="62"/>
  <c r="AJ72" i="62"/>
  <c r="AN72" i="62"/>
  <c r="AR72" i="62"/>
  <c r="AV72" i="62"/>
  <c r="AZ72" i="62"/>
  <c r="BD72" i="62"/>
  <c r="BH72" i="62"/>
  <c r="BL107" i="62" l="1"/>
  <c r="BL82" i="62"/>
  <c r="BL102" i="62"/>
  <c r="BL77" i="62"/>
  <c r="BL27" i="62"/>
  <c r="BL42" i="62"/>
  <c r="BL67" i="62"/>
  <c r="BL52" i="62"/>
  <c r="BL32" i="62"/>
  <c r="BL22" i="62"/>
  <c r="BK107" i="62"/>
  <c r="BL47" i="62"/>
  <c r="BL62" i="62"/>
  <c r="BK62" i="62"/>
  <c r="BJ51" i="63" l="1"/>
  <c r="BI51" i="63"/>
  <c r="BH51" i="63"/>
  <c r="BG51" i="63"/>
  <c r="BF51" i="63"/>
  <c r="BE51" i="63"/>
  <c r="BD51" i="63"/>
  <c r="BC51" i="63"/>
  <c r="BB51" i="63"/>
  <c r="BA51" i="63"/>
  <c r="AZ51" i="63"/>
  <c r="AY51" i="63"/>
  <c r="AX51" i="63"/>
  <c r="AW51" i="63"/>
  <c r="AV51" i="63"/>
  <c r="AU51" i="63"/>
  <c r="AT51" i="63"/>
  <c r="AS51" i="63"/>
  <c r="AR51" i="63"/>
  <c r="AQ51" i="63"/>
  <c r="AP51" i="63"/>
  <c r="AO51" i="63"/>
  <c r="AN51" i="63"/>
  <c r="AM51" i="63"/>
  <c r="AL51" i="63"/>
  <c r="AK51" i="63"/>
  <c r="AJ51" i="63"/>
  <c r="AI51" i="63"/>
  <c r="AH51" i="63"/>
  <c r="AG51" i="63"/>
  <c r="AF51" i="63"/>
  <c r="AE51" i="63"/>
  <c r="AD51" i="63"/>
  <c r="AC51" i="63"/>
  <c r="AB51" i="63"/>
  <c r="AA51" i="63"/>
  <c r="Z51" i="63"/>
  <c r="Y51" i="63"/>
  <c r="X51" i="63"/>
  <c r="W51" i="63"/>
  <c r="V51" i="63"/>
  <c r="BJ50" i="63"/>
  <c r="BI50" i="63"/>
  <c r="BI52" i="63" s="1"/>
  <c r="BH50" i="63"/>
  <c r="BG50" i="63"/>
  <c r="BF50" i="63"/>
  <c r="BF52" i="63" s="1"/>
  <c r="BE50" i="63"/>
  <c r="BE52" i="63" s="1"/>
  <c r="BD50" i="63"/>
  <c r="BC50" i="63"/>
  <c r="BB50" i="63"/>
  <c r="BA50" i="63"/>
  <c r="BA52" i="63" s="1"/>
  <c r="AZ50" i="63"/>
  <c r="AY50" i="63"/>
  <c r="AX50" i="63"/>
  <c r="AX52" i="63" s="1"/>
  <c r="AW50" i="63"/>
  <c r="AW52" i="63" s="1"/>
  <c r="AV50" i="63"/>
  <c r="AU50" i="63"/>
  <c r="AU52" i="63" s="1"/>
  <c r="AT50" i="63"/>
  <c r="AS50" i="63"/>
  <c r="AS52" i="63" s="1"/>
  <c r="AR50" i="63"/>
  <c r="AQ50" i="63"/>
  <c r="AP50" i="63"/>
  <c r="AP52" i="63" s="1"/>
  <c r="AO50" i="63"/>
  <c r="AO52" i="63" s="1"/>
  <c r="AN50" i="63"/>
  <c r="AM50" i="63"/>
  <c r="AL50" i="63"/>
  <c r="AL52" i="63" s="1"/>
  <c r="AK50" i="63"/>
  <c r="AK52" i="63" s="1"/>
  <c r="AJ50" i="63"/>
  <c r="AI50" i="63"/>
  <c r="AI52" i="63" s="1"/>
  <c r="AH50" i="63"/>
  <c r="AH52" i="63" s="1"/>
  <c r="AG50" i="63"/>
  <c r="AG52" i="63" s="1"/>
  <c r="AF50" i="63"/>
  <c r="AE50" i="63"/>
  <c r="AD50" i="63"/>
  <c r="AD52" i="63" s="1"/>
  <c r="AC50" i="63"/>
  <c r="AC52" i="63" s="1"/>
  <c r="AB50" i="63"/>
  <c r="AA50" i="63"/>
  <c r="Z50" i="63"/>
  <c r="Z52" i="63" s="1"/>
  <c r="Y50" i="63"/>
  <c r="Y52" i="63" s="1"/>
  <c r="X50" i="63"/>
  <c r="W50" i="63"/>
  <c r="V50" i="63"/>
  <c r="V52" i="63" s="1"/>
  <c r="BJ46" i="63"/>
  <c r="BI46" i="63"/>
  <c r="BH46" i="63"/>
  <c r="BG46" i="63"/>
  <c r="BF46" i="63"/>
  <c r="BE46" i="63"/>
  <c r="BD46" i="63"/>
  <c r="BC46" i="63"/>
  <c r="BB46" i="63"/>
  <c r="BA46" i="63"/>
  <c r="AZ46" i="63"/>
  <c r="AY46" i="63"/>
  <c r="AX46" i="63"/>
  <c r="AW46" i="63"/>
  <c r="AV46" i="63"/>
  <c r="AU46" i="63"/>
  <c r="AT46" i="63"/>
  <c r="AS46" i="63"/>
  <c r="AR46" i="63"/>
  <c r="AQ46" i="63"/>
  <c r="AP46" i="63"/>
  <c r="AO46" i="63"/>
  <c r="AN46" i="63"/>
  <c r="AM46" i="63"/>
  <c r="AL46" i="63"/>
  <c r="AK46" i="63"/>
  <c r="AJ46" i="63"/>
  <c r="AI46" i="63"/>
  <c r="AH46" i="63"/>
  <c r="AG46" i="63"/>
  <c r="AF46" i="63"/>
  <c r="AE46" i="63"/>
  <c r="AD46" i="63"/>
  <c r="AC46" i="63"/>
  <c r="AB46" i="63"/>
  <c r="AA46" i="63"/>
  <c r="Z46" i="63"/>
  <c r="Y46" i="63"/>
  <c r="X46" i="63"/>
  <c r="W46" i="63"/>
  <c r="V46" i="63"/>
  <c r="BJ45" i="63"/>
  <c r="BI45" i="63"/>
  <c r="BH45" i="63"/>
  <c r="BG45" i="63"/>
  <c r="BF45" i="63"/>
  <c r="BE45" i="63"/>
  <c r="BD45" i="63"/>
  <c r="BC45" i="63"/>
  <c r="BC47" i="63" s="1"/>
  <c r="BB45" i="63"/>
  <c r="BA45" i="63"/>
  <c r="AZ45" i="63"/>
  <c r="AY45" i="63"/>
  <c r="AX45" i="63"/>
  <c r="AW45" i="63"/>
  <c r="AV45" i="63"/>
  <c r="AU45" i="63"/>
  <c r="AU47" i="63" s="1"/>
  <c r="AT45" i="63"/>
  <c r="AS45" i="63"/>
  <c r="AR45" i="63"/>
  <c r="AQ45" i="63"/>
  <c r="AP45" i="63"/>
  <c r="AO45" i="63"/>
  <c r="AN45" i="63"/>
  <c r="AM45" i="63"/>
  <c r="AM47" i="63" s="1"/>
  <c r="AL45" i="63"/>
  <c r="AL47" i="63" s="1"/>
  <c r="AK45" i="63"/>
  <c r="AJ45" i="63"/>
  <c r="AI45" i="63"/>
  <c r="AI47" i="63" s="1"/>
  <c r="AH45" i="63"/>
  <c r="AG45" i="63"/>
  <c r="AF45" i="63"/>
  <c r="AE45" i="63"/>
  <c r="AE47" i="63" s="1"/>
  <c r="AD45" i="63"/>
  <c r="AC45" i="63"/>
  <c r="AB45" i="63"/>
  <c r="AA45" i="63"/>
  <c r="Z45" i="63"/>
  <c r="Y45" i="63"/>
  <c r="X45" i="63"/>
  <c r="W45" i="63"/>
  <c r="W47" i="63" s="1"/>
  <c r="V45" i="63"/>
  <c r="BJ41" i="63"/>
  <c r="BI41" i="63"/>
  <c r="BH41" i="63"/>
  <c r="BG41" i="63"/>
  <c r="BF41" i="63"/>
  <c r="BE41" i="63"/>
  <c r="BD41" i="63"/>
  <c r="BC41" i="63"/>
  <c r="BB41" i="63"/>
  <c r="BA41" i="63"/>
  <c r="AZ41" i="63"/>
  <c r="AY41" i="63"/>
  <c r="AX41" i="63"/>
  <c r="AW41" i="63"/>
  <c r="AV41" i="63"/>
  <c r="AU41" i="63"/>
  <c r="AT41" i="63"/>
  <c r="AS41" i="63"/>
  <c r="AR41" i="63"/>
  <c r="AQ41" i="63"/>
  <c r="AP41" i="63"/>
  <c r="AO41" i="63"/>
  <c r="AN41" i="63"/>
  <c r="AM41" i="63"/>
  <c r="AL41" i="63"/>
  <c r="AK41" i="63"/>
  <c r="AJ41" i="63"/>
  <c r="AI41" i="63"/>
  <c r="AH41" i="63"/>
  <c r="AG41" i="63"/>
  <c r="AF41" i="63"/>
  <c r="AE41" i="63"/>
  <c r="AD41" i="63"/>
  <c r="AC41" i="63"/>
  <c r="AB41" i="63"/>
  <c r="AA41" i="63"/>
  <c r="Z41" i="63"/>
  <c r="Y41" i="63"/>
  <c r="X41" i="63"/>
  <c r="W41" i="63"/>
  <c r="V41" i="63"/>
  <c r="BJ40" i="63"/>
  <c r="BI40" i="63"/>
  <c r="BI42" i="63" s="1"/>
  <c r="BH40" i="63"/>
  <c r="BG40" i="63"/>
  <c r="BF40" i="63"/>
  <c r="BE40" i="63"/>
  <c r="BE42" i="63" s="1"/>
  <c r="BD40" i="63"/>
  <c r="BC40" i="63"/>
  <c r="BB40" i="63"/>
  <c r="BA40" i="63"/>
  <c r="BA42" i="63" s="1"/>
  <c r="AZ40" i="63"/>
  <c r="AY40" i="63"/>
  <c r="AX40" i="63"/>
  <c r="AW40" i="63"/>
  <c r="AW42" i="63" s="1"/>
  <c r="AV40" i="63"/>
  <c r="AU40" i="63"/>
  <c r="AU42" i="63" s="1"/>
  <c r="AT40" i="63"/>
  <c r="AS40" i="63"/>
  <c r="AS42" i="63" s="1"/>
  <c r="AR40" i="63"/>
  <c r="AQ40" i="63"/>
  <c r="AP40" i="63"/>
  <c r="AO40" i="63"/>
  <c r="AO42" i="63" s="1"/>
  <c r="AN40" i="63"/>
  <c r="AM40" i="63"/>
  <c r="AL40" i="63"/>
  <c r="AL42" i="63" s="1"/>
  <c r="AK40" i="63"/>
  <c r="AK42" i="63" s="1"/>
  <c r="AJ40" i="63"/>
  <c r="AI40" i="63"/>
  <c r="AI42" i="63" s="1"/>
  <c r="AH40" i="63"/>
  <c r="AH42" i="63" s="1"/>
  <c r="AG40" i="63"/>
  <c r="AG42" i="63" s="1"/>
  <c r="AF40" i="63"/>
  <c r="AE40" i="63"/>
  <c r="AD40" i="63"/>
  <c r="AD42" i="63" s="1"/>
  <c r="AC40" i="63"/>
  <c r="AC42" i="63" s="1"/>
  <c r="AB40" i="63"/>
  <c r="AA40" i="63"/>
  <c r="Z40" i="63"/>
  <c r="Z42" i="63" s="1"/>
  <c r="Y40" i="63"/>
  <c r="Y42" i="63" s="1"/>
  <c r="X40" i="63"/>
  <c r="W40" i="63"/>
  <c r="V40" i="63"/>
  <c r="V42" i="63" s="1"/>
  <c r="BK42" i="63" s="1"/>
  <c r="BJ36" i="63"/>
  <c r="BI36" i="63"/>
  <c r="BI37" i="63" s="1"/>
  <c r="BH36" i="63"/>
  <c r="BG36" i="63"/>
  <c r="BF36" i="63"/>
  <c r="BE36" i="63"/>
  <c r="BD36" i="63"/>
  <c r="BC36" i="63"/>
  <c r="BB36" i="63"/>
  <c r="BA36" i="63"/>
  <c r="AZ36" i="63"/>
  <c r="AY36" i="63"/>
  <c r="AX36" i="63"/>
  <c r="AW36" i="63"/>
  <c r="AV36" i="63"/>
  <c r="AU36" i="63"/>
  <c r="AT36" i="63"/>
  <c r="AS36" i="63"/>
  <c r="AR36" i="63"/>
  <c r="AQ36" i="63"/>
  <c r="AP36" i="63"/>
  <c r="AO36" i="63"/>
  <c r="AN36" i="63"/>
  <c r="AM36" i="63"/>
  <c r="AL36" i="63"/>
  <c r="AK36" i="63"/>
  <c r="AJ36" i="63"/>
  <c r="AI36" i="63"/>
  <c r="AH36" i="63"/>
  <c r="AG36" i="63"/>
  <c r="AF36" i="63"/>
  <c r="AE36" i="63"/>
  <c r="AD36" i="63"/>
  <c r="AC36" i="63"/>
  <c r="AB36" i="63"/>
  <c r="AA36" i="63"/>
  <c r="Z36" i="63"/>
  <c r="Y36" i="63"/>
  <c r="X36" i="63"/>
  <c r="W36" i="63"/>
  <c r="V36" i="63"/>
  <c r="BJ35" i="63"/>
  <c r="BI35" i="63"/>
  <c r="BH35" i="63"/>
  <c r="BH37" i="63" s="1"/>
  <c r="BG35" i="63"/>
  <c r="BG37" i="63" s="1"/>
  <c r="BF35" i="63"/>
  <c r="BE35" i="63"/>
  <c r="BD35" i="63"/>
  <c r="BD37" i="63" s="1"/>
  <c r="BC35" i="63"/>
  <c r="BC37" i="63" s="1"/>
  <c r="BB35" i="63"/>
  <c r="BA35" i="63"/>
  <c r="AZ35" i="63"/>
  <c r="AZ37" i="63" s="1"/>
  <c r="AY35" i="63"/>
  <c r="AY37" i="63" s="1"/>
  <c r="AX35" i="63"/>
  <c r="AW35" i="63"/>
  <c r="AV35" i="63"/>
  <c r="AV37" i="63" s="1"/>
  <c r="AU35" i="63"/>
  <c r="AU37" i="63" s="1"/>
  <c r="AT35" i="63"/>
  <c r="AS35" i="63"/>
  <c r="AR35" i="63"/>
  <c r="AR37" i="63" s="1"/>
  <c r="AQ35" i="63"/>
  <c r="AQ37" i="63" s="1"/>
  <c r="AP35" i="63"/>
  <c r="AO35" i="63"/>
  <c r="AN35" i="63"/>
  <c r="AN37" i="63" s="1"/>
  <c r="AM35" i="63"/>
  <c r="AM37" i="63" s="1"/>
  <c r="AL35" i="63"/>
  <c r="AL37" i="63" s="1"/>
  <c r="AK35" i="63"/>
  <c r="AJ35" i="63"/>
  <c r="AJ37" i="63" s="1"/>
  <c r="AI35" i="63"/>
  <c r="AI37" i="63" s="1"/>
  <c r="AH35" i="63"/>
  <c r="AG35" i="63"/>
  <c r="AF35" i="63"/>
  <c r="AF37" i="63" s="1"/>
  <c r="AE35" i="63"/>
  <c r="AE37" i="63" s="1"/>
  <c r="AD35" i="63"/>
  <c r="AC35" i="63"/>
  <c r="AB35" i="63"/>
  <c r="AB37" i="63" s="1"/>
  <c r="AA35" i="63"/>
  <c r="AA37" i="63" s="1"/>
  <c r="Z35" i="63"/>
  <c r="Y35" i="63"/>
  <c r="X35" i="63"/>
  <c r="X37" i="63" s="1"/>
  <c r="W35" i="63"/>
  <c r="W37" i="63" s="1"/>
  <c r="V35" i="63"/>
  <c r="BJ31" i="63"/>
  <c r="BI31" i="63"/>
  <c r="BH31" i="63"/>
  <c r="BG31" i="63"/>
  <c r="BF31" i="63"/>
  <c r="BE31" i="63"/>
  <c r="BD31" i="63"/>
  <c r="BC31" i="63"/>
  <c r="BB31" i="63"/>
  <c r="BA31" i="63"/>
  <c r="AZ31" i="63"/>
  <c r="AY31" i="63"/>
  <c r="AX31" i="63"/>
  <c r="AW31" i="63"/>
  <c r="AV31" i="63"/>
  <c r="AU31" i="63"/>
  <c r="AT31" i="63"/>
  <c r="AS31" i="63"/>
  <c r="AR31" i="63"/>
  <c r="AQ31" i="63"/>
  <c r="AP31" i="63"/>
  <c r="AO31" i="63"/>
  <c r="AN31" i="63"/>
  <c r="AM31" i="63"/>
  <c r="AL31" i="63"/>
  <c r="AK31" i="63"/>
  <c r="AJ31" i="63"/>
  <c r="AI31" i="63"/>
  <c r="AH31" i="63"/>
  <c r="AG31" i="63"/>
  <c r="AF31" i="63"/>
  <c r="AE31" i="63"/>
  <c r="AD31" i="63"/>
  <c r="AC31" i="63"/>
  <c r="AB31" i="63"/>
  <c r="AA31" i="63"/>
  <c r="Z31" i="63"/>
  <c r="Y31" i="63"/>
  <c r="X31" i="63"/>
  <c r="W31" i="63"/>
  <c r="V31" i="63"/>
  <c r="BJ30" i="63"/>
  <c r="BI30" i="63"/>
  <c r="BH30" i="63"/>
  <c r="BH32" i="63" s="1"/>
  <c r="BG30" i="63"/>
  <c r="BF30" i="63"/>
  <c r="BE30" i="63"/>
  <c r="BD30" i="63"/>
  <c r="BD32" i="63" s="1"/>
  <c r="BC30" i="63"/>
  <c r="BB30" i="63"/>
  <c r="BA30" i="63"/>
  <c r="AZ30" i="63"/>
  <c r="AZ32" i="63" s="1"/>
  <c r="AY30" i="63"/>
  <c r="AX30" i="63"/>
  <c r="AW30" i="63"/>
  <c r="AV30" i="63"/>
  <c r="AV32" i="63" s="1"/>
  <c r="AU30" i="63"/>
  <c r="AU32" i="63" s="1"/>
  <c r="AT30" i="63"/>
  <c r="AS30" i="63"/>
  <c r="AR30" i="63"/>
  <c r="AR32" i="63" s="1"/>
  <c r="AQ30" i="63"/>
  <c r="AP30" i="63"/>
  <c r="AO30" i="63"/>
  <c r="AN30" i="63"/>
  <c r="AN32" i="63" s="1"/>
  <c r="AM30" i="63"/>
  <c r="AL30" i="63"/>
  <c r="AL32" i="63" s="1"/>
  <c r="AK30" i="63"/>
  <c r="AJ30" i="63"/>
  <c r="AJ32" i="63" s="1"/>
  <c r="AI30" i="63"/>
  <c r="AI32" i="63" s="1"/>
  <c r="AH30" i="63"/>
  <c r="AG30" i="63"/>
  <c r="AF30" i="63"/>
  <c r="AF32" i="63" s="1"/>
  <c r="AE30" i="63"/>
  <c r="AD30" i="63"/>
  <c r="AC30" i="63"/>
  <c r="AB30" i="63"/>
  <c r="AB32" i="63" s="1"/>
  <c r="AA30" i="63"/>
  <c r="Z30" i="63"/>
  <c r="Y30" i="63"/>
  <c r="Y32" i="63" s="1"/>
  <c r="X30" i="63"/>
  <c r="X32" i="63" s="1"/>
  <c r="W30" i="63"/>
  <c r="V30" i="63"/>
  <c r="BJ26" i="63"/>
  <c r="BI26" i="63"/>
  <c r="BH26" i="63"/>
  <c r="BG26" i="63"/>
  <c r="BF26" i="63"/>
  <c r="BE26" i="63"/>
  <c r="BD26" i="63"/>
  <c r="BC26" i="63"/>
  <c r="BB26" i="63"/>
  <c r="BA26" i="63"/>
  <c r="AZ26" i="63"/>
  <c r="AY26" i="63"/>
  <c r="AX26" i="63"/>
  <c r="AW26" i="63"/>
  <c r="AV26" i="63"/>
  <c r="AU26" i="63"/>
  <c r="AT26" i="63"/>
  <c r="AS26" i="63"/>
  <c r="AR26" i="63"/>
  <c r="AQ26" i="63"/>
  <c r="AP26" i="63"/>
  <c r="AO26" i="63"/>
  <c r="AN26" i="63"/>
  <c r="AM26" i="63"/>
  <c r="AL26" i="63"/>
  <c r="AK26" i="63"/>
  <c r="AJ26" i="63"/>
  <c r="AI26" i="63"/>
  <c r="AH26" i="63"/>
  <c r="AG26" i="63"/>
  <c r="AF26" i="63"/>
  <c r="AE26" i="63"/>
  <c r="AD26" i="63"/>
  <c r="AC26" i="63"/>
  <c r="AB26" i="63"/>
  <c r="AA26" i="63"/>
  <c r="Z26" i="63"/>
  <c r="Y26" i="63"/>
  <c r="X26" i="63"/>
  <c r="W26" i="63"/>
  <c r="V26" i="63"/>
  <c r="BJ25" i="63"/>
  <c r="BJ27" i="63" s="1"/>
  <c r="BI25" i="63"/>
  <c r="BH25" i="63"/>
  <c r="BH27" i="63" s="1"/>
  <c r="BG25" i="63"/>
  <c r="BF25" i="63"/>
  <c r="BF27" i="63" s="1"/>
  <c r="BE25" i="63"/>
  <c r="BD25" i="63"/>
  <c r="BD27" i="63" s="1"/>
  <c r="BC25" i="63"/>
  <c r="BB25" i="63"/>
  <c r="BB27" i="63" s="1"/>
  <c r="BA25" i="63"/>
  <c r="AZ25" i="63"/>
  <c r="AZ27" i="63" s="1"/>
  <c r="AY25" i="63"/>
  <c r="AX25" i="63"/>
  <c r="AW25" i="63"/>
  <c r="AV25" i="63"/>
  <c r="AV27" i="63" s="1"/>
  <c r="AU25" i="63"/>
  <c r="AU27" i="63" s="1"/>
  <c r="AT25" i="63"/>
  <c r="AT27" i="63" s="1"/>
  <c r="AS25" i="63"/>
  <c r="AR25" i="63"/>
  <c r="AR27" i="63" s="1"/>
  <c r="AQ25" i="63"/>
  <c r="AP25" i="63"/>
  <c r="AO25" i="63"/>
  <c r="AN25" i="63"/>
  <c r="AN27" i="63" s="1"/>
  <c r="AM25" i="63"/>
  <c r="AL25" i="63"/>
  <c r="AL27" i="63" s="1"/>
  <c r="AK25" i="63"/>
  <c r="AJ25" i="63"/>
  <c r="AJ27" i="63" s="1"/>
  <c r="AI25" i="63"/>
  <c r="AH25" i="63"/>
  <c r="AH27" i="63" s="1"/>
  <c r="AG25" i="63"/>
  <c r="AF25" i="63"/>
  <c r="AF27" i="63" s="1"/>
  <c r="AE25" i="63"/>
  <c r="AD25" i="63"/>
  <c r="AC25" i="63"/>
  <c r="AB25" i="63"/>
  <c r="AB27" i="63" s="1"/>
  <c r="AA25" i="63"/>
  <c r="Z25" i="63"/>
  <c r="Z27" i="63" s="1"/>
  <c r="Y25" i="63"/>
  <c r="X25" i="63"/>
  <c r="X27" i="63" s="1"/>
  <c r="W25" i="63"/>
  <c r="V25" i="63"/>
  <c r="V27" i="63" s="1"/>
  <c r="BJ21" i="63"/>
  <c r="BI21" i="63"/>
  <c r="BH21" i="63"/>
  <c r="BG21" i="63"/>
  <c r="BF21" i="63"/>
  <c r="BE21" i="63"/>
  <c r="BD21" i="63"/>
  <c r="BC21" i="63"/>
  <c r="BB21" i="63"/>
  <c r="BA21" i="63"/>
  <c r="AZ21" i="63"/>
  <c r="AY21" i="63"/>
  <c r="AX21" i="63"/>
  <c r="AW21" i="63"/>
  <c r="AV21" i="63"/>
  <c r="AU21" i="63"/>
  <c r="AT21" i="63"/>
  <c r="AS21" i="63"/>
  <c r="AR21" i="63"/>
  <c r="AQ21" i="63"/>
  <c r="AP21" i="63"/>
  <c r="AO21" i="63"/>
  <c r="AN21" i="63"/>
  <c r="AM21" i="63"/>
  <c r="AL21" i="63"/>
  <c r="AK21" i="63"/>
  <c r="AJ21" i="63"/>
  <c r="AI21" i="63"/>
  <c r="AH21" i="63"/>
  <c r="AG21" i="63"/>
  <c r="AF21" i="63"/>
  <c r="AE21" i="63"/>
  <c r="AD21" i="63"/>
  <c r="AC21" i="63"/>
  <c r="AB21" i="63"/>
  <c r="AA21" i="63"/>
  <c r="Z21" i="63"/>
  <c r="Y21" i="63"/>
  <c r="X21" i="63"/>
  <c r="W21" i="63"/>
  <c r="V21" i="63"/>
  <c r="BJ20" i="63"/>
  <c r="BI20" i="63"/>
  <c r="BH20" i="63"/>
  <c r="BH22" i="63" s="1"/>
  <c r="BG20" i="63"/>
  <c r="BF20" i="63"/>
  <c r="BE20" i="63"/>
  <c r="BD20" i="63"/>
  <c r="BC20" i="63"/>
  <c r="BB20" i="63"/>
  <c r="BA20" i="63"/>
  <c r="AZ20" i="63"/>
  <c r="AZ22" i="63" s="1"/>
  <c r="AY20" i="63"/>
  <c r="AX20" i="63"/>
  <c r="AW20" i="63"/>
  <c r="AV20" i="63"/>
  <c r="AU20" i="63"/>
  <c r="AU22" i="63" s="1"/>
  <c r="AT20" i="63"/>
  <c r="AS20" i="63"/>
  <c r="AR20" i="63"/>
  <c r="AR22" i="63" s="1"/>
  <c r="AQ20" i="63"/>
  <c r="AP20" i="63"/>
  <c r="AO20" i="63"/>
  <c r="AN20" i="63"/>
  <c r="AM20" i="63"/>
  <c r="AL20" i="63"/>
  <c r="AL22" i="63" s="1"/>
  <c r="AK20" i="63"/>
  <c r="AJ20" i="63"/>
  <c r="AI20" i="63"/>
  <c r="AI22" i="63" s="1"/>
  <c r="AH20" i="63"/>
  <c r="AG20" i="63"/>
  <c r="AF20" i="63"/>
  <c r="AE20" i="63"/>
  <c r="AD20" i="63"/>
  <c r="AC20" i="63"/>
  <c r="AB20" i="63"/>
  <c r="AB22" i="63" s="1"/>
  <c r="AA20" i="63"/>
  <c r="Z20" i="63"/>
  <c r="Z22" i="63" s="1"/>
  <c r="Y20" i="63"/>
  <c r="X20" i="63"/>
  <c r="W20" i="63"/>
  <c r="V20" i="63"/>
  <c r="BJ16" i="63"/>
  <c r="BI16" i="63"/>
  <c r="BH16" i="63"/>
  <c r="BG16" i="63"/>
  <c r="BF16" i="63"/>
  <c r="BE16" i="63"/>
  <c r="BD16" i="63"/>
  <c r="BC16" i="63"/>
  <c r="BB16" i="63"/>
  <c r="BA16" i="63"/>
  <c r="AZ16" i="63"/>
  <c r="AY16" i="63"/>
  <c r="AX16" i="63"/>
  <c r="AW16" i="63"/>
  <c r="AV16" i="63"/>
  <c r="AU16" i="63"/>
  <c r="AT16" i="63"/>
  <c r="AS16" i="63"/>
  <c r="AR16" i="63"/>
  <c r="AQ16" i="63"/>
  <c r="AP16" i="63"/>
  <c r="AO16" i="63"/>
  <c r="AN16" i="63"/>
  <c r="AM16" i="63"/>
  <c r="AL16" i="63"/>
  <c r="AK16" i="63"/>
  <c r="AJ16" i="63"/>
  <c r="AI16" i="63"/>
  <c r="AH16" i="63"/>
  <c r="AG16" i="63"/>
  <c r="AF16" i="63"/>
  <c r="AE16" i="63"/>
  <c r="AD16" i="63"/>
  <c r="AC16" i="63"/>
  <c r="AB16" i="63"/>
  <c r="AA16" i="63"/>
  <c r="Z16" i="63"/>
  <c r="Y16" i="63"/>
  <c r="X16" i="63"/>
  <c r="W16" i="63"/>
  <c r="V16" i="63"/>
  <c r="BJ15" i="63"/>
  <c r="BI15" i="63"/>
  <c r="BH15" i="63"/>
  <c r="BH17" i="63" s="1"/>
  <c r="BG15" i="63"/>
  <c r="BF15" i="63"/>
  <c r="BE15" i="63"/>
  <c r="BD15" i="63"/>
  <c r="BD17" i="63" s="1"/>
  <c r="BC15" i="63"/>
  <c r="BB15" i="63"/>
  <c r="BA15" i="63"/>
  <c r="AZ15" i="63"/>
  <c r="AZ17" i="63" s="1"/>
  <c r="AY15" i="63"/>
  <c r="AX15" i="63"/>
  <c r="AW15" i="63"/>
  <c r="AV15" i="63"/>
  <c r="AV17" i="63" s="1"/>
  <c r="AU15" i="63"/>
  <c r="AU17" i="63" s="1"/>
  <c r="AT15" i="63"/>
  <c r="AS15" i="63"/>
  <c r="AR15" i="63"/>
  <c r="AR17" i="63" s="1"/>
  <c r="AQ15" i="63"/>
  <c r="AP15" i="63"/>
  <c r="AO15" i="63"/>
  <c r="AO17" i="63" s="1"/>
  <c r="AN15" i="63"/>
  <c r="AN17" i="63" s="1"/>
  <c r="AM15" i="63"/>
  <c r="AL15" i="63"/>
  <c r="AL17" i="63" s="1"/>
  <c r="AK15" i="63"/>
  <c r="AJ15" i="63"/>
  <c r="AJ17" i="63" s="1"/>
  <c r="AI15" i="63"/>
  <c r="AI17" i="63" s="1"/>
  <c r="AH15" i="63"/>
  <c r="AG15" i="63"/>
  <c r="AF15" i="63"/>
  <c r="AF17" i="63" s="1"/>
  <c r="AE15" i="63"/>
  <c r="AD15" i="63"/>
  <c r="AC15" i="63"/>
  <c r="AB15" i="63"/>
  <c r="AB17" i="63" s="1"/>
  <c r="AA15" i="63"/>
  <c r="Z15" i="63"/>
  <c r="Z17" i="63" s="1"/>
  <c r="Y15" i="63"/>
  <c r="X15" i="63"/>
  <c r="X17" i="63" s="1"/>
  <c r="W15" i="63"/>
  <c r="V15" i="63"/>
  <c r="V17" i="63" s="1"/>
  <c r="BK17" i="63" s="1"/>
  <c r="AD47" i="63" l="1"/>
  <c r="AP47" i="63"/>
  <c r="BB47" i="63"/>
  <c r="BF47" i="63"/>
  <c r="AC37" i="63"/>
  <c r="BA37" i="63"/>
  <c r="BG42" i="63"/>
  <c r="Y47" i="63"/>
  <c r="AC47" i="63"/>
  <c r="AG47" i="63"/>
  <c r="AK47" i="63"/>
  <c r="AO47" i="63"/>
  <c r="AS47" i="63"/>
  <c r="AW47" i="63"/>
  <c r="BA47" i="63"/>
  <c r="BE47" i="63"/>
  <c r="BI47" i="63"/>
  <c r="W22" i="63"/>
  <c r="AA22" i="63"/>
  <c r="AE22" i="63"/>
  <c r="AM22" i="63"/>
  <c r="AQ22" i="63"/>
  <c r="AY22" i="63"/>
  <c r="BC22" i="63"/>
  <c r="BG22" i="63"/>
  <c r="Y22" i="63"/>
  <c r="AC22" i="63"/>
  <c r="AG22" i="63"/>
  <c r="AK22" i="63"/>
  <c r="AO22" i="63"/>
  <c r="AS22" i="63"/>
  <c r="AW22" i="63"/>
  <c r="BA22" i="63"/>
  <c r="BE22" i="63"/>
  <c r="BI22" i="63"/>
  <c r="AA27" i="63"/>
  <c r="AI27" i="63"/>
  <c r="AQ27" i="63"/>
  <c r="AY27" i="63"/>
  <c r="BG27" i="63"/>
  <c r="AC32" i="63"/>
  <c r="AG32" i="63"/>
  <c r="AK32" i="63"/>
  <c r="AO32" i="63"/>
  <c r="AS32" i="63"/>
  <c r="AW32" i="63"/>
  <c r="BA32" i="63"/>
  <c r="BE32" i="63"/>
  <c r="BI32" i="63"/>
  <c r="Y37" i="63"/>
  <c r="AG37" i="63"/>
  <c r="AK37" i="63"/>
  <c r="AO37" i="63"/>
  <c r="AS37" i="63"/>
  <c r="AW37" i="63"/>
  <c r="BE37" i="63"/>
  <c r="AA42" i="63"/>
  <c r="AQ42" i="63"/>
  <c r="AH47" i="63"/>
  <c r="AD27" i="63"/>
  <c r="AX27" i="63"/>
  <c r="AB42" i="63"/>
  <c r="AJ42" i="63"/>
  <c r="AV42" i="63"/>
  <c r="BD42" i="63"/>
  <c r="W17" i="63"/>
  <c r="X22" i="63"/>
  <c r="AF22" i="63"/>
  <c r="AJ22" i="63"/>
  <c r="AN22" i="63"/>
  <c r="AV22" i="63"/>
  <c r="BD22" i="63"/>
  <c r="AP27" i="63"/>
  <c r="X42" i="63"/>
  <c r="AF42" i="63"/>
  <c r="AN42" i="63"/>
  <c r="AR42" i="63"/>
  <c r="AZ42" i="63"/>
  <c r="BH42" i="63"/>
  <c r="Y17" i="63"/>
  <c r="AC17" i="63"/>
  <c r="AG17" i="63"/>
  <c r="AK17" i="63"/>
  <c r="AS17" i="63"/>
  <c r="AW17" i="63"/>
  <c r="BA17" i="63"/>
  <c r="BE17" i="63"/>
  <c r="BI17" i="63"/>
  <c r="V22" i="63"/>
  <c r="AD22" i="63"/>
  <c r="AH22" i="63"/>
  <c r="AP22" i="63"/>
  <c r="AT22" i="63"/>
  <c r="AX22" i="63"/>
  <c r="BB22" i="63"/>
  <c r="BF22" i="63"/>
  <c r="BJ22" i="63"/>
  <c r="Y27" i="63"/>
  <c r="AC27" i="63"/>
  <c r="AG27" i="63"/>
  <c r="AK27" i="63"/>
  <c r="AO27" i="63"/>
  <c r="AS27" i="63"/>
  <c r="AW27" i="63"/>
  <c r="BA27" i="63"/>
  <c r="BE27" i="63"/>
  <c r="BI27" i="63"/>
  <c r="W42" i="63"/>
  <c r="BL42" i="63" s="1"/>
  <c r="AE42" i="63"/>
  <c r="AM42" i="63"/>
  <c r="AY42" i="63"/>
  <c r="BC42" i="63"/>
  <c r="V47" i="63"/>
  <c r="BK47" i="63" s="1"/>
  <c r="Z47" i="63"/>
  <c r="AT47" i="63"/>
  <c r="AX47" i="63"/>
  <c r="BJ47" i="63"/>
  <c r="W52" i="63"/>
  <c r="AA52" i="63"/>
  <c r="AE52" i="63"/>
  <c r="AM52" i="63"/>
  <c r="AQ52" i="63"/>
  <c r="W27" i="63"/>
  <c r="AE27" i="63"/>
  <c r="AM27" i="63"/>
  <c r="BC27" i="63"/>
  <c r="AP42" i="63"/>
  <c r="AT42" i="63"/>
  <c r="AX42" i="63"/>
  <c r="BB42" i="63"/>
  <c r="BF42" i="63"/>
  <c r="BJ42" i="63"/>
  <c r="AD17" i="63"/>
  <c r="AH17" i="63"/>
  <c r="AP17" i="63"/>
  <c r="AT17" i="63"/>
  <c r="AX17" i="63"/>
  <c r="BB17" i="63"/>
  <c r="BF17" i="63"/>
  <c r="BJ17" i="63"/>
  <c r="AT52" i="63"/>
  <c r="BB52" i="63"/>
  <c r="BJ52" i="63"/>
  <c r="W32" i="63"/>
  <c r="AA32" i="63"/>
  <c r="AE32" i="63"/>
  <c r="AM32" i="63"/>
  <c r="AQ32" i="63"/>
  <c r="AY32" i="63"/>
  <c r="BC32" i="63"/>
  <c r="BG32" i="63"/>
  <c r="V32" i="63"/>
  <c r="BK32" i="63" s="1"/>
  <c r="Z32" i="63"/>
  <c r="AD32" i="63"/>
  <c r="AH32" i="63"/>
  <c r="AP32" i="63"/>
  <c r="AT32" i="63"/>
  <c r="AX32" i="63"/>
  <c r="BB32" i="63"/>
  <c r="BF32" i="63"/>
  <c r="BJ32" i="63"/>
  <c r="AA47" i="63"/>
  <c r="AQ47" i="63"/>
  <c r="AY47" i="63"/>
  <c r="BG47" i="63"/>
  <c r="X52" i="63"/>
  <c r="AB52" i="63"/>
  <c r="AF52" i="63"/>
  <c r="AJ52" i="63"/>
  <c r="AN52" i="63"/>
  <c r="AR52" i="63"/>
  <c r="AV52" i="63"/>
  <c r="AZ52" i="63"/>
  <c r="BD52" i="63"/>
  <c r="BH52" i="63"/>
  <c r="BK27" i="63"/>
  <c r="V37" i="63"/>
  <c r="Z37" i="63"/>
  <c r="AD37" i="63"/>
  <c r="AH37" i="63"/>
  <c r="AP37" i="63"/>
  <c r="AT37" i="63"/>
  <c r="AX37" i="63"/>
  <c r="BB37" i="63"/>
  <c r="BF37" i="63"/>
  <c r="BJ37" i="63"/>
  <c r="AY52" i="63"/>
  <c r="BC52" i="63"/>
  <c r="BG52" i="63"/>
  <c r="AA17" i="63"/>
  <c r="AE17" i="63"/>
  <c r="AM17" i="63"/>
  <c r="AQ17" i="63"/>
  <c r="AY17" i="63"/>
  <c r="BC17" i="63"/>
  <c r="BG17" i="63"/>
  <c r="X47" i="63"/>
  <c r="AB47" i="63"/>
  <c r="AF47" i="63"/>
  <c r="AJ47" i="63"/>
  <c r="AN47" i="63"/>
  <c r="AR47" i="63"/>
  <c r="AV47" i="63"/>
  <c r="AZ47" i="63"/>
  <c r="BD47" i="63"/>
  <c r="BH47" i="63"/>
  <c r="BK52" i="63"/>
  <c r="BL32" i="63" l="1"/>
  <c r="BL22" i="63"/>
  <c r="BL47" i="63"/>
  <c r="BK22" i="63"/>
  <c r="BL52" i="63"/>
  <c r="BL17" i="63"/>
  <c r="BL27" i="63"/>
  <c r="BK37" i="63"/>
  <c r="BL37" i="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tc={DE2097E9-4ED2-442C-AF51-2159AA1C7C2C}</author>
    <author>tc={EBE30D96-C135-4D57-BA32-BFA868DEFCF5}</author>
    <author>tc={84BE46D7-FDF6-4609-96EA-673F7ECA4AF9}</author>
    <author>tc={97C119F2-5EAB-4909-868A-2133915510A0}</author>
    <author>tc={67366174-0C5E-4F7F-9588-757B8F1ACD99}</author>
    <author>tc={8B62AE4D-428A-4BBD-B6F7-9E51055C928D}</author>
    <author>tc={63F0EAE1-65F7-4197-9CDC-2C7E946CD3E2}</author>
    <author>tc={0236AFB2-1FB6-4B67-8189-65E6FDB80332}</author>
    <author>tc={E45EADCC-0926-4BF7-9EB5-6A1939A0413B}</author>
    <author>tc={131E7150-5E90-4BEC-9DF0-23D038DC7DE5}</author>
  </authors>
  <commentList>
    <comment ref="A134" authorId="0" shapeId="0" xr:uid="{DE2097E9-4ED2-442C-AF51-2159AA1C7C2C}">
      <text>
        <t>[Threaded comment]
Your version of Excel allows you to read this threaded comment; however, any edits to it will get removed if the file is opened in a newer version of Excel. Learn more: https://go.microsoft.com/fwlink/?linkid=870924
Comment:
    Looks unusual and more like a wet blank. Did something go wrong during filtering?</t>
      </text>
    </comment>
    <comment ref="I240" authorId="1" shapeId="0" xr:uid="{EBE30D96-C135-4D57-BA32-BFA868DEFCF5}">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1" authorId="2" shapeId="0" xr:uid="{84BE46D7-FDF6-4609-96EA-673F7ECA4AF9}">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2" authorId="3" shapeId="0" xr:uid="{97C119F2-5EAB-4909-868A-2133915510A0}">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3" authorId="4" shapeId="0" xr:uid="{67366174-0C5E-4F7F-9588-757B8F1ACD99}">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4" authorId="5" shapeId="0" xr:uid="{8B62AE4D-428A-4BBD-B6F7-9E51055C928D}">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5" authorId="6" shapeId="0" xr:uid="{63F0EAE1-65F7-4197-9CDC-2C7E946CD3E2}">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8" authorId="7" shapeId="0" xr:uid="{0236AFB2-1FB6-4B67-8189-65E6FDB80332}">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49" authorId="8" shapeId="0" xr:uid="{E45EADCC-0926-4BF7-9EB5-6A1939A0413B}">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 ref="I250" authorId="9" shapeId="0" xr:uid="{131E7150-5E90-4BEC-9DF0-23D038DC7DE5}">
      <text>
        <t>[Threaded comment]
Your version of Excel allows you to read this threaded comment; however, any edits to it will get removed if the file is opened in a newer version of Excel. Learn more: https://go.microsoft.com/fwlink/?linkid=870924
Comment:
    Changed by hand by CST from information provided by T. Crockford 1/27/25</t>
      </text>
    </comment>
  </commentList>
</comments>
</file>

<file path=xl/sharedStrings.xml><?xml version="1.0" encoding="utf-8"?>
<sst xmlns="http://schemas.openxmlformats.org/spreadsheetml/2006/main" count="5639" uniqueCount="1077">
  <si>
    <t>DV chl a</t>
  </si>
  <si>
    <t>MV chla</t>
  </si>
  <si>
    <t>ug/L</t>
  </si>
  <si>
    <t>Vc (ml)</t>
  </si>
  <si>
    <t>Perid</t>
  </si>
  <si>
    <t>Fuco</t>
  </si>
  <si>
    <t>Chl c3</t>
  </si>
  <si>
    <t>But fuco</t>
  </si>
  <si>
    <t>Neo</t>
  </si>
  <si>
    <t>Pras</t>
  </si>
  <si>
    <t>Viola</t>
  </si>
  <si>
    <t>Hex fuco</t>
  </si>
  <si>
    <t>Diadino</t>
  </si>
  <si>
    <t>Allo</t>
  </si>
  <si>
    <t>Diato</t>
  </si>
  <si>
    <t>Zea</t>
  </si>
  <si>
    <t>Lut</t>
  </si>
  <si>
    <t>Gyr diester</t>
  </si>
  <si>
    <t>Caro</t>
  </si>
  <si>
    <t>Chlide a</t>
  </si>
  <si>
    <t>Phytin a</t>
  </si>
  <si>
    <t>Phide a</t>
  </si>
  <si>
    <t>AVG</t>
  </si>
  <si>
    <t>Effective LOQ for filtration volumes used</t>
  </si>
  <si>
    <t>Vol Filtered (ml)</t>
  </si>
  <si>
    <t>MV chl b</t>
  </si>
  <si>
    <t>ug/l</t>
  </si>
  <si>
    <t>comments</t>
  </si>
  <si>
    <t>[TChl]/[TCaro]</t>
  </si>
  <si>
    <t>Primary pigments</t>
  </si>
  <si>
    <t>Secondary pigments</t>
  </si>
  <si>
    <t>Tertiary pigments</t>
  </si>
  <si>
    <t>Ancillary pigment</t>
  </si>
  <si>
    <t>Pigment ratios</t>
  </si>
  <si>
    <t>Pigment Sums</t>
  </si>
  <si>
    <t>TChl a</t>
  </si>
  <si>
    <t>But-fuco</t>
  </si>
  <si>
    <t>Hex-fuco</t>
  </si>
  <si>
    <t>alloxanthin</t>
  </si>
  <si>
    <t>Primary Pigments</t>
  </si>
  <si>
    <t>full name</t>
  </si>
  <si>
    <t>notes</t>
  </si>
  <si>
    <t>alpha-beta-Car</t>
  </si>
  <si>
    <t>carotenes</t>
  </si>
  <si>
    <t>alpha (beta, epsilon) + beta (beta, beta) carotene. Unresolved and therefore undifferentiated</t>
  </si>
  <si>
    <t>19'-butanoyloxyfucoxanthin</t>
  </si>
  <si>
    <t>Chl_c3</t>
  </si>
  <si>
    <t>Chlide_a</t>
  </si>
  <si>
    <t>chlorophyllide a</t>
  </si>
  <si>
    <t>Diad</t>
  </si>
  <si>
    <t>diadinoxanthin</t>
  </si>
  <si>
    <t>diatoxanthin</t>
  </si>
  <si>
    <t>DP</t>
  </si>
  <si>
    <t>total diagnostic pigments</t>
  </si>
  <si>
    <t>DV_Chl_a</t>
  </si>
  <si>
    <t>DV_Chl_b</t>
  </si>
  <si>
    <t>DVChl a</t>
  </si>
  <si>
    <t>DVChl b</t>
  </si>
  <si>
    <t>Gyro</t>
  </si>
  <si>
    <t>19'-hexanoyloxyfucoxanthin</t>
  </si>
  <si>
    <t>MV_Chl_a</t>
  </si>
  <si>
    <t>MV_Chl_b</t>
  </si>
  <si>
    <t>Chl a</t>
  </si>
  <si>
    <t>Chl b</t>
  </si>
  <si>
    <t>Phide_a</t>
  </si>
  <si>
    <t>Phytin_a</t>
  </si>
  <si>
    <t>pheophytin a + pheophytin a'</t>
  </si>
  <si>
    <t>total pheophytin a</t>
  </si>
  <si>
    <t>total pheophorbide a</t>
  </si>
  <si>
    <t>multiple peaks</t>
  </si>
  <si>
    <t>PPC</t>
  </si>
  <si>
    <t>photoprotective carotenoids</t>
  </si>
  <si>
    <t>allo + diadino + diato + zea + alpha-beta-car</t>
  </si>
  <si>
    <t>[PPC]/[Tcar]</t>
  </si>
  <si>
    <t>PSC</t>
  </si>
  <si>
    <t>photosynthetic carotenoids</t>
  </si>
  <si>
    <t>but-fuco + fuco + hex-fuco + perid</t>
  </si>
  <si>
    <t>PSP</t>
  </si>
  <si>
    <t>phosynthetic pigments</t>
  </si>
  <si>
    <t>total accessory pigments</t>
  </si>
  <si>
    <t>PPC + PSC + Tot_Chl_b + Tot_Chl_c</t>
  </si>
  <si>
    <t>ratio of total accessory pigments to total chlorophll a</t>
  </si>
  <si>
    <t>[Tacc]/[Tchla]</t>
  </si>
  <si>
    <t xml:space="preserve">total carotenoids </t>
  </si>
  <si>
    <t>PPC + PSC</t>
  </si>
  <si>
    <t>total chlorophylls</t>
  </si>
  <si>
    <t>Tot_Chl_a +Tot_Chl_b +Tot_Chl_c</t>
  </si>
  <si>
    <t>ratio of total chlorophyll to total carotenoids</t>
  </si>
  <si>
    <t>raito of total chlorophyll a to total pigments</t>
  </si>
  <si>
    <t>Tot_Chl_a</t>
  </si>
  <si>
    <t>Tot_Chl_c</t>
  </si>
  <si>
    <t>Tot_Chl_b</t>
  </si>
  <si>
    <t>TChl b</t>
  </si>
  <si>
    <t>TChl c</t>
  </si>
  <si>
    <t>total chlorophyll a</t>
  </si>
  <si>
    <t>total chlorophyll b</t>
  </si>
  <si>
    <t>total chlorophyll c</t>
  </si>
  <si>
    <t>total pigments</t>
  </si>
  <si>
    <t>DV_Chl_a + MV_Chl_a + Chlide_a + Chl_a allomers + Chl_a epimers</t>
  </si>
  <si>
    <t>DV_Chl_b + MV_Chl_b + Chl_b epimers</t>
  </si>
  <si>
    <t>Chl c12</t>
  </si>
  <si>
    <t>MGDVP</t>
  </si>
  <si>
    <t>Mg-2,4-divnyl pheoporphyrin a5 monomethyl ester</t>
  </si>
  <si>
    <t>description</t>
  </si>
  <si>
    <t>Secondary Pigments</t>
  </si>
  <si>
    <t>Tertiary Pigments</t>
  </si>
  <si>
    <t>Ancillary Pigment</t>
  </si>
  <si>
    <t>SeaBASS and</t>
  </si>
  <si>
    <t>current report abbreviation</t>
  </si>
  <si>
    <t>previous report abbreviation</t>
  </si>
  <si>
    <t>SeaHARRE and/or</t>
  </si>
  <si>
    <t>[PSP]/[TPg]</t>
  </si>
  <si>
    <t>[PPC]/[Tpg]</t>
  </si>
  <si>
    <t>SeaBASS abbreviation</t>
  </si>
  <si>
    <t>PSC + TChl</t>
  </si>
  <si>
    <t>[PSC]/[TCar]</t>
  </si>
  <si>
    <t>[TChla]/[TPg]</t>
  </si>
  <si>
    <t>PSC + allo + zea + Tot_Chl_b</t>
  </si>
  <si>
    <t>TAcc + Tot_Chl_a</t>
  </si>
  <si>
    <t>ratio of photprotective carotenoids to total carotenoids</t>
  </si>
  <si>
    <t>ratio of photoprotective carotenoids to total pigments</t>
  </si>
  <si>
    <t>ratio of photsynthetic carotenoids to total carotenoids</t>
  </si>
  <si>
    <t>ratio of photsynthetic pigments to to total pigments</t>
  </si>
  <si>
    <t>Abbreviations</t>
  </si>
  <si>
    <t>The analysis precision page summarizes our results for the same sample extract injected twice. Typically, we reinject the first sample analyzed on a given at the end of the day (the ".5" injection). For example, sample 03-0001</t>
  </si>
  <si>
    <t>and 03-0001.5 are replicate injections of the same extract, injected approximately 24 hours apart (all samples extracted on a particular day require about 24 hours to complete the HPLC analyses). We do this to measure our</t>
  </si>
  <si>
    <t>analysis precision and any effects caused by a sample's residence time in the refrigerated autosampler compartment. Please note that individual results with very large CV% are usually caused by pigments present in very</t>
  </si>
  <si>
    <t xml:space="preserve">On the effective LOQ page, we calculate an effective limit of quantitation based on our calculated LOQs (calculated in ng/injection), our typical extraction volume for this sample set, and the various filtration volumes </t>
  </si>
  <si>
    <t>used with your samples. We make these calculations because our LOQ information is most useful to the data user if it is available in units of concentration (ug/L seawater). The same LOQ can end up looking very different for</t>
  </si>
  <si>
    <t>different filtration volumes. For example, the LOQ of 0.25 ng will result in very different effective LOQs when carried through our calculation equation to represent the ug/L seawater. For an extraction volume of 2.5 ml and a</t>
  </si>
  <si>
    <t>filtration volume of 2800 ml, the calculated effective LOQ would be 0.002 ug/L. However, if the filtration volume were only 100 ml, the effective LOQ would calculate to be 0.042 ug/L. Without these calculations, the end user</t>
  </si>
  <si>
    <t>has no way of knowing that both of these concentrations were acquired at detection-limited concentrations.</t>
  </si>
  <si>
    <t>Replicate filters</t>
  </si>
  <si>
    <t>Replicate injections</t>
  </si>
  <si>
    <t>Effective Limit of Quantitation</t>
  </si>
  <si>
    <t>Analysis method description</t>
  </si>
  <si>
    <t>The HPLC used for pigment analysis is an Agilent RR1200 with a programmable autoinjector (900 ul syringe head), refrigerated autosampler compartment, thermostatted column compartment, quaternary pump with in-line vacuum</t>
  </si>
  <si>
    <t>The 4.6 x 150 mm HPLC Eclipse XDB column (Agilent Technologies, Palo Alto, CA) is filled with a C8 stationary phase (3.5 um stationary phase); the mobile phase consists of a linear gradient from 5-95% solvent B over</t>
  </si>
  <si>
    <t>27 minutes, for which solvent A is 70 parts methanol, 30 parts 28 mM tetrabutylammononium acetate (pH 6.5) and solvent B is methanol. The column temperature is 60 C and the photo diode array detector is set to</t>
  </si>
  <si>
    <t>Vitamin E acetate is used as the internal standard (ISTD) for determining extraction volumes. Its absorbance is monitored at 222 nm; it has negligible absorbance at 450 nm and none at 665 nm. Therefore, it does not interfere</t>
  </si>
  <si>
    <t>at wavelengths used to quantify pigments and can be used in very high concentrations with S:N ratios much higher than are possible with pigments. The high signal:noise ratio contributes to excellent analysis precision, for which</t>
  </si>
  <si>
    <t>injection repeatability averages 0.6%. It is stable under conditions of extraction and analysis.</t>
  </si>
  <si>
    <t>Calibration is performed with individual pigment standards, whose concentrations have been determined spectrophotometrically using absorption coefficients in common with those used by most other laboratories (Hooker et al. 2005)</t>
  </si>
  <si>
    <t>and the commercial vendor, DHI Water and Environment (Horsholm, Denmark). Standards are either purchased from DHI (in solution with concentrations provided) or purchased in solid form and suspended in solvent at GSFC.</t>
  </si>
  <si>
    <t>Thirty-six peaks are individually quantified by HPLC, from which 26 pigments are reported (some pigments contain individual components that are summed and reported as one pigment).</t>
  </si>
  <si>
    <t>degasser, and photo-diode array detector with deuterium and tungsten lamps. The HPLC is controlled by Agilent Chemstation software.</t>
  </si>
  <si>
    <t>SeaBASS submission</t>
  </si>
  <si>
    <t>fucoxanthin</t>
  </si>
  <si>
    <t>CV%</t>
  </si>
  <si>
    <t>The replicate filter precision page summarizes our results for any replicate filters you submitted. On both the replicate filter and analysis precision page, pairs with precision worse than 10% (15% for degradation products)</t>
  </si>
  <si>
    <t>are flagged in yellow. If a simple reason can be determined (ex. Concentration is below the effective LOQ), it is noted in a comment.</t>
  </si>
  <si>
    <t xml:space="preserve">low concentrations. On both the replicate filter and analysis precision page, pairs with precision worse than 10% (15% for degradation products) are flagged in yellow. If a simple reason can be determined (ex. Concentration is </t>
  </si>
  <si>
    <t>below the effective LOQ), it is noted in a comment.</t>
  </si>
  <si>
    <t>For pigments that have a replacement value in the respective cell, the pigment was investigated and determined to be "not found" (this is different than a "missing" value, which would imply that the measurement was not performed).</t>
  </si>
  <si>
    <t>/below_detection_limit=-8888</t>
  </si>
  <si>
    <t>Average extraction volume (ml)</t>
  </si>
  <si>
    <t>highlighted in yellow. Information that was added or changed by GSFC is recorded with red text. The information for any samples that were listed in the original spreadsheet but were not received is moved to the bottom of the spreadsheet.</t>
  </si>
  <si>
    <t>Project:</t>
  </si>
  <si>
    <t>Grant #:</t>
  </si>
  <si>
    <t>revised:</t>
  </si>
  <si>
    <t>CST</t>
  </si>
  <si>
    <t>Contact person for ID questions:</t>
  </si>
  <si>
    <t>Instructions:</t>
  </si>
  <si>
    <t>1.  Fill in the necessary information in cells highlighted in blue- columns C-X as well as project and grant #.</t>
  </si>
  <si>
    <t>1. Use one column per sample (replicate filters should have multiple rows).</t>
  </si>
  <si>
    <t>No slang</t>
  </si>
  <si>
    <t>If a sample is: Individual=S Duplicate=D Triplicate=T</t>
  </si>
  <si>
    <t>-80C, Liquid Nitrogen, Other (specify)</t>
  </si>
  <si>
    <t>PI</t>
  </si>
  <si>
    <t>other</t>
  </si>
  <si>
    <t>S</t>
  </si>
  <si>
    <t>Feb</t>
  </si>
  <si>
    <t>GF/F</t>
  </si>
  <si>
    <t>D</t>
  </si>
  <si>
    <t>Chl_c1c2</t>
  </si>
  <si>
    <t>Chl_c3 + Chl_c1c2</t>
  </si>
  <si>
    <t>Zeros/Missing data</t>
  </si>
  <si>
    <t>Additional columns included in sample metadata sheet are included after the results</t>
  </si>
  <si>
    <t>Alpha_beta_Car</t>
  </si>
  <si>
    <t>-9999 is used to fill any empty cells</t>
  </si>
  <si>
    <t xml:space="preserve">Please refer to the "Contribute Data" menu on the SeaBASS website for information on how to prepare your data files for submission. </t>
  </si>
  <si>
    <t>https://seabass.gsfc.nasa.gov/wiki/Data_Submission</t>
  </si>
  <si>
    <r>
      <t xml:space="preserve">Data contained in this worksheet should be reviewed for quality assurance by the PI </t>
    </r>
    <r>
      <rPr>
        <sz val="12"/>
        <color rgb="FFFF0000"/>
        <rFont val="Arial"/>
        <family val="2"/>
      </rPr>
      <t>BEFORE</t>
    </r>
    <r>
      <rPr>
        <sz val="12"/>
        <color theme="1"/>
        <rFont val="Arial"/>
        <family val="2"/>
      </rPr>
      <t xml:space="preserve"> being submitted to the SeaBASS data archive.</t>
    </r>
  </si>
  <si>
    <t>Please ensure that each row of data on the Report sheet has all relevant columns and fields of metadata filled in, and</t>
  </si>
  <si>
    <t>If your data file contains measurements that were below detection limits ("not found", see Zeros section), those values were set to -8888,</t>
  </si>
  <si>
    <t>and the following information should be included in your metadata headers:</t>
  </si>
  <si>
    <t>/missing=-9999</t>
  </si>
  <si>
    <t>Information in red was entered or extrapolated by C. Thomas</t>
  </si>
  <si>
    <t>please add headers to your SeaBASS file(s) indicating who ran and where your HPLC analysis was run:</t>
  </si>
  <si>
    <t>/HPLC_lab=NASA_GSFC</t>
  </si>
  <si>
    <t>/HPLC_lab_technician=Crystal_Thomas</t>
  </si>
  <si>
    <t>plot chromatograms at 450, 665, and 222 nm to acquire visible absorbance spectra between 350 and 850 nm.</t>
  </si>
  <si>
    <r>
      <t xml:space="preserve">We have also adopted </t>
    </r>
    <r>
      <rPr>
        <b/>
        <sz val="12"/>
        <rFont val="Arial"/>
        <family val="2"/>
      </rPr>
      <t xml:space="preserve">(NEW PROCEDURE AS OF JUNE 2017) </t>
    </r>
    <r>
      <rPr>
        <sz val="12"/>
        <rFont val="Arial"/>
        <family val="2"/>
      </rPr>
      <t>the use of -9999 to fill any cells for which we are missing information.</t>
    </r>
  </si>
  <si>
    <t>hplc_gsfc_id</t>
  </si>
  <si>
    <t>PPC_Tcar</t>
  </si>
  <si>
    <t>PPC_Tpg</t>
  </si>
  <si>
    <t>PSC_Tcar</t>
  </si>
  <si>
    <t>PSP_Tpg</t>
  </si>
  <si>
    <t>Tcar</t>
  </si>
  <si>
    <t>Tchl</t>
  </si>
  <si>
    <t>Tchl_Tcar</t>
  </si>
  <si>
    <t>Tchla_Tpg</t>
  </si>
  <si>
    <t>Tpg</t>
  </si>
  <si>
    <t>Tacc</t>
  </si>
  <si>
    <t>Tacc_Tchla</t>
  </si>
  <si>
    <t>mg/m^3</t>
  </si>
  <si>
    <t>Alpha-beta-Car</t>
  </si>
  <si>
    <t>MV_Chl _b</t>
  </si>
  <si>
    <r>
      <rPr>
        <b/>
        <sz val="12"/>
        <rFont val="Geneva"/>
      </rPr>
      <t>Please fill in the information in all cells shaded in blue.</t>
    </r>
    <r>
      <rPr>
        <sz val="10"/>
        <rFont val="Geneva"/>
      </rPr>
      <t xml:space="preserve"> The other columns will be filled out by GSFC.</t>
    </r>
  </si>
  <si>
    <t>Row 17 gives additional instructions on how to make data entries.  Rows 20-26 give examples.</t>
  </si>
  <si>
    <r>
      <rPr>
        <sz val="10"/>
        <rFont val="Helvetica"/>
      </rPr>
      <t xml:space="preserve">2. For column F, please fill in all cells. If a sample has no replicate, indicate </t>
    </r>
    <r>
      <rPr>
        <b/>
        <sz val="10"/>
        <rFont val="Geneva"/>
        <charset val="1"/>
      </rPr>
      <t>S</t>
    </r>
    <r>
      <rPr>
        <sz val="10"/>
        <rFont val="Helvetica"/>
      </rPr>
      <t xml:space="preserve">. If samples are duplicates, indicate </t>
    </r>
    <r>
      <rPr>
        <b/>
        <sz val="10"/>
        <rFont val="Geneva"/>
        <charset val="1"/>
      </rPr>
      <t>D</t>
    </r>
    <r>
      <rPr>
        <sz val="10"/>
        <rFont val="Helvetica"/>
      </rPr>
      <t xml:space="preserve"> for each sample. If samples are triplicates, indicate </t>
    </r>
    <r>
      <rPr>
        <b/>
        <sz val="10"/>
        <rFont val="Geneva"/>
        <charset val="1"/>
      </rPr>
      <t>T</t>
    </r>
    <r>
      <rPr>
        <sz val="10"/>
        <rFont val="Helvetica"/>
      </rPr>
      <t>.</t>
    </r>
  </si>
  <si>
    <r>
      <rPr>
        <b/>
        <sz val="10"/>
        <rFont val="Geneva"/>
        <charset val="1"/>
      </rPr>
      <t xml:space="preserve">2.  If you have any other information that is useful to further identify your samples (ex. size fraction, etc.), please note that in columns </t>
    </r>
    <r>
      <rPr>
        <b/>
        <sz val="10"/>
        <color rgb="FFFF0000"/>
        <rFont val="Geneva"/>
        <charset val="1"/>
      </rPr>
      <t>AFTER</t>
    </r>
    <r>
      <rPr>
        <b/>
        <sz val="10"/>
        <rFont val="Geneva"/>
        <charset val="1"/>
      </rPr>
      <t xml:space="preserve"> 'filter diameter'.</t>
    </r>
  </si>
  <si>
    <t>3.  Use -9999 to fill in any cells for which information is missing or not applicable.</t>
  </si>
  <si>
    <t>4.  Save file with filename using your last first, followed by the sample submission date and cruise (example: Smith_20150517_MB05).</t>
  </si>
  <si>
    <t>5.  Email the completed spreadsheet to crystal.s.thomas@nasa.gov</t>
  </si>
  <si>
    <t>6.  This completed form (and receipt of your dry shipper and samples by GSFC) will put your samples in the queue.</t>
  </si>
  <si>
    <t>Person who is listed on the project as PI</t>
  </si>
  <si>
    <t>filtration volume, in liters</t>
  </si>
  <si>
    <t>number</t>
  </si>
  <si>
    <t>sampling depth (meters)</t>
  </si>
  <si>
    <t>total water column depth (meters)</t>
  </si>
  <si>
    <t>collection year (yyyy)</t>
  </si>
  <si>
    <t>collection month (mo)</t>
  </si>
  <si>
    <t>collection day of month (dd)</t>
  </si>
  <si>
    <t>sequential day of year (ddd)</t>
  </si>
  <si>
    <t>GMT time hhmm(ss)</t>
  </si>
  <si>
    <t>sample longitude, in degrees</t>
  </si>
  <si>
    <t>sample latitude, in degrees</t>
  </si>
  <si>
    <t>sample</t>
  </si>
  <si>
    <t>cruise</t>
  </si>
  <si>
    <t>indicate if filters are replicates</t>
  </si>
  <si>
    <t>volfilt</t>
  </si>
  <si>
    <t>station</t>
  </si>
  <si>
    <t>bottle</t>
  </si>
  <si>
    <t>depth</t>
  </si>
  <si>
    <t>water_depth</t>
  </si>
  <si>
    <t>name of water body</t>
  </si>
  <si>
    <t>year</t>
  </si>
  <si>
    <t>month</t>
  </si>
  <si>
    <t>day</t>
  </si>
  <si>
    <t>sdy</t>
  </si>
  <si>
    <t>time</t>
  </si>
  <si>
    <t>lon</t>
  </si>
  <si>
    <t>lat</t>
  </si>
  <si>
    <t>filter type</t>
  </si>
  <si>
    <t>filter diameter (mm)</t>
  </si>
  <si>
    <t>The HPLC analysis method can be cited as Van Heukelem and Thomas (2001), or Van Heueklem and Thomas (2001), further described in Hooker et al. (2005). For a more detailed description, please see below; contact Crystal for a tailored description.</t>
  </si>
  <si>
    <t>PSO (Pigment Sample Originator) sample information spreadsheet</t>
  </si>
  <si>
    <t xml:space="preserve">The sample information sheet sent by the research group is included with results, on the "SS from PSO" page. Any necessary clarifying comments are made using the comment function. Information that needs to be checked is </t>
  </si>
  <si>
    <t>lutein</t>
  </si>
  <si>
    <t>neoxanthin</t>
  </si>
  <si>
    <t>prasinoxanthin</t>
  </si>
  <si>
    <t>violaxanthin</t>
  </si>
  <si>
    <t>gyroxanthin diester</t>
  </si>
  <si>
    <t>peridinin</t>
  </si>
  <si>
    <t>zeaxanthin</t>
  </si>
  <si>
    <t>chlorophyll c2 + chlorophyll c1 + MGDVP</t>
  </si>
  <si>
    <t>-8888 is used for any pigments "not detected"</t>
  </si>
  <si>
    <r>
      <t>Instead of including zeros, pigments that were "not found" (not detected) are noted with a replacement value of</t>
    </r>
    <r>
      <rPr>
        <b/>
        <sz val="12"/>
        <color rgb="FFFF0000"/>
        <rFont val="Arial"/>
        <family val="2"/>
      </rPr>
      <t xml:space="preserve"> -8888 </t>
    </r>
    <r>
      <rPr>
        <b/>
        <sz val="12"/>
        <rFont val="Arial"/>
        <family val="2"/>
      </rPr>
      <t>(NEW VALUE AS OF MARCH 2016)</t>
    </r>
    <r>
      <rPr>
        <sz val="12"/>
        <rFont val="Arial"/>
        <family val="2"/>
      </rPr>
      <t xml:space="preserve">. Pigments that were "not detected" are considered to below detection limits. </t>
    </r>
  </si>
  <si>
    <r>
      <t xml:space="preserve">label </t>
    </r>
    <r>
      <rPr>
        <b/>
        <sz val="10"/>
        <color rgb="FF006411"/>
        <rFont val="Geneva"/>
      </rPr>
      <t>as it is written on the outside of your sample container</t>
    </r>
  </si>
  <si>
    <t>filter storage before shipment to GSFC</t>
  </si>
  <si>
    <r>
      <t>Data deemed satisfactory for science and reporting by the PI must then be converted into the SeaBASS data format (see above link) either manually, or using this web tool (</t>
    </r>
    <r>
      <rPr>
        <b/>
        <sz val="12"/>
        <color rgb="FFFF0000"/>
        <rFont val="Arial"/>
        <family val="2"/>
      </rPr>
      <t>NEW, as of January 2025</t>
    </r>
    <r>
      <rPr>
        <sz val="12"/>
        <rFont val="Arial"/>
        <family val="2"/>
      </rPr>
      <t>):</t>
    </r>
  </si>
  <si>
    <t>Additional information regarding HPLC data special submission requirements can be found at:</t>
  </si>
  <si>
    <t>https://seabass.gsfc.nasa.gov/wiki/data_submission_special_requirements</t>
  </si>
  <si>
    <t>https://seabass.gsfc.nasa.gov/wiki/seabass_tools</t>
  </si>
  <si>
    <t>Any samples listed on the metadata spreadsheet but not included in the sample shipment are listed at the bottom of the 'SS from PSO' page</t>
  </si>
  <si>
    <t>divinyl chlorophyll a + divinyl chlorophyll a allomer + divinyl chlorophyll a epimer</t>
  </si>
  <si>
    <t>monovinyl chlorophyll a + monovinyl chlorophyll a allomer + monovinyl chlorophyll a epimer</t>
  </si>
  <si>
    <t>monovinyl chlorophyll b + monovinyl chlorophyll b epimer</t>
  </si>
  <si>
    <t>divinyl chlorophyll b + divinyl chlorophyll b epimer</t>
  </si>
  <si>
    <t>chlorophyll c3 + MV chlorophyll c3</t>
  </si>
  <si>
    <t>14-2323</t>
  </si>
  <si>
    <t>14-2324</t>
  </si>
  <si>
    <t>14-2325</t>
  </si>
  <si>
    <t>14-2326</t>
  </si>
  <si>
    <t>14-2327</t>
  </si>
  <si>
    <t>14-2328</t>
  </si>
  <si>
    <t>14-2329</t>
  </si>
  <si>
    <t>14-2330</t>
  </si>
  <si>
    <t>14-2331</t>
  </si>
  <si>
    <t>14-2332</t>
  </si>
  <si>
    <t>14-2333</t>
  </si>
  <si>
    <t>14-2334</t>
  </si>
  <si>
    <t>14-2334.5</t>
  </si>
  <si>
    <t>14-2335</t>
  </si>
  <si>
    <t>14-2336</t>
  </si>
  <si>
    <t>14-2337</t>
  </si>
  <si>
    <t>14-2338</t>
  </si>
  <si>
    <t>14-2339</t>
  </si>
  <si>
    <t>14-2340</t>
  </si>
  <si>
    <t>14-2341</t>
  </si>
  <si>
    <t>14-2342</t>
  </si>
  <si>
    <t>14-2343</t>
  </si>
  <si>
    <t>14-2344</t>
  </si>
  <si>
    <t>14-2345</t>
  </si>
  <si>
    <t>14-2346</t>
  </si>
  <si>
    <t>14-2347</t>
  </si>
  <si>
    <t>14-2348</t>
  </si>
  <si>
    <t>14-2349</t>
  </si>
  <si>
    <t>14-2350</t>
  </si>
  <si>
    <t>14-2351</t>
  </si>
  <si>
    <t>14-2352</t>
  </si>
  <si>
    <t>14-2353</t>
  </si>
  <si>
    <t>14-2354</t>
  </si>
  <si>
    <t>14-2355</t>
  </si>
  <si>
    <t>14-2356</t>
  </si>
  <si>
    <t>14-2357</t>
  </si>
  <si>
    <t>14-2358</t>
  </si>
  <si>
    <t>14-2359</t>
  </si>
  <si>
    <t>14-2360</t>
  </si>
  <si>
    <t>14-2361</t>
  </si>
  <si>
    <t>14-2361.5</t>
  </si>
  <si>
    <t>14-2362</t>
  </si>
  <si>
    <t>14-2363</t>
  </si>
  <si>
    <t>14-2364</t>
  </si>
  <si>
    <t>14-2365</t>
  </si>
  <si>
    <t>14-2366</t>
  </si>
  <si>
    <t>14-2367</t>
  </si>
  <si>
    <t>14-2368</t>
  </si>
  <si>
    <t>14-2369</t>
  </si>
  <si>
    <t>14-2370</t>
  </si>
  <si>
    <t>14-2371</t>
  </si>
  <si>
    <t>14-2372</t>
  </si>
  <si>
    <t>14-2373</t>
  </si>
  <si>
    <t>14-2374</t>
  </si>
  <si>
    <t>14-2375</t>
  </si>
  <si>
    <t>14-2376</t>
  </si>
  <si>
    <t>14-2377</t>
  </si>
  <si>
    <t>14-2378</t>
  </si>
  <si>
    <t>14-2379</t>
  </si>
  <si>
    <t>14-2380</t>
  </si>
  <si>
    <t>14-2381</t>
  </si>
  <si>
    <t>14-2382</t>
  </si>
  <si>
    <t>14-2383</t>
  </si>
  <si>
    <t>14-2384</t>
  </si>
  <si>
    <t>14-2385</t>
  </si>
  <si>
    <t>14-2386</t>
  </si>
  <si>
    <t>14-2387</t>
  </si>
  <si>
    <t>14-2388</t>
  </si>
  <si>
    <t>14-2388.5</t>
  </si>
  <si>
    <t>14-2389</t>
  </si>
  <si>
    <t>14-2390</t>
  </si>
  <si>
    <t>14-2391</t>
  </si>
  <si>
    <t>14-2392</t>
  </si>
  <si>
    <t>14-2393</t>
  </si>
  <si>
    <t>14-2394</t>
  </si>
  <si>
    <t>14-2395</t>
  </si>
  <si>
    <t>14-2396</t>
  </si>
  <si>
    <t>14-2397</t>
  </si>
  <si>
    <t>14-2398</t>
  </si>
  <si>
    <t>14-2399</t>
  </si>
  <si>
    <t>14-2400</t>
  </si>
  <si>
    <t>14-2401</t>
  </si>
  <si>
    <t>14-2402</t>
  </si>
  <si>
    <t>14-2403</t>
  </si>
  <si>
    <t>14-2404</t>
  </si>
  <si>
    <t>14-2405</t>
  </si>
  <si>
    <t>14-2409</t>
  </si>
  <si>
    <t>14-2410</t>
  </si>
  <si>
    <t>14-2411</t>
  </si>
  <si>
    <t>14-2412</t>
  </si>
  <si>
    <t>14-2413</t>
  </si>
  <si>
    <t>14-2414</t>
  </si>
  <si>
    <t>14-2415</t>
  </si>
  <si>
    <t>14-2415.5</t>
  </si>
  <si>
    <t>14-2416</t>
  </si>
  <si>
    <t>14-2417</t>
  </si>
  <si>
    <t>14-2418</t>
  </si>
  <si>
    <t>14-2419</t>
  </si>
  <si>
    <t>14-2420</t>
  </si>
  <si>
    <t>14-2421</t>
  </si>
  <si>
    <t>14-2422</t>
  </si>
  <si>
    <t>14-2423</t>
  </si>
  <si>
    <t>14-2424</t>
  </si>
  <si>
    <t>14-2425</t>
  </si>
  <si>
    <t>14-2426</t>
  </si>
  <si>
    <t>14-2427</t>
  </si>
  <si>
    <t>14-2428</t>
  </si>
  <si>
    <t>14-2429</t>
  </si>
  <si>
    <t>14-2430</t>
  </si>
  <si>
    <t>14-2431</t>
  </si>
  <si>
    <t>14-2432</t>
  </si>
  <si>
    <t>14-2433</t>
  </si>
  <si>
    <t>14-2434</t>
  </si>
  <si>
    <t>14-2435</t>
  </si>
  <si>
    <t>14-2436</t>
  </si>
  <si>
    <t>14-2437</t>
  </si>
  <si>
    <t>14-2438</t>
  </si>
  <si>
    <t>14-2439</t>
  </si>
  <si>
    <t>14-2440</t>
  </si>
  <si>
    <t>14-2441</t>
  </si>
  <si>
    <t>14-2442</t>
  </si>
  <si>
    <t>14-2442.5</t>
  </si>
  <si>
    <t>14-2443</t>
  </si>
  <si>
    <t>14-2444</t>
  </si>
  <si>
    <t>14-2445</t>
  </si>
  <si>
    <t>14-2446</t>
  </si>
  <si>
    <t>14-2447</t>
  </si>
  <si>
    <t>14-2448</t>
  </si>
  <si>
    <t>14-2449</t>
  </si>
  <si>
    <t>14-2450</t>
  </si>
  <si>
    <t>14-2451</t>
  </si>
  <si>
    <t>14-2452</t>
  </si>
  <si>
    <t>14-2453</t>
  </si>
  <si>
    <t>14-2454</t>
  </si>
  <si>
    <t>14-2455</t>
  </si>
  <si>
    <t>14-2456</t>
  </si>
  <si>
    <t>14-2457</t>
  </si>
  <si>
    <t>14-2458</t>
  </si>
  <si>
    <t>14-2459</t>
  </si>
  <si>
    <t>14-2460</t>
  </si>
  <si>
    <t>14-2461</t>
  </si>
  <si>
    <t>14-2462</t>
  </si>
  <si>
    <t>14-2463</t>
  </si>
  <si>
    <t>14-2464</t>
  </si>
  <si>
    <t>14-2465</t>
  </si>
  <si>
    <t>14-2466</t>
  </si>
  <si>
    <t>14-2467</t>
  </si>
  <si>
    <t>14-2468</t>
  </si>
  <si>
    <t>14-2469</t>
  </si>
  <si>
    <t>14-2469.5</t>
  </si>
  <si>
    <t>14-2470</t>
  </si>
  <si>
    <t>14-2471</t>
  </si>
  <si>
    <t>14-2472</t>
  </si>
  <si>
    <t>14-2473</t>
  </si>
  <si>
    <t>14-2474</t>
  </si>
  <si>
    <t>14-2475</t>
  </si>
  <si>
    <t>14-2476</t>
  </si>
  <si>
    <t>14-2477</t>
  </si>
  <si>
    <t>14-2478</t>
  </si>
  <si>
    <t>14-2479</t>
  </si>
  <si>
    <t>14-2480</t>
  </si>
  <si>
    <t>14-2481</t>
  </si>
  <si>
    <t>14-2482</t>
  </si>
  <si>
    <t>14-2483</t>
  </si>
  <si>
    <t>14-2484</t>
  </si>
  <si>
    <t>14-2485</t>
  </si>
  <si>
    <t>14-2486</t>
  </si>
  <si>
    <t>14-2487</t>
  </si>
  <si>
    <t>14-2488</t>
  </si>
  <si>
    <t>14-2489</t>
  </si>
  <si>
    <t>14-2490</t>
  </si>
  <si>
    <t>14-2491</t>
  </si>
  <si>
    <t>14-2492</t>
  </si>
  <si>
    <t>14-2493</t>
  </si>
  <si>
    <t>14-2494</t>
  </si>
  <si>
    <t>14-2495</t>
  </si>
  <si>
    <t>14-2496</t>
  </si>
  <si>
    <t>14-2496.5</t>
  </si>
  <si>
    <t>14-2497</t>
  </si>
  <si>
    <t>14-2498</t>
  </si>
  <si>
    <t>14-2499</t>
  </si>
  <si>
    <t>14-2500</t>
  </si>
  <si>
    <t>14-2501</t>
  </si>
  <si>
    <t>14-2502</t>
  </si>
  <si>
    <t>14-2503</t>
  </si>
  <si>
    <t>14-2504</t>
  </si>
  <si>
    <t>14-2505</t>
  </si>
  <si>
    <t>14-2506</t>
  </si>
  <si>
    <t>14-2507</t>
  </si>
  <si>
    <t>14-2508</t>
  </si>
  <si>
    <t>14-2509</t>
  </si>
  <si>
    <t>14-2510</t>
  </si>
  <si>
    <t>14-2511</t>
  </si>
  <si>
    <t>14-2512</t>
  </si>
  <si>
    <t>14-2513</t>
  </si>
  <si>
    <t>14-2514</t>
  </si>
  <si>
    <t>14-2515</t>
  </si>
  <si>
    <t>14-2516</t>
  </si>
  <si>
    <t>14-2517</t>
  </si>
  <si>
    <t>14-2518</t>
  </si>
  <si>
    <t>14-2519</t>
  </si>
  <si>
    <t>14-2520</t>
  </si>
  <si>
    <t>14-2521</t>
  </si>
  <si>
    <t>14-2522</t>
  </si>
  <si>
    <t>14-2523</t>
  </si>
  <si>
    <t>14-2523.5</t>
  </si>
  <si>
    <t>14-2524</t>
  </si>
  <si>
    <t>14-2525</t>
  </si>
  <si>
    <t>14-2526</t>
  </si>
  <si>
    <t>14-2527</t>
  </si>
  <si>
    <t>14-2528</t>
  </si>
  <si>
    <t>14-2529</t>
  </si>
  <si>
    <t>14-2530</t>
  </si>
  <si>
    <t>14-2531</t>
  </si>
  <si>
    <t>14-2532</t>
  </si>
  <si>
    <t>14-2533</t>
  </si>
  <si>
    <t>14-2534</t>
  </si>
  <si>
    <t>14-2535</t>
  </si>
  <si>
    <t>14-2536</t>
  </si>
  <si>
    <t>14-2537</t>
  </si>
  <si>
    <t>14-2538</t>
  </si>
  <si>
    <t>14-2539</t>
  </si>
  <si>
    <t>14-2540</t>
  </si>
  <si>
    <t>14-2541</t>
  </si>
  <si>
    <t>14-2542</t>
  </si>
  <si>
    <t>14-2543</t>
  </si>
  <si>
    <t>14-2544</t>
  </si>
  <si>
    <t>14-2545</t>
  </si>
  <si>
    <t>14-2546</t>
  </si>
  <si>
    <t>14-2547</t>
  </si>
  <si>
    <t>14-2548</t>
  </si>
  <si>
    <t>14-2549</t>
  </si>
  <si>
    <t>14-2550</t>
  </si>
  <si>
    <t>14-2550.5</t>
  </si>
  <si>
    <t>14-2551</t>
  </si>
  <si>
    <t>14-2552</t>
  </si>
  <si>
    <t>14-2553</t>
  </si>
  <si>
    <t>14-2554</t>
  </si>
  <si>
    <t>14-2555</t>
  </si>
  <si>
    <t>COMPLETED BY CST FROM SPREADSHEET SENT BY T CROCKFORD</t>
  </si>
  <si>
    <t>Sosik, Heidi</t>
  </si>
  <si>
    <t>HSL_1417</t>
  </si>
  <si>
    <t>EN712</t>
  </si>
  <si>
    <t>North East Shelf</t>
  </si>
  <si>
    <t>18:35</t>
  </si>
  <si>
    <t>Liquid Nitrogen</t>
  </si>
  <si>
    <t>HSL_1418</t>
  </si>
  <si>
    <t>18:42</t>
  </si>
  <si>
    <t>HSL_1421</t>
  </si>
  <si>
    <t>04:31</t>
  </si>
  <si>
    <t>repacked HPLCs in new foils after frozen in order to fix labeling mistake; foil labels are correct</t>
  </si>
  <si>
    <t>HSL_1422</t>
  </si>
  <si>
    <t>04:35</t>
  </si>
  <si>
    <t>HSL_1419</t>
  </si>
  <si>
    <t>09:37</t>
  </si>
  <si>
    <t>HSL_1420</t>
  </si>
  <si>
    <t>09:43</t>
  </si>
  <si>
    <t>HSL_1423</t>
  </si>
  <si>
    <t>11:53</t>
  </si>
  <si>
    <t>HSL_1424</t>
  </si>
  <si>
    <t>12:01</t>
  </si>
  <si>
    <t>HSL_1425</t>
  </si>
  <si>
    <t>HSL_1426</t>
  </si>
  <si>
    <t>12:10</t>
  </si>
  <si>
    <t>HSL_1427</t>
  </si>
  <si>
    <t>04:14</t>
  </si>
  <si>
    <t>HSL_1428</t>
  </si>
  <si>
    <t>04:21</t>
  </si>
  <si>
    <t>HSL_1429</t>
  </si>
  <si>
    <t>04:25</t>
  </si>
  <si>
    <t>HSL_1430</t>
  </si>
  <si>
    <t>10:47</t>
  </si>
  <si>
    <t>HSL_1431</t>
  </si>
  <si>
    <t>10:50</t>
  </si>
  <si>
    <t>HSL_1432</t>
  </si>
  <si>
    <t>10:56</t>
  </si>
  <si>
    <t>HSL_1433</t>
  </si>
  <si>
    <t>22:28</t>
  </si>
  <si>
    <t>HSL_1434</t>
  </si>
  <si>
    <t>22:31</t>
  </si>
  <si>
    <t>HSL_1435</t>
  </si>
  <si>
    <t>02:11</t>
  </si>
  <si>
    <t>HSL_1436</t>
  </si>
  <si>
    <t>02:14</t>
  </si>
  <si>
    <t>HSL_1437</t>
  </si>
  <si>
    <t>02:19</t>
  </si>
  <si>
    <t>HSL_1438</t>
  </si>
  <si>
    <t>HSL_1439</t>
  </si>
  <si>
    <t>10:03</t>
  </si>
  <si>
    <t>HSL_1440</t>
  </si>
  <si>
    <t>10:05</t>
  </si>
  <si>
    <t>HSL_1441</t>
  </si>
  <si>
    <t>10:13</t>
  </si>
  <si>
    <t>HSL_1442</t>
  </si>
  <si>
    <t>03:02</t>
  </si>
  <si>
    <t>HSL_1443</t>
  </si>
  <si>
    <t>03:06</t>
  </si>
  <si>
    <t>HSL_1444</t>
  </si>
  <si>
    <t>04:54</t>
  </si>
  <si>
    <t>HSL_1445</t>
  </si>
  <si>
    <t>04:59</t>
  </si>
  <si>
    <t>HSL_1446</t>
  </si>
  <si>
    <t>HSL_1447</t>
  </si>
  <si>
    <t>11:45</t>
  </si>
  <si>
    <t>HSL_1448</t>
  </si>
  <si>
    <t>11:48</t>
  </si>
  <si>
    <t>HSL_1449</t>
  </si>
  <si>
    <t>EN715</t>
  </si>
  <si>
    <t>May</t>
  </si>
  <si>
    <t>17:39</t>
  </si>
  <si>
    <t>HSL_1450</t>
  </si>
  <si>
    <t>17:42</t>
  </si>
  <si>
    <t>HSL_1451</t>
  </si>
  <si>
    <t>17:46</t>
  </si>
  <si>
    <t>HSL_1452</t>
  </si>
  <si>
    <t>03:57</t>
  </si>
  <si>
    <t>HSL_1453</t>
  </si>
  <si>
    <t>04:02</t>
  </si>
  <si>
    <t>HSL_1454</t>
  </si>
  <si>
    <t>04:07</t>
  </si>
  <si>
    <t>HSL_1455</t>
  </si>
  <si>
    <t>10:58</t>
  </si>
  <si>
    <t>HSL_1456</t>
  </si>
  <si>
    <t>11:02</t>
  </si>
  <si>
    <t>HSL_1457</t>
  </si>
  <si>
    <t>11:04</t>
  </si>
  <si>
    <t>HSL_1458</t>
  </si>
  <si>
    <t>15:05</t>
  </si>
  <si>
    <t>HSL_1459</t>
  </si>
  <si>
    <t>15:09</t>
  </si>
  <si>
    <t>HSL_1460</t>
  </si>
  <si>
    <t>HSL_1461</t>
  </si>
  <si>
    <t>07:48</t>
  </si>
  <si>
    <t>HSL_1462</t>
  </si>
  <si>
    <t>07:51</t>
  </si>
  <si>
    <t>HSL_1463</t>
  </si>
  <si>
    <t>07:56</t>
  </si>
  <si>
    <t>HSL_1464</t>
  </si>
  <si>
    <t>14:31</t>
  </si>
  <si>
    <t>HSL_1465</t>
  </si>
  <si>
    <t>14:36</t>
  </si>
  <si>
    <t>HSL_1466</t>
  </si>
  <si>
    <t>HSL_1467</t>
  </si>
  <si>
    <t>14:43</t>
  </si>
  <si>
    <t>HSL_1468</t>
  </si>
  <si>
    <t>04:12</t>
  </si>
  <si>
    <t>HSL_1469</t>
  </si>
  <si>
    <t>04:15</t>
  </si>
  <si>
    <t>HSL_1470</t>
  </si>
  <si>
    <t>04:22</t>
  </si>
  <si>
    <t>HSL_1471</t>
  </si>
  <si>
    <t>08:46</t>
  </si>
  <si>
    <t>HSL_1472</t>
  </si>
  <si>
    <t>HSL_1473</t>
  </si>
  <si>
    <t>08:51</t>
  </si>
  <si>
    <t>HSL_1474</t>
  </si>
  <si>
    <t>08:55</t>
  </si>
  <si>
    <t>HSL_1475</t>
  </si>
  <si>
    <t>20:18</t>
  </si>
  <si>
    <t>HSL_1476</t>
  </si>
  <si>
    <t>20:23</t>
  </si>
  <si>
    <t>HSL_1477</t>
  </si>
  <si>
    <t>06:01</t>
  </si>
  <si>
    <t>HSL_1478</t>
  </si>
  <si>
    <t>06:12</t>
  </si>
  <si>
    <t>HSL_1479</t>
  </si>
  <si>
    <t>10:00</t>
  </si>
  <si>
    <t>HSL_1480</t>
  </si>
  <si>
    <t>10:08</t>
  </si>
  <si>
    <t>HSL_1481</t>
  </si>
  <si>
    <t>05:38</t>
  </si>
  <si>
    <t>HSL_1482</t>
  </si>
  <si>
    <t>05:41</t>
  </si>
  <si>
    <t>HSL_1483</t>
  </si>
  <si>
    <t>05:44</t>
  </si>
  <si>
    <t>HSL_1611</t>
  </si>
  <si>
    <t>EN720</t>
  </si>
  <si>
    <t>Sep</t>
  </si>
  <si>
    <t>18:55</t>
  </si>
  <si>
    <t>accidentally reuse HSL1483 reassigned HSL1611; repacked in lab before shipping for analysis; corrected ID# foil wrapped on top of existing incorrect foil</t>
  </si>
  <si>
    <t>HSL_1484</t>
  </si>
  <si>
    <t>19:00</t>
  </si>
  <si>
    <t>HSL_1485</t>
  </si>
  <si>
    <t>02:08</t>
  </si>
  <si>
    <t>HSL_1486</t>
  </si>
  <si>
    <t>02:10</t>
  </si>
  <si>
    <t>HSL_1487</t>
  </si>
  <si>
    <t>HSL_1488</t>
  </si>
  <si>
    <t>09:22</t>
  </si>
  <si>
    <t>HSL_1489</t>
  </si>
  <si>
    <t>09:25</t>
  </si>
  <si>
    <t>HSL_1490</t>
  </si>
  <si>
    <t>09:31</t>
  </si>
  <si>
    <t>HSL_1491</t>
  </si>
  <si>
    <t>17:21</t>
  </si>
  <si>
    <t>HSL_1492</t>
  </si>
  <si>
    <t>HSL_1493</t>
  </si>
  <si>
    <t>17:29</t>
  </si>
  <si>
    <t>HSL_1494</t>
  </si>
  <si>
    <t>05:37</t>
  </si>
  <si>
    <t>HSL_1495</t>
  </si>
  <si>
    <t>05:40</t>
  </si>
  <si>
    <t>pick most of jelly off HSL1495 still a little on</t>
  </si>
  <si>
    <t>HSL_1496</t>
  </si>
  <si>
    <t>05:52</t>
  </si>
  <si>
    <t>HSL_1497</t>
  </si>
  <si>
    <t>13:31</t>
  </si>
  <si>
    <t>HSL_1498</t>
  </si>
  <si>
    <t>13:34</t>
  </si>
  <si>
    <t>HSL_1499</t>
  </si>
  <si>
    <t>13:38</t>
  </si>
  <si>
    <t>HSL_1500</t>
  </si>
  <si>
    <t>05:39</t>
  </si>
  <si>
    <t>HSL_1501</t>
  </si>
  <si>
    <t>05:42</t>
  </si>
  <si>
    <t>HSL_1502</t>
  </si>
  <si>
    <t>05:51</t>
  </si>
  <si>
    <t>HSL_1503</t>
  </si>
  <si>
    <t>09:17</t>
  </si>
  <si>
    <t>HSL_1504</t>
  </si>
  <si>
    <t>HSL_1505</t>
  </si>
  <si>
    <t>HSL_1506</t>
  </si>
  <si>
    <t>09:28</t>
  </si>
  <si>
    <t>HSL_1507</t>
  </si>
  <si>
    <t>22:03</t>
  </si>
  <si>
    <t>HSL_1508</t>
  </si>
  <si>
    <t>22:10</t>
  </si>
  <si>
    <t>HSL_1509</t>
  </si>
  <si>
    <t>06:40</t>
  </si>
  <si>
    <t>HSL1509 funnel leaked water estimated 5ml loss</t>
  </si>
  <si>
    <t>HSL_1510</t>
  </si>
  <si>
    <t>HSL_1511</t>
  </si>
  <si>
    <t>06:48</t>
  </si>
  <si>
    <t>HSL_1512</t>
  </si>
  <si>
    <t>20:47</t>
  </si>
  <si>
    <t>HSL_1513</t>
  </si>
  <si>
    <t>20:58</t>
  </si>
  <si>
    <t>HSL_1514</t>
  </si>
  <si>
    <t>HSL_1515</t>
  </si>
  <si>
    <t>HSL_1516</t>
  </si>
  <si>
    <t>HSL_1536</t>
  </si>
  <si>
    <t>AE2426</t>
  </si>
  <si>
    <t>Nov</t>
  </si>
  <si>
    <t>16:28</t>
  </si>
  <si>
    <t>Outer foil packet is correct ID# - Accidentally resused IDs reassignment: wrong 1503 - new HSL1536</t>
  </si>
  <si>
    <t>HSL_1537</t>
  </si>
  <si>
    <t>16:34</t>
  </si>
  <si>
    <t>Outer foil packet is correct ID# - Accidentally resused IDs reassignment: wrong 1504 - new HSL1537</t>
  </si>
  <si>
    <t>HSL_1538</t>
  </si>
  <si>
    <t>08:39</t>
  </si>
  <si>
    <t>Outer foil packet is correct ID# - Accidentally resused IDs reassignment: wrong 1505 - new HSL1538</t>
  </si>
  <si>
    <t>HSL_1539</t>
  </si>
  <si>
    <t>08:42</t>
  </si>
  <si>
    <t>Outer foil packet is correct ID# - Accidentally resused IDs reassignment: wrong 1506 - new HSL1539</t>
  </si>
  <si>
    <t>HSL_1540</t>
  </si>
  <si>
    <t>08:44</t>
  </si>
  <si>
    <t>Outer foil packet is correct ID# - Accidentally resused IDs reassignment: wrong 1507 - new HSL1540</t>
  </si>
  <si>
    <t>HSL_1541</t>
  </si>
  <si>
    <t>13:17</t>
  </si>
  <si>
    <t>Outer foil packet is correct ID# - Accidentally resused IDs reassignment: wrong 1508 - new HSL1541</t>
  </si>
  <si>
    <t>HSL_1542</t>
  </si>
  <si>
    <t>13:21</t>
  </si>
  <si>
    <t>Outer foil packet is correct ID# - Accidentally resused IDs reassignment: wrong 1509 - new HSL1542</t>
  </si>
  <si>
    <t>HSL_1543</t>
  </si>
  <si>
    <t>11:07</t>
  </si>
  <si>
    <t>Outer foil packet is correct ID# - Accidentally resused IDs reassignment: wrong 1510 - new HSL1543</t>
  </si>
  <si>
    <t>HSL_1544</t>
  </si>
  <si>
    <t>11:10</t>
  </si>
  <si>
    <t>Outer foil packet is correct ID# - Accidentally resused IDs reassignment: wrong 1511 - new HSL1544</t>
  </si>
  <si>
    <t>HSL_1545</t>
  </si>
  <si>
    <t>11:14</t>
  </si>
  <si>
    <t>Outer foil packet is correct ID# - Accidentally resused IDs reassignment: wrong 1512 - new HSL1545</t>
  </si>
  <si>
    <t>HSL_1546</t>
  </si>
  <si>
    <t>18:21</t>
  </si>
  <si>
    <t>Outer foil packet is correct ID# - Accidentally resused IDs reassignment: wrong 1513 - new HSL1546</t>
  </si>
  <si>
    <t>HSL_1547</t>
  </si>
  <si>
    <t>18:23</t>
  </si>
  <si>
    <t>Outer foil packet is correct ID# - Accidentally resused IDs reassignment: wrong 1514 - new HSL1547</t>
  </si>
  <si>
    <t>HSL_1548</t>
  </si>
  <si>
    <t>18:27</t>
  </si>
  <si>
    <t>Outer foil packet is correct ID# - Accidentally resused IDs reassignment: wrong 1515 - new HSL1548</t>
  </si>
  <si>
    <t>HSL_1549</t>
  </si>
  <si>
    <t>01:15</t>
  </si>
  <si>
    <t>Outer foil packet is correct ID# - Accidentally resused IDs reassignment: wrong 1516 - new HSL1549</t>
  </si>
  <si>
    <t>HSL_1517</t>
  </si>
  <si>
    <t>01:18</t>
  </si>
  <si>
    <t>HSL_1518</t>
  </si>
  <si>
    <t>03:53</t>
  </si>
  <si>
    <t>HSL_1519</t>
  </si>
  <si>
    <t>HSL_1520</t>
  </si>
  <si>
    <t>03:55</t>
  </si>
  <si>
    <t>HSL_1521</t>
  </si>
  <si>
    <t>HSL_1522</t>
  </si>
  <si>
    <t>06:50</t>
  </si>
  <si>
    <t>HSL_1523</t>
  </si>
  <si>
    <t>HSL_1524</t>
  </si>
  <si>
    <t>06:55</t>
  </si>
  <si>
    <t>HSL_1525</t>
  </si>
  <si>
    <t>06:57</t>
  </si>
  <si>
    <t>HSL_1526</t>
  </si>
  <si>
    <t>09:45</t>
  </si>
  <si>
    <t>HSL_1527</t>
  </si>
  <si>
    <t>09:49</t>
  </si>
  <si>
    <t>HSL_1528</t>
  </si>
  <si>
    <t>09:54</t>
  </si>
  <si>
    <t>HSL_1529</t>
  </si>
  <si>
    <t>12:56</t>
  </si>
  <si>
    <t>HSL_1530</t>
  </si>
  <si>
    <t>13:01</t>
  </si>
  <si>
    <t>HSL_1531</t>
  </si>
  <si>
    <t>13:06</t>
  </si>
  <si>
    <t>HSL_1532</t>
  </si>
  <si>
    <t>02:58</t>
  </si>
  <si>
    <t>HSL_1533</t>
  </si>
  <si>
    <t>03:00</t>
  </si>
  <si>
    <t>HSL_1534</t>
  </si>
  <si>
    <t>06:41</t>
  </si>
  <si>
    <t>HSL_1535</t>
  </si>
  <si>
    <t>06:43</t>
  </si>
  <si>
    <t>HSL_1550</t>
  </si>
  <si>
    <t>EN727</t>
  </si>
  <si>
    <t>Jan</t>
  </si>
  <si>
    <t>19:04</t>
  </si>
  <si>
    <t>Jump in ID#s due to reassigning erroneous IDs</t>
  </si>
  <si>
    <t>HSL_1551</t>
  </si>
  <si>
    <t>19:10</t>
  </si>
  <si>
    <t>HSL_1552</t>
  </si>
  <si>
    <t>04:20</t>
  </si>
  <si>
    <t>HSL_1553</t>
  </si>
  <si>
    <t>HSL_1554</t>
  </si>
  <si>
    <t>10:26</t>
  </si>
  <si>
    <t>HSL_1555</t>
  </si>
  <si>
    <t>10:31</t>
  </si>
  <si>
    <t>HSL_1556</t>
  </si>
  <si>
    <t>04:24</t>
  </si>
  <si>
    <t>HSL_1557</t>
  </si>
  <si>
    <t>04:29</t>
  </si>
  <si>
    <t>HSL_1558</t>
  </si>
  <si>
    <t>04:32</t>
  </si>
  <si>
    <t>HSL_1559</t>
  </si>
  <si>
    <t>11:38</t>
  </si>
  <si>
    <t>HSL_1560</t>
  </si>
  <si>
    <t>11:42</t>
  </si>
  <si>
    <t>HSL_1561</t>
  </si>
  <si>
    <t>11:44</t>
  </si>
  <si>
    <t>HSL_1562</t>
  </si>
  <si>
    <t>HSL_1563</t>
  </si>
  <si>
    <t>18:58</t>
  </si>
  <si>
    <t>HSL_1564</t>
  </si>
  <si>
    <t>19:01</t>
  </si>
  <si>
    <t>HSL_1565</t>
  </si>
  <si>
    <t>19:05</t>
  </si>
  <si>
    <t>HSL_1566</t>
  </si>
  <si>
    <t>21:30</t>
  </si>
  <si>
    <t>HSL_1567</t>
  </si>
  <si>
    <t>21:32</t>
  </si>
  <si>
    <t>HSL_1568</t>
  </si>
  <si>
    <t>04:16</t>
  </si>
  <si>
    <t>HSL_1569</t>
  </si>
  <si>
    <t>04:19</t>
  </si>
  <si>
    <t>HSL_1570</t>
  </si>
  <si>
    <t>10:35</t>
  </si>
  <si>
    <t>HSL_1571</t>
  </si>
  <si>
    <t>10:40</t>
  </si>
  <si>
    <t>HSL_1572</t>
  </si>
  <si>
    <t>20:11</t>
  </si>
  <si>
    <t>HSL_1573</t>
  </si>
  <si>
    <t>20:14</t>
  </si>
  <si>
    <t>HSL_1574</t>
  </si>
  <si>
    <t>HSL_1610</t>
  </si>
  <si>
    <t>02:36</t>
  </si>
  <si>
    <t>Outer foil packet is correct ID# - HSL1610 accidentally reused ID# 1574; reassign after AR88</t>
  </si>
  <si>
    <t>HSL_1575</t>
  </si>
  <si>
    <t>02:41</t>
  </si>
  <si>
    <t>HSL_1576</t>
  </si>
  <si>
    <t>09:53</t>
  </si>
  <si>
    <t>HSL_1577</t>
  </si>
  <si>
    <t>09:55</t>
  </si>
  <si>
    <t>HSL_1578</t>
  </si>
  <si>
    <t>AR88</t>
  </si>
  <si>
    <t>Apr</t>
  </si>
  <si>
    <t>15:10</t>
  </si>
  <si>
    <t>HSL_1579</t>
  </si>
  <si>
    <t>15:13</t>
  </si>
  <si>
    <t>HSL_1580</t>
  </si>
  <si>
    <t>04:04</t>
  </si>
  <si>
    <t>HSL_1581</t>
  </si>
  <si>
    <t>04:09</t>
  </si>
  <si>
    <t>HSL_1582</t>
  </si>
  <si>
    <t>04:11</t>
  </si>
  <si>
    <t>HSL_1583</t>
  </si>
  <si>
    <t>HSL_1584</t>
  </si>
  <si>
    <t>10:14</t>
  </si>
  <si>
    <t>HSL_1585</t>
  </si>
  <si>
    <t>02:35</t>
  </si>
  <si>
    <t>HSL_1586</t>
  </si>
  <si>
    <t>02:39</t>
  </si>
  <si>
    <t>HSL_1587</t>
  </si>
  <si>
    <t>02:46</t>
  </si>
  <si>
    <t>HSL_1588</t>
  </si>
  <si>
    <t>09:38</t>
  </si>
  <si>
    <t>HSL_1589</t>
  </si>
  <si>
    <t>09:42</t>
  </si>
  <si>
    <t>HSL_1590</t>
  </si>
  <si>
    <t>HSL_1591</t>
  </si>
  <si>
    <t>HSL_1592</t>
  </si>
  <si>
    <t>23:03</t>
  </si>
  <si>
    <t>HSL_1593</t>
  </si>
  <si>
    <t>HSL_1594</t>
  </si>
  <si>
    <t>23:11</t>
  </si>
  <si>
    <t>HSL_1595</t>
  </si>
  <si>
    <t>23:17</t>
  </si>
  <si>
    <t>HSL_1596</t>
  </si>
  <si>
    <t>11:12</t>
  </si>
  <si>
    <t>HSL_1597</t>
  </si>
  <si>
    <t>11:15</t>
  </si>
  <si>
    <t>HSL_1598</t>
  </si>
  <si>
    <t>02:24</t>
  </si>
  <si>
    <t>HSL_1599</t>
  </si>
  <si>
    <t>02:28</t>
  </si>
  <si>
    <t>HSL_1600</t>
  </si>
  <si>
    <t>HSL_1601</t>
  </si>
  <si>
    <t>06:54</t>
  </si>
  <si>
    <t>HSL_1602</t>
  </si>
  <si>
    <t>06:58</t>
  </si>
  <si>
    <t>HSL_1603</t>
  </si>
  <si>
    <t>22:42</t>
  </si>
  <si>
    <t>HSL_1604</t>
  </si>
  <si>
    <t>22:47</t>
  </si>
  <si>
    <t>HSL_1605</t>
  </si>
  <si>
    <t>HSL_1606</t>
  </si>
  <si>
    <t>03:45</t>
  </si>
  <si>
    <t>HSL_1607</t>
  </si>
  <si>
    <t>03:58</t>
  </si>
  <si>
    <t>HSL_1608</t>
  </si>
  <si>
    <t>10:21</t>
  </si>
  <si>
    <t>HSL_1609</t>
  </si>
  <si>
    <t>10:23</t>
  </si>
  <si>
    <t>HS2381</t>
  </si>
  <si>
    <t>MVCO</t>
  </si>
  <si>
    <t>MVCO_476</t>
  </si>
  <si>
    <t>MVCO_476_00</t>
  </si>
  <si>
    <t>New England Shelf</t>
  </si>
  <si>
    <t>HS2382</t>
  </si>
  <si>
    <t>MVCO_477</t>
  </si>
  <si>
    <t>MVCO_477_00</t>
  </si>
  <si>
    <t>Reduced volume from normal due to very high particle loading/lots of plankton in the water</t>
  </si>
  <si>
    <t>HS2383</t>
  </si>
  <si>
    <t>MVCO_478</t>
  </si>
  <si>
    <t>MVCO_478_01</t>
  </si>
  <si>
    <t>Many copepods on filters (~6-7?) were not picked off</t>
  </si>
  <si>
    <t>HS2384</t>
  </si>
  <si>
    <t>HS2385</t>
  </si>
  <si>
    <t>MVCO_478_02</t>
  </si>
  <si>
    <t>HS2386</t>
  </si>
  <si>
    <t>MVCO_478_03</t>
  </si>
  <si>
    <t>HS2387</t>
  </si>
  <si>
    <t>MVCO_479</t>
  </si>
  <si>
    <t>MVCO_479_01</t>
  </si>
  <si>
    <t>HS2388</t>
  </si>
  <si>
    <t>MVCO_479_02</t>
  </si>
  <si>
    <t>HS2389</t>
  </si>
  <si>
    <t>MVCO_479_03</t>
  </si>
  <si>
    <t>HS2390</t>
  </si>
  <si>
    <t>MVCO_480</t>
  </si>
  <si>
    <t>MVCO_480_01</t>
  </si>
  <si>
    <t>Jul</t>
  </si>
  <si>
    <t>HS2391</t>
  </si>
  <si>
    <t>MVCO_480_02</t>
  </si>
  <si>
    <t>HS2392</t>
  </si>
  <si>
    <t>MVCO_480_03</t>
  </si>
  <si>
    <t>HS2393</t>
  </si>
  <si>
    <t>MVCO_481</t>
  </si>
  <si>
    <t>MVCO_481_00</t>
  </si>
  <si>
    <t>Aug</t>
  </si>
  <si>
    <t>HS2394</t>
  </si>
  <si>
    <t>HS2395</t>
  </si>
  <si>
    <t>MVCO_482</t>
  </si>
  <si>
    <t>MVCO_482_01</t>
  </si>
  <si>
    <t>HS2396</t>
  </si>
  <si>
    <t>MVCO_482_02</t>
  </si>
  <si>
    <t>HS2397</t>
  </si>
  <si>
    <t>MVCO_482_03</t>
  </si>
  <si>
    <t>HS2398</t>
  </si>
  <si>
    <t>MVCO_483</t>
  </si>
  <si>
    <t>MVCO_483_01</t>
  </si>
  <si>
    <t>HS2399</t>
  </si>
  <si>
    <t>MVCO_483_02</t>
  </si>
  <si>
    <t>HS2400</t>
  </si>
  <si>
    <t>MVCO_483_03</t>
  </si>
  <si>
    <t>HS2401</t>
  </si>
  <si>
    <t>MVCO_484</t>
  </si>
  <si>
    <t>MVCO_484_01</t>
  </si>
  <si>
    <t>Oct</t>
  </si>
  <si>
    <t>HS2402</t>
  </si>
  <si>
    <t>MVCO_484_02</t>
  </si>
  <si>
    <t>HS2403</t>
  </si>
  <si>
    <t>MVCO_484_03</t>
  </si>
  <si>
    <t>HS2404</t>
  </si>
  <si>
    <t>MVCO_485</t>
  </si>
  <si>
    <t>MVCO_485_00</t>
  </si>
  <si>
    <t>HS2405</t>
  </si>
  <si>
    <t>HS2406</t>
  </si>
  <si>
    <t>MVCO_486</t>
  </si>
  <si>
    <t>MVCO_486_00</t>
  </si>
  <si>
    <t>Dec</t>
  </si>
  <si>
    <t>HS2407</t>
  </si>
  <si>
    <t>MVCO_487</t>
  </si>
  <si>
    <t>MVCO_487_01</t>
  </si>
  <si>
    <t>HS2408</t>
  </si>
  <si>
    <t>MVCO_487_02</t>
  </si>
  <si>
    <t>HS2409</t>
  </si>
  <si>
    <t>MVCO_487_03</t>
  </si>
  <si>
    <t>HS2410</t>
  </si>
  <si>
    <t>MVCO_488</t>
  </si>
  <si>
    <t>MVCO_488_01</t>
  </si>
  <si>
    <t>HS2411</t>
  </si>
  <si>
    <t>MVCO_488_02</t>
  </si>
  <si>
    <t>HS2412</t>
  </si>
  <si>
    <t>MVCO_488_03</t>
  </si>
  <si>
    <t>HS2413</t>
  </si>
  <si>
    <t>MVCO_489</t>
  </si>
  <si>
    <t>MVCO_489_00</t>
  </si>
  <si>
    <t>HS2418</t>
  </si>
  <si>
    <t>MVCO_490</t>
  </si>
  <si>
    <t>MVCO_490_00</t>
  </si>
  <si>
    <t>Mar</t>
  </si>
  <si>
    <t>HS2414</t>
  </si>
  <si>
    <t>MVCO_491</t>
  </si>
  <si>
    <t>MVCO_491_01</t>
  </si>
  <si>
    <t>HS2415</t>
  </si>
  <si>
    <t>MVCO_491_02</t>
  </si>
  <si>
    <t>HS2416</t>
  </si>
  <si>
    <t>MVCO_491_03</t>
  </si>
  <si>
    <t>HS2417</t>
  </si>
  <si>
    <t>MVCO_492</t>
  </si>
  <si>
    <t>MVCO_492_00</t>
  </si>
  <si>
    <t>METADATA COMPLETED BY CST FROM SPREADSHEET SENT BY T CROCKFORD</t>
  </si>
  <si>
    <t>14-2406</t>
  </si>
  <si>
    <t>14-2407</t>
  </si>
  <si>
    <t>14-2408</t>
  </si>
  <si>
    <t>Chl c1c2</t>
  </si>
  <si>
    <t>filter storage before shipment to GFC</t>
  </si>
  <si>
    <t>PPIG</t>
  </si>
  <si>
    <t>S.D.</t>
  </si>
  <si>
    <t>TChl a =</t>
  </si>
  <si>
    <t>Ppig =</t>
  </si>
  <si>
    <t>n =</t>
  </si>
  <si>
    <t>GSFC Lab sample code</t>
  </si>
  <si>
    <t>Sample Label</t>
  </si>
  <si>
    <t>Cruise ID</t>
  </si>
  <si>
    <t>Indicate if filters are replicates</t>
  </si>
  <si>
    <t>Volume filtered (ml)</t>
  </si>
  <si>
    <t>Station</t>
  </si>
  <si>
    <t>Bottle Number</t>
  </si>
  <si>
    <t>Sampling Depth (meters)</t>
  </si>
  <si>
    <t>Total Water Depth (meters)</t>
  </si>
  <si>
    <t>Name of Water Body</t>
  </si>
  <si>
    <t>Year</t>
  </si>
  <si>
    <t>Month</t>
  </si>
  <si>
    <t>Day of Gregorian Month</t>
  </si>
  <si>
    <t>Sequential Day of Year</t>
  </si>
  <si>
    <t>GMT Time</t>
  </si>
  <si>
    <t>Longitude</t>
  </si>
  <si>
    <t>Latitude</t>
  </si>
  <si>
    <t>Filter type</t>
  </si>
  <si>
    <t>Filter Diameter (mm)</t>
  </si>
  <si>
    <t>Filter storage before shipping to GSFC</t>
  </si>
  <si>
    <t>[Tot_Chl_a]</t>
  </si>
  <si>
    <t>[Tot_Chl_b]</t>
  </si>
  <si>
    <t>[Tot_Chl_c]</t>
  </si>
  <si>
    <t>[Alpha_beta_Car]</t>
  </si>
  <si>
    <t>[But fuco]</t>
  </si>
  <si>
    <t>[Hex fuco]</t>
  </si>
  <si>
    <t>[Allo]</t>
  </si>
  <si>
    <t>[Diadino]</t>
  </si>
  <si>
    <t>[Diato]</t>
  </si>
  <si>
    <t>[Fuco]</t>
  </si>
  <si>
    <t>[Perid]</t>
  </si>
  <si>
    <t>[Zea]</t>
  </si>
  <si>
    <t>[MV_Chl_a]</t>
  </si>
  <si>
    <t>[DV_Chl_a]</t>
  </si>
  <si>
    <t>[Chlide_a]</t>
  </si>
  <si>
    <t>[MV_Chl _b]</t>
  </si>
  <si>
    <t>[DV_Chl_b]</t>
  </si>
  <si>
    <t>[Chl c1c2]</t>
  </si>
  <si>
    <r>
      <t>[Chl_c</t>
    </r>
    <r>
      <rPr>
        <vertAlign val="subscript"/>
        <sz val="10"/>
        <color indexed="12"/>
        <rFont val="Arial"/>
        <family val="2"/>
      </rPr>
      <t>3]</t>
    </r>
  </si>
  <si>
    <t>[Lut]</t>
  </si>
  <si>
    <t>[Neo]</t>
  </si>
  <si>
    <t>[Viola]</t>
  </si>
  <si>
    <t>[Phytin_a]</t>
  </si>
  <si>
    <t>[Phide_a]</t>
  </si>
  <si>
    <t>[Pras]</t>
  </si>
  <si>
    <t>[Gyro]</t>
  </si>
  <si>
    <t>[TChl]</t>
  </si>
  <si>
    <t>[PPC]</t>
  </si>
  <si>
    <t>[PSC]</t>
  </si>
  <si>
    <t>[PSP]</t>
  </si>
  <si>
    <t>[TCar]</t>
  </si>
  <si>
    <t>[TAcc]</t>
  </si>
  <si>
    <t>[TPg]</t>
  </si>
  <si>
    <t>[DP]</t>
  </si>
  <si>
    <t>[TAcc]/[Tchla]</t>
  </si>
  <si>
    <t>[PPC]/[TCar]</t>
  </si>
  <si>
    <t>[TChl]/[TCar]</t>
  </si>
  <si>
    <t>[TChl a]/[TPg]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</si>
</sst>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0000"/>
    <numFmt numFmtId="166" formatCode="0.000"/>
    <numFmt numFmtId="167" formatCode="0.0"/>
    <numFmt numFmtId="168" formatCode="[$-F400]h:mm:ss\ AM/PM"/>
    <numFmt numFmtId="169" formatCode="yyyy\-mm\-dd;@"/>
    <numFmt numFmtId="170" formatCode="h:mm;@"/>
  </numFmts>
  <fonts count="76">
    <font>
      <sz val="10"/>
      <name val="Helvetica"/>
    </font>
    <font>
      <b/>
      <sz val="10"/>
      <name val="Helvetica"/>
    </font>
    <font>
      <sz val="8"/>
      <name val="Helvetica"/>
    </font>
    <font>
      <b/>
      <sz val="10"/>
      <color indexed="10"/>
      <name val="Helvetica"/>
    </font>
    <font>
      <sz val="10"/>
      <color indexed="12"/>
      <name val="Helvetica"/>
    </font>
    <font>
      <b/>
      <sz val="10"/>
      <color indexed="12"/>
      <name val="Helvetica"/>
    </font>
    <font>
      <sz val="10"/>
      <name val="Helvetica"/>
    </font>
    <font>
      <sz val="10"/>
      <name val="Helvetica"/>
    </font>
    <font>
      <sz val="10"/>
      <name val="Geneva"/>
    </font>
    <font>
      <sz val="10"/>
      <color indexed="12"/>
      <name val="Arial"/>
      <family val="2"/>
    </font>
    <font>
      <u/>
      <sz val="10"/>
      <color theme="10"/>
      <name val="Helvetica"/>
    </font>
    <font>
      <u/>
      <sz val="10"/>
      <color theme="11"/>
      <name val="Helvetica"/>
    </font>
    <font>
      <sz val="12"/>
      <color rgb="FFFF0000"/>
      <name val="Arial"/>
      <family val="2"/>
    </font>
    <font>
      <sz val="12"/>
      <color theme="1"/>
      <name val="Arial"/>
      <family val="2"/>
    </font>
    <font>
      <b/>
      <sz val="14"/>
      <name val="Arial"/>
      <family val="2"/>
    </font>
    <font>
      <sz val="10"/>
      <name val="Arial"/>
      <family val="2"/>
    </font>
    <font>
      <sz val="10"/>
      <color indexed="10"/>
      <name val="Arial"/>
      <family val="2"/>
    </font>
    <font>
      <b/>
      <sz val="10"/>
      <name val="Arial"/>
      <family val="2"/>
    </font>
    <font>
      <b/>
      <sz val="10"/>
      <color theme="1"/>
      <name val="Arial"/>
      <family val="2"/>
    </font>
    <font>
      <b/>
      <sz val="10"/>
      <color indexed="10"/>
      <name val="Arial"/>
      <family val="2"/>
    </font>
    <font>
      <b/>
      <sz val="12"/>
      <name val="Arial"/>
      <family val="2"/>
    </font>
    <font>
      <b/>
      <sz val="10"/>
      <color indexed="8"/>
      <name val="Arial"/>
      <family val="2"/>
    </font>
    <font>
      <b/>
      <sz val="10"/>
      <color rgb="FFFF0000"/>
      <name val="Arial"/>
      <family val="2"/>
    </font>
    <font>
      <sz val="10"/>
      <color indexed="17"/>
      <name val="Arial"/>
      <family val="2"/>
    </font>
    <font>
      <sz val="12"/>
      <name val="Arial"/>
      <family val="2"/>
    </font>
    <font>
      <b/>
      <sz val="14"/>
      <color indexed="43"/>
      <name val="Arial"/>
      <family val="2"/>
    </font>
    <font>
      <b/>
      <sz val="14"/>
      <color indexed="12"/>
      <name val="Arial"/>
      <family val="2"/>
    </font>
    <font>
      <b/>
      <sz val="14"/>
      <color indexed="41"/>
      <name val="Arial"/>
      <family val="2"/>
    </font>
    <font>
      <b/>
      <sz val="14"/>
      <color indexed="45"/>
      <name val="Arial"/>
      <family val="2"/>
    </font>
    <font>
      <b/>
      <sz val="14"/>
      <color indexed="47"/>
      <name val="Arial"/>
      <family val="2"/>
    </font>
    <font>
      <b/>
      <sz val="14"/>
      <color indexed="46"/>
      <name val="Arial"/>
      <family val="2"/>
    </font>
    <font>
      <b/>
      <sz val="14"/>
      <color indexed="44"/>
      <name val="Arial"/>
      <family val="2"/>
    </font>
    <font>
      <vertAlign val="subscript"/>
      <sz val="10"/>
      <color indexed="12"/>
      <name val="Arial"/>
      <family val="2"/>
    </font>
    <font>
      <sz val="10"/>
      <color theme="1"/>
      <name val="Helvetica"/>
    </font>
    <font>
      <sz val="10"/>
      <color rgb="FF0000D4"/>
      <name val="Arial"/>
      <family val="2"/>
    </font>
    <font>
      <sz val="12"/>
      <color rgb="FF000000"/>
      <name val="Arial"/>
      <family val="2"/>
    </font>
    <font>
      <b/>
      <sz val="12"/>
      <color rgb="FFFF0000"/>
      <name val="Arial"/>
      <family val="2"/>
    </font>
    <font>
      <u/>
      <sz val="12"/>
      <color theme="10"/>
      <name val="Arial"/>
      <family val="2"/>
    </font>
    <font>
      <u/>
      <sz val="10"/>
      <color theme="10"/>
      <name val="Arial"/>
      <family val="2"/>
    </font>
    <font>
      <u/>
      <sz val="12"/>
      <color rgb="FF0000FF"/>
      <name val="Arial"/>
      <family val="2"/>
    </font>
    <font>
      <b/>
      <sz val="12"/>
      <color indexed="43"/>
      <name val="Arial"/>
      <family val="2"/>
    </font>
    <font>
      <b/>
      <sz val="12"/>
      <color indexed="41"/>
      <name val="Arial"/>
      <family val="2"/>
    </font>
    <font>
      <b/>
      <sz val="12"/>
      <color indexed="45"/>
      <name val="Arial"/>
      <family val="2"/>
    </font>
    <font>
      <b/>
      <sz val="12"/>
      <color indexed="47"/>
      <name val="Arial"/>
      <family val="2"/>
    </font>
    <font>
      <sz val="12"/>
      <name val="Geneva"/>
    </font>
    <font>
      <b/>
      <sz val="12"/>
      <name val="Geneva"/>
    </font>
    <font>
      <b/>
      <sz val="10"/>
      <color rgb="FF000000"/>
      <name val="Geneva"/>
      <charset val="1"/>
    </font>
    <font>
      <b/>
      <sz val="10"/>
      <name val="Geneva"/>
      <charset val="1"/>
    </font>
    <font>
      <b/>
      <sz val="8"/>
      <color rgb="FF0000D4"/>
      <name val="Geneva"/>
      <charset val="1"/>
    </font>
    <font>
      <sz val="8"/>
      <name val="Geneva"/>
      <charset val="1"/>
    </font>
    <font>
      <b/>
      <sz val="14"/>
      <name val="Geneva"/>
      <charset val="1"/>
    </font>
    <font>
      <b/>
      <sz val="10"/>
      <color rgb="FFFF0000"/>
      <name val="Geneva"/>
      <charset val="1"/>
    </font>
    <font>
      <sz val="10"/>
      <color rgb="FF006411"/>
      <name val="Geneva"/>
      <charset val="1"/>
    </font>
    <font>
      <sz val="10"/>
      <color rgb="FF0000D4"/>
      <name val="Geneva"/>
      <charset val="1"/>
    </font>
    <font>
      <sz val="10"/>
      <color rgb="FF0000D4"/>
      <name val="Geneva"/>
    </font>
    <font>
      <sz val="10"/>
      <color rgb="FF000000"/>
      <name val="Geneva"/>
      <charset val="1"/>
    </font>
    <font>
      <sz val="11"/>
      <color rgb="FF000000"/>
      <name val="Calibri"/>
      <family val="2"/>
    </font>
    <font>
      <b/>
      <sz val="10"/>
      <color rgb="FF006411"/>
      <name val="Geneva"/>
    </font>
    <font>
      <b/>
      <sz val="11"/>
      <color rgb="FFFF0000"/>
      <name val="Calibri"/>
      <family val="2"/>
      <scheme val="minor"/>
    </font>
    <font>
      <b/>
      <sz val="10"/>
      <color rgb="FFFF0000"/>
      <name val="Geneva"/>
    </font>
    <font>
      <sz val="11"/>
      <name val="Arial"/>
      <family val="2"/>
    </font>
    <font>
      <sz val="11"/>
      <name val="Calibri"/>
      <family val="2"/>
      <scheme val="minor"/>
    </font>
    <font>
      <sz val="10"/>
      <color rgb="FF000000"/>
      <name val="Arial"/>
      <family val="2"/>
    </font>
    <font>
      <sz val="11"/>
      <color indexed="8"/>
      <name val="Calibri"/>
      <family val="2"/>
      <scheme val="minor"/>
    </font>
    <font>
      <sz val="10"/>
      <color rgb="FFFF0000"/>
      <name val="Helvetica"/>
    </font>
    <font>
      <b/>
      <sz val="10"/>
      <color indexed="12"/>
      <name val="Arial"/>
      <family val="2"/>
    </font>
    <font>
      <b/>
      <sz val="12"/>
      <color rgb="FFFFFF99"/>
      <name val="Arial"/>
      <family val="2"/>
    </font>
    <font>
      <b/>
      <sz val="12"/>
      <color rgb="FFCCFFFF"/>
      <name val="Arial"/>
      <family val="2"/>
    </font>
    <font>
      <b/>
      <sz val="12"/>
      <color rgb="FFFF99CC"/>
      <name val="Arial"/>
      <family val="2"/>
    </font>
    <font>
      <b/>
      <sz val="12"/>
      <color rgb="FFFFCC99"/>
      <name val="Arial"/>
      <family val="2"/>
    </font>
    <font>
      <b/>
      <sz val="14"/>
      <color rgb="FFCC99FF"/>
      <name val="Arial"/>
      <family val="2"/>
    </font>
    <font>
      <b/>
      <sz val="14"/>
      <color rgb="FF0000D4"/>
      <name val="Arial"/>
      <family val="2"/>
    </font>
    <font>
      <b/>
      <sz val="14"/>
      <color rgb="FF99CCFF"/>
      <name val="Arial"/>
      <family val="2"/>
    </font>
    <font>
      <b/>
      <sz val="10"/>
      <color indexed="46"/>
      <name val="Arial"/>
      <family val="2"/>
    </font>
    <font>
      <b/>
      <sz val="10"/>
      <color indexed="44"/>
      <name val="Arial"/>
      <family val="2"/>
    </font>
    <font>
      <b/>
      <sz val="14"/>
      <name val="Helvetica"/>
    </font>
  </fonts>
  <fills count="17">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5"/>
        <bgColor indexed="64"/>
      </patternFill>
    </fill>
    <fill>
      <patternFill patternType="solid">
        <fgColor indexed="47"/>
        <bgColor indexed="64"/>
      </patternFill>
    </fill>
    <fill>
      <patternFill patternType="solid">
        <fgColor indexed="46"/>
        <bgColor indexed="64"/>
      </patternFill>
    </fill>
    <fill>
      <patternFill patternType="solid">
        <fgColor indexed="44"/>
        <bgColor indexed="64"/>
      </patternFill>
    </fill>
    <fill>
      <patternFill patternType="solid">
        <fgColor indexed="23"/>
        <bgColor indexed="64"/>
      </patternFill>
    </fill>
    <fill>
      <patternFill patternType="solid">
        <fgColor theme="0" tint="-0.499984740745262"/>
        <bgColor indexed="64"/>
      </patternFill>
    </fill>
    <fill>
      <patternFill patternType="solid">
        <fgColor rgb="FFFFFF00"/>
        <bgColor indexed="64"/>
      </patternFill>
    </fill>
    <fill>
      <patternFill patternType="solid">
        <fgColor rgb="FFC6D9F1"/>
        <bgColor rgb="FFD9D9D9"/>
      </patternFill>
    </fill>
    <fill>
      <patternFill patternType="solid">
        <fgColor theme="0" tint="-0.14999847407452621"/>
        <bgColor indexed="64"/>
      </patternFill>
    </fill>
    <fill>
      <patternFill patternType="solid">
        <fgColor rgb="FF808080"/>
        <bgColor rgb="FF000000"/>
      </patternFill>
    </fill>
    <fill>
      <patternFill patternType="solid">
        <fgColor rgb="FFCCFFCC"/>
        <bgColor rgb="FF000000"/>
      </patternFill>
    </fill>
    <fill>
      <patternFill patternType="solid">
        <fgColor rgb="FFFFCC99"/>
        <bgColor rgb="FF000000"/>
      </patternFill>
    </fill>
    <fill>
      <patternFill patternType="solid">
        <fgColor rgb="FFCCFFFF"/>
        <bgColor rgb="FF000000"/>
      </patternFill>
    </fill>
  </fills>
  <borders count="18">
    <border>
      <left/>
      <right/>
      <top/>
      <bottom/>
      <diagonal/>
    </border>
    <border>
      <left style="thin">
        <color indexed="22"/>
      </left>
      <right style="thin">
        <color indexed="22"/>
      </right>
      <top style="thin">
        <color indexed="22"/>
      </top>
      <bottom style="thin">
        <color indexed="22"/>
      </bottom>
      <diagonal/>
    </border>
    <border>
      <left style="hair">
        <color auto="1"/>
      </left>
      <right style="hair">
        <color auto="1"/>
      </right>
      <top style="hair">
        <color auto="1"/>
      </top>
      <bottom style="hair">
        <color auto="1"/>
      </bottom>
      <diagonal/>
    </border>
    <border>
      <left style="hair">
        <color indexed="22"/>
      </left>
      <right style="hair">
        <color indexed="22"/>
      </right>
      <top style="hair">
        <color indexed="22"/>
      </top>
      <bottom style="hair">
        <color indexed="22"/>
      </bottom>
      <diagonal/>
    </border>
    <border>
      <left style="hair">
        <color indexed="22"/>
      </left>
      <right style="hair">
        <color indexed="22"/>
      </right>
      <top style="hair">
        <color indexed="22"/>
      </top>
      <bottom/>
      <diagonal/>
    </border>
    <border>
      <left style="hair">
        <color indexed="22"/>
      </left>
      <right/>
      <top style="hair">
        <color indexed="22"/>
      </top>
      <bottom/>
      <diagonal/>
    </border>
    <border>
      <left/>
      <right style="hair">
        <color indexed="22"/>
      </right>
      <top style="hair">
        <color indexed="22"/>
      </top>
      <bottom/>
      <diagonal/>
    </border>
    <border>
      <left style="thin">
        <color rgb="FFC0C0C0"/>
      </left>
      <right style="thin">
        <color rgb="FFC0C0C0"/>
      </right>
      <top style="thin">
        <color rgb="FFC0C0C0"/>
      </top>
      <bottom style="thin">
        <color rgb="FFC0C0C0"/>
      </bottom>
      <diagonal/>
    </border>
    <border>
      <left style="thin">
        <color indexed="22"/>
      </left>
      <right style="thin">
        <color indexed="22"/>
      </right>
      <top style="thin">
        <color indexed="22"/>
      </top>
      <bottom/>
      <diagonal/>
    </border>
    <border>
      <left/>
      <right/>
      <top style="thin">
        <color indexed="22"/>
      </top>
      <bottom style="hair">
        <color indexed="22"/>
      </bottom>
      <diagonal/>
    </border>
    <border>
      <left style="hair">
        <color indexed="22"/>
      </left>
      <right style="hair">
        <color indexed="22"/>
      </right>
      <top style="thin">
        <color indexed="22"/>
      </top>
      <bottom style="hair">
        <color indexed="22"/>
      </bottom>
      <diagonal/>
    </border>
    <border>
      <left/>
      <right style="hair">
        <color indexed="22"/>
      </right>
      <top style="thin">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style="thin">
        <color auto="1"/>
      </left>
      <right style="thin">
        <color auto="1"/>
      </right>
      <top style="thin">
        <color auto="1"/>
      </top>
      <bottom style="thin">
        <color auto="1"/>
      </bottom>
      <diagonal/>
    </border>
    <border>
      <left/>
      <right/>
      <top style="hair">
        <color indexed="22"/>
      </top>
      <bottom/>
      <diagonal/>
    </border>
    <border>
      <left/>
      <right/>
      <top/>
      <bottom style="thin">
        <color indexed="22"/>
      </bottom>
      <diagonal/>
    </border>
    <border>
      <left style="dotted">
        <color rgb="FFC0C0C0"/>
      </left>
      <right style="dotted">
        <color rgb="FFC0C0C0"/>
      </right>
      <top style="dotted">
        <color rgb="FFC0C0C0"/>
      </top>
      <bottom style="dotted">
        <color rgb="FFC0C0C0"/>
      </bottom>
      <diagonal/>
    </border>
  </borders>
  <cellStyleXfs count="127">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62" fillId="0" borderId="0"/>
  </cellStyleXfs>
  <cellXfs count="261">
    <xf numFmtId="0" fontId="0" fillId="0" borderId="0" xfId="0"/>
    <xf numFmtId="0" fontId="0" fillId="0" borderId="0" xfId="0" applyAlignment="1">
      <alignment horizontal="center"/>
    </xf>
    <xf numFmtId="0" fontId="6" fillId="0" borderId="2" xfId="0" applyFont="1" applyBorder="1" applyAlignment="1">
      <alignment horizontal="center" vertical="center"/>
    </xf>
    <xf numFmtId="164" fontId="4" fillId="0" borderId="2" xfId="0" applyNumberFormat="1" applyFont="1" applyBorder="1" applyAlignment="1">
      <alignment horizontal="center" vertical="center"/>
    </xf>
    <xf numFmtId="0" fontId="5" fillId="0" borderId="2" xfId="0" applyFont="1" applyBorder="1" applyAlignment="1">
      <alignment horizontal="center" vertical="center" wrapText="1"/>
    </xf>
    <xf numFmtId="2" fontId="5" fillId="0" borderId="2" xfId="0" applyNumberFormat="1" applyFont="1" applyBorder="1" applyAlignment="1">
      <alignment horizontal="center" vertical="center" wrapText="1"/>
    </xf>
    <xf numFmtId="0" fontId="6" fillId="0" borderId="2" xfId="0" applyFont="1" applyBorder="1" applyAlignment="1">
      <alignment horizontal="center"/>
    </xf>
    <xf numFmtId="0" fontId="6" fillId="0" borderId="2" xfId="0" applyFont="1" applyBorder="1"/>
    <xf numFmtId="0" fontId="0" fillId="0" borderId="2" xfId="0" applyBorder="1"/>
    <xf numFmtId="0" fontId="3" fillId="0" borderId="2" xfId="0" applyFont="1" applyBorder="1"/>
    <xf numFmtId="14" fontId="1" fillId="0" borderId="2" xfId="0" applyNumberFormat="1" applyFont="1" applyBorder="1" applyAlignment="1">
      <alignment horizontal="center"/>
    </xf>
    <xf numFmtId="0" fontId="7" fillId="0" borderId="2" xfId="0" applyFont="1" applyBorder="1"/>
    <xf numFmtId="0" fontId="5" fillId="0" borderId="2" xfId="0" applyFont="1" applyBorder="1"/>
    <xf numFmtId="0" fontId="5" fillId="0" borderId="2" xfId="0" applyFont="1" applyBorder="1" applyAlignment="1">
      <alignment horizontal="center"/>
    </xf>
    <xf numFmtId="14" fontId="5" fillId="0" borderId="2" xfId="0" applyNumberFormat="1" applyFont="1" applyBorder="1"/>
    <xf numFmtId="164" fontId="5" fillId="0" borderId="2" xfId="0" applyNumberFormat="1" applyFont="1" applyBorder="1" applyAlignment="1">
      <alignment horizontal="center" vertical="center"/>
    </xf>
    <xf numFmtId="164" fontId="5" fillId="0" borderId="2" xfId="0" applyNumberFormat="1" applyFont="1" applyBorder="1" applyAlignment="1">
      <alignment horizontal="center" vertical="center" wrapText="1"/>
    </xf>
    <xf numFmtId="0" fontId="0" fillId="0" borderId="2" xfId="0" applyBorder="1" applyAlignment="1">
      <alignment horizontal="center"/>
    </xf>
    <xf numFmtId="164" fontId="0" fillId="0" borderId="0" xfId="0" applyNumberFormat="1" applyAlignment="1">
      <alignment horizontal="center"/>
    </xf>
    <xf numFmtId="166" fontId="0" fillId="0" borderId="2" xfId="0" applyNumberFormat="1" applyBorder="1"/>
    <xf numFmtId="2" fontId="0" fillId="0" borderId="2" xfId="0" applyNumberFormat="1" applyBorder="1" applyAlignment="1">
      <alignment horizontal="center"/>
    </xf>
    <xf numFmtId="0" fontId="14" fillId="0" borderId="3" xfId="0" applyFont="1" applyBorder="1"/>
    <xf numFmtId="0" fontId="15" fillId="0" borderId="3" xfId="0" applyFont="1" applyBorder="1" applyAlignment="1">
      <alignment horizontal="center"/>
    </xf>
    <xf numFmtId="167" fontId="16" fillId="0" borderId="3" xfId="0" applyNumberFormat="1" applyFont="1" applyBorder="1" applyAlignment="1">
      <alignment horizontal="center"/>
    </xf>
    <xf numFmtId="165" fontId="15" fillId="0" borderId="3" xfId="0" applyNumberFormat="1" applyFont="1" applyBorder="1" applyAlignment="1">
      <alignment horizontal="center"/>
    </xf>
    <xf numFmtId="164" fontId="15" fillId="0" borderId="3" xfId="0" applyNumberFormat="1" applyFont="1" applyBorder="1" applyAlignment="1">
      <alignment horizontal="center"/>
    </xf>
    <xf numFmtId="166" fontId="15" fillId="0" borderId="3" xfId="0" applyNumberFormat="1" applyFont="1" applyBorder="1"/>
    <xf numFmtId="164" fontId="15" fillId="0" borderId="3" xfId="0" applyNumberFormat="1" applyFont="1" applyBorder="1"/>
    <xf numFmtId="0" fontId="15" fillId="0" borderId="3" xfId="0" applyFont="1" applyBorder="1"/>
    <xf numFmtId="0" fontId="14" fillId="0" borderId="3" xfId="0" applyFont="1" applyBorder="1" applyAlignment="1">
      <alignment horizontal="center" vertical="center"/>
    </xf>
    <xf numFmtId="166" fontId="15" fillId="0" borderId="3" xfId="0" applyNumberFormat="1" applyFont="1" applyBorder="1" applyAlignment="1">
      <alignment horizontal="center"/>
    </xf>
    <xf numFmtId="0" fontId="17" fillId="0" borderId="3" xfId="0" applyFont="1" applyBorder="1" applyAlignment="1">
      <alignment horizontal="left"/>
    </xf>
    <xf numFmtId="0" fontId="17" fillId="0" borderId="3" xfId="0" quotePrefix="1" applyFont="1" applyBorder="1" applyAlignment="1">
      <alignment horizontal="left"/>
    </xf>
    <xf numFmtId="0" fontId="9" fillId="0" borderId="3" xfId="0" applyFont="1" applyBorder="1" applyAlignment="1">
      <alignment horizontal="center" vertical="center" wrapText="1"/>
    </xf>
    <xf numFmtId="0" fontId="17" fillId="0" borderId="3" xfId="0" applyFont="1" applyBorder="1"/>
    <xf numFmtId="0" fontId="17" fillId="0" borderId="3" xfId="0" applyFont="1" applyBorder="1" applyAlignment="1">
      <alignment horizontal="center"/>
    </xf>
    <xf numFmtId="1" fontId="18" fillId="0" borderId="3" xfId="0" quotePrefix="1" applyNumberFormat="1" applyFont="1" applyBorder="1" applyAlignment="1">
      <alignment horizontal="left"/>
    </xf>
    <xf numFmtId="14" fontId="15" fillId="0" borderId="3" xfId="0" applyNumberFormat="1" applyFont="1" applyBorder="1" applyAlignment="1">
      <alignment horizontal="center"/>
    </xf>
    <xf numFmtId="167" fontId="19" fillId="0" borderId="3" xfId="0" applyNumberFormat="1" applyFont="1" applyBorder="1" applyAlignment="1">
      <alignment horizontal="center"/>
    </xf>
    <xf numFmtId="165" fontId="17" fillId="0" borderId="3" xfId="0" applyNumberFormat="1" applyFont="1" applyBorder="1" applyAlignment="1">
      <alignment horizontal="center"/>
    </xf>
    <xf numFmtId="164" fontId="17" fillId="0" borderId="3" xfId="0" applyNumberFormat="1" applyFont="1" applyBorder="1" applyAlignment="1">
      <alignment horizontal="center"/>
    </xf>
    <xf numFmtId="166" fontId="17" fillId="0" borderId="3" xfId="0" applyNumberFormat="1" applyFont="1" applyBorder="1"/>
    <xf numFmtId="164" fontId="17" fillId="0" borderId="3" xfId="0" applyNumberFormat="1" applyFont="1" applyBorder="1"/>
    <xf numFmtId="0" fontId="20" fillId="0" borderId="3" xfId="0" applyFont="1" applyBorder="1"/>
    <xf numFmtId="0" fontId="21" fillId="0" borderId="3" xfId="0" applyFont="1" applyBorder="1" applyAlignment="1">
      <alignment horizontal="left"/>
    </xf>
    <xf numFmtId="0" fontId="21" fillId="0" borderId="3" xfId="0" applyFont="1" applyBorder="1" applyAlignment="1">
      <alignment horizontal="center"/>
    </xf>
    <xf numFmtId="165" fontId="21" fillId="0" borderId="3" xfId="0" applyNumberFormat="1" applyFont="1" applyBorder="1" applyAlignment="1">
      <alignment horizontal="center"/>
    </xf>
    <xf numFmtId="164" fontId="21" fillId="0" borderId="3" xfId="0" applyNumberFormat="1" applyFont="1" applyBorder="1" applyAlignment="1">
      <alignment horizontal="center"/>
    </xf>
    <xf numFmtId="166" fontId="21" fillId="0" borderId="3" xfId="0" applyNumberFormat="1" applyFont="1" applyBorder="1"/>
    <xf numFmtId="164" fontId="21" fillId="0" borderId="3" xfId="0" applyNumberFormat="1" applyFont="1" applyBorder="1"/>
    <xf numFmtId="0" fontId="21" fillId="0" borderId="3" xfId="0" applyFont="1" applyBorder="1"/>
    <xf numFmtId="0" fontId="22" fillId="0" borderId="0" xfId="0" applyFont="1" applyAlignment="1">
      <alignment horizontal="left"/>
    </xf>
    <xf numFmtId="0" fontId="23" fillId="0" borderId="3" xfId="0" applyFont="1" applyBorder="1" applyAlignment="1">
      <alignment horizontal="center"/>
    </xf>
    <xf numFmtId="20" fontId="23" fillId="0" borderId="3" xfId="0" applyNumberFormat="1" applyFont="1" applyBorder="1" applyAlignment="1">
      <alignment horizontal="center"/>
    </xf>
    <xf numFmtId="165" fontId="23" fillId="0" borderId="3" xfId="0" applyNumberFormat="1" applyFont="1" applyBorder="1" applyAlignment="1">
      <alignment horizontal="center"/>
    </xf>
    <xf numFmtId="164" fontId="23" fillId="0" borderId="3" xfId="0" applyNumberFormat="1" applyFont="1" applyBorder="1" applyAlignment="1">
      <alignment horizontal="center"/>
    </xf>
    <xf numFmtId="0" fontId="21" fillId="0" borderId="4" xfId="0" applyFont="1" applyBorder="1"/>
    <xf numFmtId="0" fontId="24" fillId="0" borderId="4" xfId="0" applyFont="1" applyBorder="1"/>
    <xf numFmtId="0" fontId="20" fillId="0" borderId="4" xfId="0" applyFont="1" applyBorder="1" applyAlignment="1">
      <alignment horizontal="center" vertical="center"/>
    </xf>
    <xf numFmtId="20" fontId="24" fillId="0" borderId="4" xfId="0" applyNumberFormat="1" applyFont="1" applyBorder="1" applyAlignment="1">
      <alignment horizontal="center"/>
    </xf>
    <xf numFmtId="0" fontId="24" fillId="0" borderId="4" xfId="0" applyFont="1" applyBorder="1" applyAlignment="1">
      <alignment horizontal="center"/>
    </xf>
    <xf numFmtId="167" fontId="20" fillId="0" borderId="4" xfId="0" applyNumberFormat="1" applyFont="1" applyBorder="1" applyAlignment="1">
      <alignment horizontal="center" vertical="center"/>
    </xf>
    <xf numFmtId="165" fontId="20" fillId="0" borderId="4" xfId="0" applyNumberFormat="1" applyFont="1" applyBorder="1" applyAlignment="1">
      <alignment horizontal="center" vertical="center"/>
    </xf>
    <xf numFmtId="164" fontId="20" fillId="0" borderId="4" xfId="0" applyNumberFormat="1" applyFont="1" applyBorder="1" applyAlignment="1">
      <alignment horizontal="center" vertical="center"/>
    </xf>
    <xf numFmtId="164" fontId="25" fillId="8" borderId="0" xfId="0" applyNumberFormat="1" applyFont="1" applyFill="1"/>
    <xf numFmtId="164" fontId="26" fillId="8" borderId="0" xfId="0" applyNumberFormat="1" applyFont="1" applyFill="1"/>
    <xf numFmtId="164" fontId="27" fillId="8" borderId="0" xfId="0" applyNumberFormat="1" applyFont="1" applyFill="1"/>
    <xf numFmtId="164" fontId="28" fillId="8" borderId="0" xfId="0" applyNumberFormat="1" applyFont="1" applyFill="1"/>
    <xf numFmtId="164" fontId="26" fillId="9" borderId="0" xfId="0" applyNumberFormat="1" applyFont="1" applyFill="1"/>
    <xf numFmtId="164" fontId="29" fillId="8" borderId="0" xfId="0" applyNumberFormat="1" applyFont="1" applyFill="1" applyAlignment="1">
      <alignment wrapText="1"/>
    </xf>
    <xf numFmtId="166" fontId="30" fillId="8" borderId="0" xfId="0" applyNumberFormat="1" applyFont="1" applyFill="1"/>
    <xf numFmtId="166" fontId="26" fillId="8" borderId="0" xfId="0" applyNumberFormat="1" applyFont="1" applyFill="1"/>
    <xf numFmtId="0" fontId="31" fillId="8" borderId="0" xfId="0" applyFont="1" applyFill="1"/>
    <xf numFmtId="0" fontId="26" fillId="8" borderId="0" xfId="0" applyFont="1" applyFill="1"/>
    <xf numFmtId="0" fontId="24" fillId="0" borderId="6" xfId="0" applyFont="1" applyBorder="1"/>
    <xf numFmtId="0" fontId="24" fillId="0" borderId="0" xfId="0" applyFont="1"/>
    <xf numFmtId="0" fontId="20" fillId="0" borderId="0" xfId="0" applyFont="1" applyAlignment="1">
      <alignment horizontal="center" vertical="center"/>
    </xf>
    <xf numFmtId="20" fontId="24" fillId="0" borderId="0" xfId="0" applyNumberFormat="1" applyFont="1" applyAlignment="1">
      <alignment horizontal="center"/>
    </xf>
    <xf numFmtId="0" fontId="24" fillId="0" borderId="0" xfId="0" applyFont="1" applyAlignment="1">
      <alignment horizontal="center"/>
    </xf>
    <xf numFmtId="167" fontId="20" fillId="0" borderId="0" xfId="0" applyNumberFormat="1" applyFont="1" applyAlignment="1">
      <alignment horizontal="center" vertical="center"/>
    </xf>
    <xf numFmtId="165" fontId="20" fillId="0" borderId="0" xfId="0" applyNumberFormat="1" applyFont="1" applyAlignment="1">
      <alignment horizontal="center" vertical="center"/>
    </xf>
    <xf numFmtId="164" fontId="20" fillId="0" borderId="0" xfId="0" applyNumberFormat="1" applyFont="1" applyAlignment="1">
      <alignment horizontal="center" vertical="center"/>
    </xf>
    <xf numFmtId="0" fontId="9" fillId="0" borderId="1" xfId="0" applyFont="1" applyBorder="1" applyAlignment="1">
      <alignment horizontal="center" vertical="center" wrapText="1"/>
    </xf>
    <xf numFmtId="164" fontId="9" fillId="3"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164" fontId="9" fillId="5" borderId="1" xfId="0" applyNumberFormat="1" applyFont="1" applyFill="1" applyBorder="1" applyAlignment="1">
      <alignment horizontal="center" vertical="center" wrapText="1"/>
    </xf>
    <xf numFmtId="2" fontId="9" fillId="0" borderId="1" xfId="0" applyNumberFormat="1" applyFont="1" applyBorder="1" applyAlignment="1">
      <alignment horizontal="center" vertical="center" wrapText="1"/>
    </xf>
    <xf numFmtId="0" fontId="15" fillId="0" borderId="3" xfId="0" applyFont="1" applyBorder="1" applyAlignment="1">
      <alignment horizontal="center" vertical="center"/>
    </xf>
    <xf numFmtId="166" fontId="15" fillId="0" borderId="3" xfId="0" applyNumberFormat="1" applyFont="1" applyBorder="1" applyAlignment="1">
      <alignment horizontal="center" vertical="center" wrapText="1"/>
    </xf>
    <xf numFmtId="4" fontId="15" fillId="0" borderId="3" xfId="0" applyNumberFormat="1" applyFont="1" applyBorder="1" applyAlignment="1">
      <alignment horizontal="center" vertical="center" wrapText="1"/>
    </xf>
    <xf numFmtId="167" fontId="15" fillId="0" borderId="3" xfId="0" applyNumberFormat="1" applyFont="1" applyBorder="1"/>
    <xf numFmtId="165" fontId="15" fillId="0" borderId="3" xfId="0" applyNumberFormat="1" applyFont="1" applyBorder="1"/>
    <xf numFmtId="167" fontId="16" fillId="0" borderId="3" xfId="0" applyNumberFormat="1" applyFont="1" applyBorder="1"/>
    <xf numFmtId="166" fontId="15" fillId="0" borderId="9" xfId="0" applyNumberFormat="1" applyFont="1" applyBorder="1" applyAlignment="1">
      <alignment horizontal="center" vertical="center" wrapText="1"/>
    </xf>
    <xf numFmtId="0" fontId="35" fillId="0" borderId="0" xfId="0" applyFont="1" applyAlignment="1">
      <alignment vertical="center"/>
    </xf>
    <xf numFmtId="0" fontId="14" fillId="0" borderId="0" xfId="0" applyFont="1"/>
    <xf numFmtId="0" fontId="20" fillId="0" borderId="0" xfId="0" applyFont="1"/>
    <xf numFmtId="0" fontId="20" fillId="0" borderId="0" xfId="0" applyFont="1" applyAlignment="1">
      <alignment wrapText="1"/>
    </xf>
    <xf numFmtId="0" fontId="24" fillId="0" borderId="0" xfId="0" applyFont="1" applyAlignment="1">
      <alignment horizontal="right"/>
    </xf>
    <xf numFmtId="0" fontId="37" fillId="0" borderId="0" xfId="125" applyFont="1"/>
    <xf numFmtId="0" fontId="38" fillId="0" borderId="0" xfId="125" applyFont="1"/>
    <xf numFmtId="0" fontId="24" fillId="0" borderId="0" xfId="125" applyFont="1"/>
    <xf numFmtId="0" fontId="39" fillId="0" borderId="0" xfId="125" applyFont="1"/>
    <xf numFmtId="164" fontId="40" fillId="8" borderId="0" xfId="0" applyNumberFormat="1" applyFont="1" applyFill="1"/>
    <xf numFmtId="164" fontId="41" fillId="8" borderId="0" xfId="0" applyNumberFormat="1" applyFont="1" applyFill="1"/>
    <xf numFmtId="164" fontId="42" fillId="8" borderId="0" xfId="0" applyNumberFormat="1" applyFont="1" applyFill="1"/>
    <xf numFmtId="164" fontId="43" fillId="8" borderId="0" xfId="0" applyNumberFormat="1" applyFont="1" applyFill="1"/>
    <xf numFmtId="0" fontId="44" fillId="0" borderId="0" xfId="0" applyFont="1" applyAlignment="1">
      <alignment horizontal="left"/>
    </xf>
    <xf numFmtId="0" fontId="44" fillId="0" borderId="0" xfId="0" applyFont="1" applyAlignment="1">
      <alignment horizontal="center"/>
    </xf>
    <xf numFmtId="167" fontId="44" fillId="0" borderId="0" xfId="0" applyNumberFormat="1" applyFont="1" applyAlignment="1">
      <alignment horizontal="center"/>
    </xf>
    <xf numFmtId="0" fontId="44" fillId="0" borderId="0" xfId="0" applyFont="1"/>
    <xf numFmtId="0" fontId="0" fillId="0" borderId="0" xfId="0" applyAlignment="1">
      <alignment horizontal="left"/>
    </xf>
    <xf numFmtId="0" fontId="46" fillId="0" borderId="0" xfId="0" applyFont="1" applyAlignment="1">
      <alignment horizontal="right"/>
    </xf>
    <xf numFmtId="0" fontId="46" fillId="11" borderId="0" xfId="0" applyFont="1" applyFill="1" applyAlignment="1">
      <alignment horizontal="center"/>
    </xf>
    <xf numFmtId="164" fontId="0" fillId="11" borderId="0" xfId="0" applyNumberFormat="1" applyFill="1" applyAlignment="1">
      <alignment horizontal="center"/>
    </xf>
    <xf numFmtId="167" fontId="46" fillId="11" borderId="0" xfId="0" applyNumberFormat="1" applyFont="1" applyFill="1" applyAlignment="1">
      <alignment horizontal="center"/>
    </xf>
    <xf numFmtId="0" fontId="47" fillId="0" borderId="0" xfId="0" applyFont="1" applyAlignment="1">
      <alignment horizontal="right"/>
    </xf>
    <xf numFmtId="0" fontId="0" fillId="11" borderId="0" xfId="0" applyFill="1" applyAlignment="1">
      <alignment horizontal="center"/>
    </xf>
    <xf numFmtId="168" fontId="0" fillId="11" borderId="0" xfId="0" applyNumberFormat="1" applyFill="1" applyAlignment="1">
      <alignment horizontal="center"/>
    </xf>
    <xf numFmtId="0" fontId="48" fillId="0" borderId="0" xfId="0" applyFont="1" applyAlignment="1">
      <alignment horizontal="center"/>
    </xf>
    <xf numFmtId="169" fontId="48" fillId="0" borderId="0" xfId="0" applyNumberFormat="1" applyFont="1" applyAlignment="1">
      <alignment horizontal="center"/>
    </xf>
    <xf numFmtId="0" fontId="49" fillId="0" borderId="0" xfId="0" applyFont="1" applyAlignment="1">
      <alignment horizontal="center"/>
    </xf>
    <xf numFmtId="0" fontId="49" fillId="0" borderId="0" xfId="0" applyFont="1"/>
    <xf numFmtId="167" fontId="0" fillId="0" borderId="0" xfId="0" applyNumberFormat="1" applyAlignment="1">
      <alignment horizontal="center"/>
    </xf>
    <xf numFmtId="0" fontId="50" fillId="0" borderId="0" xfId="0" applyFont="1" applyAlignment="1">
      <alignment horizontal="left"/>
    </xf>
    <xf numFmtId="168" fontId="0" fillId="0" borderId="0" xfId="0" applyNumberFormat="1" applyAlignment="1">
      <alignment horizontal="center"/>
    </xf>
    <xf numFmtId="0" fontId="47" fillId="0" borderId="0" xfId="0" applyFont="1" applyAlignment="1">
      <alignment horizontal="left"/>
    </xf>
    <xf numFmtId="0" fontId="47" fillId="0" borderId="0" xfId="0" applyFont="1" applyAlignment="1">
      <alignment horizontal="center"/>
    </xf>
    <xf numFmtId="167" fontId="47" fillId="0" borderId="0" xfId="0" applyNumberFormat="1" applyFont="1" applyAlignment="1">
      <alignment horizontal="center"/>
    </xf>
    <xf numFmtId="168" fontId="47" fillId="0" borderId="0" xfId="0" applyNumberFormat="1" applyFont="1" applyAlignment="1">
      <alignment horizontal="center"/>
    </xf>
    <xf numFmtId="164" fontId="47" fillId="0" borderId="0" xfId="0" applyNumberFormat="1" applyFont="1" applyAlignment="1">
      <alignment horizontal="center"/>
    </xf>
    <xf numFmtId="0" fontId="47" fillId="0" borderId="0" xfId="0" applyFont="1"/>
    <xf numFmtId="0" fontId="46" fillId="0" borderId="0" xfId="0" applyFont="1" applyAlignment="1">
      <alignment horizontal="left"/>
    </xf>
    <xf numFmtId="0" fontId="46" fillId="0" borderId="0" xfId="0" applyFont="1" applyAlignment="1">
      <alignment horizontal="center"/>
    </xf>
    <xf numFmtId="167" fontId="46" fillId="0" borderId="0" xfId="0" applyNumberFormat="1" applyFont="1" applyAlignment="1">
      <alignment horizontal="center"/>
    </xf>
    <xf numFmtId="168" fontId="46" fillId="0" borderId="0" xfId="0" applyNumberFormat="1" applyFont="1" applyAlignment="1">
      <alignment horizontal="center"/>
    </xf>
    <xf numFmtId="164" fontId="46" fillId="0" borderId="0" xfId="0" applyNumberFormat="1" applyFont="1" applyAlignment="1">
      <alignment horizontal="center"/>
    </xf>
    <xf numFmtId="0" fontId="46" fillId="0" borderId="0" xfId="0" applyFont="1"/>
    <xf numFmtId="0" fontId="52" fillId="0" borderId="0" xfId="0" applyFont="1" applyAlignment="1">
      <alignment horizontal="center" vertical="center" wrapText="1"/>
    </xf>
    <xf numFmtId="167" fontId="52" fillId="0" borderId="0" xfId="0" applyNumberFormat="1" applyFont="1" applyAlignment="1">
      <alignment horizontal="center" vertical="center" wrapText="1"/>
    </xf>
    <xf numFmtId="0" fontId="52" fillId="0" borderId="0" xfId="0" applyFont="1" applyAlignment="1">
      <alignment horizontal="center" wrapText="1"/>
    </xf>
    <xf numFmtId="164" fontId="52" fillId="0" borderId="0" xfId="0" applyNumberFormat="1" applyFont="1" applyAlignment="1">
      <alignment horizontal="center" vertical="center" wrapText="1"/>
    </xf>
    <xf numFmtId="0" fontId="53" fillId="0" borderId="0" xfId="0" applyFont="1" applyAlignment="1">
      <alignment horizontal="center" vertical="center" wrapText="1"/>
    </xf>
    <xf numFmtId="0" fontId="54" fillId="0" borderId="0" xfId="0" applyFont="1" applyAlignment="1">
      <alignment horizontal="center" vertical="center" wrapText="1"/>
    </xf>
    <xf numFmtId="167" fontId="53" fillId="0" borderId="0" xfId="0" applyNumberFormat="1" applyFont="1" applyAlignment="1">
      <alignment horizontal="center" vertical="center" wrapText="1"/>
    </xf>
    <xf numFmtId="168" fontId="53" fillId="0" borderId="0" xfId="0" applyNumberFormat="1" applyFont="1" applyAlignment="1">
      <alignment horizontal="center" vertical="center" wrapText="1"/>
    </xf>
    <xf numFmtId="164" fontId="53" fillId="0" borderId="0" xfId="0" applyNumberFormat="1" applyFont="1" applyAlignment="1">
      <alignment horizontal="center" vertical="center" wrapText="1"/>
    </xf>
    <xf numFmtId="0" fontId="55" fillId="0" borderId="0" xfId="0" applyFont="1" applyAlignment="1">
      <alignment horizontal="center"/>
    </xf>
    <xf numFmtId="0" fontId="55" fillId="0" borderId="0" xfId="0" applyFont="1"/>
    <xf numFmtId="49" fontId="15" fillId="0" borderId="10" xfId="0" applyNumberFormat="1" applyFont="1" applyBorder="1" applyAlignment="1">
      <alignment horizontal="center" vertical="center"/>
    </xf>
    <xf numFmtId="166" fontId="33" fillId="0" borderId="9" xfId="0" applyNumberFormat="1" applyFont="1" applyBorder="1" applyAlignment="1">
      <alignment horizontal="center" vertical="center"/>
    </xf>
    <xf numFmtId="166" fontId="15" fillId="0" borderId="11" xfId="0" applyNumberFormat="1" applyFont="1" applyBorder="1" applyAlignment="1">
      <alignment horizontal="center" vertical="center" wrapText="1"/>
    </xf>
    <xf numFmtId="166" fontId="15" fillId="0" borderId="10" xfId="0" applyNumberFormat="1" applyFont="1" applyBorder="1" applyAlignment="1">
      <alignment horizontal="center" vertical="center" wrapText="1"/>
    </xf>
    <xf numFmtId="2" fontId="15" fillId="0" borderId="10" xfId="0" applyNumberFormat="1" applyFont="1" applyBorder="1" applyAlignment="1">
      <alignment horizontal="center" vertical="center" wrapText="1"/>
    </xf>
    <xf numFmtId="0" fontId="15" fillId="0" borderId="10" xfId="0" applyFont="1" applyBorder="1" applyAlignment="1">
      <alignment horizontal="center" vertical="center"/>
    </xf>
    <xf numFmtId="49" fontId="15" fillId="0" borderId="3" xfId="0" applyNumberFormat="1" applyFont="1" applyBorder="1" applyAlignment="1">
      <alignment horizontal="center" vertical="center"/>
    </xf>
    <xf numFmtId="166" fontId="15" fillId="0" borderId="12" xfId="0" applyNumberFormat="1" applyFont="1" applyBorder="1" applyAlignment="1">
      <alignment horizontal="center" vertical="center" wrapText="1"/>
    </xf>
    <xf numFmtId="166" fontId="33" fillId="0" borderId="12" xfId="0" applyNumberFormat="1" applyFont="1" applyBorder="1" applyAlignment="1">
      <alignment horizontal="center" vertical="center"/>
    </xf>
    <xf numFmtId="166" fontId="15" fillId="0" borderId="13" xfId="0" applyNumberFormat="1" applyFont="1" applyBorder="1" applyAlignment="1">
      <alignment horizontal="center" vertical="center" wrapText="1"/>
    </xf>
    <xf numFmtId="2" fontId="15" fillId="0" borderId="3" xfId="0" applyNumberFormat="1" applyFont="1" applyBorder="1" applyAlignment="1">
      <alignment horizontal="center" vertical="center" wrapText="1"/>
    </xf>
    <xf numFmtId="164" fontId="56" fillId="0" borderId="0" xfId="0" applyNumberFormat="1" applyFont="1"/>
    <xf numFmtId="0" fontId="56" fillId="0" borderId="0" xfId="0" applyFont="1"/>
    <xf numFmtId="0" fontId="52" fillId="10" borderId="0" xfId="0" applyFont="1" applyFill="1" applyAlignment="1">
      <alignment horizontal="center" vertical="center" wrapText="1"/>
    </xf>
    <xf numFmtId="0" fontId="59" fillId="0" borderId="0" xfId="0" applyFont="1" applyAlignment="1">
      <alignment horizontal="left"/>
    </xf>
    <xf numFmtId="0" fontId="0" fillId="0" borderId="14" xfId="0" applyBorder="1" applyAlignment="1">
      <alignment horizontal="center"/>
    </xf>
    <xf numFmtId="0" fontId="0" fillId="0" borderId="14" xfId="0" applyBorder="1" applyAlignment="1">
      <alignment horizontal="left"/>
    </xf>
    <xf numFmtId="0" fontId="0" fillId="0" borderId="14" xfId="0" applyBorder="1"/>
    <xf numFmtId="49" fontId="60" fillId="12" borderId="14" xfId="0" applyNumberFormat="1" applyFont="1" applyFill="1" applyBorder="1"/>
    <xf numFmtId="0" fontId="0" fillId="12" borderId="14" xfId="0" applyFill="1" applyBorder="1" applyAlignment="1">
      <alignment horizontal="center"/>
    </xf>
    <xf numFmtId="0" fontId="0" fillId="10" borderId="14" xfId="0" applyFill="1" applyBorder="1" applyAlignment="1">
      <alignment horizontal="center"/>
    </xf>
    <xf numFmtId="0" fontId="60" fillId="0" borderId="14" xfId="0" applyFont="1" applyBorder="1" applyAlignment="1">
      <alignment horizontal="left"/>
    </xf>
    <xf numFmtId="0" fontId="60" fillId="12" borderId="14" xfId="0" applyFont="1" applyFill="1" applyBorder="1" applyAlignment="1">
      <alignment horizontal="left"/>
    </xf>
    <xf numFmtId="0" fontId="61" fillId="0" borderId="14" xfId="0" applyFont="1" applyBorder="1" applyAlignment="1">
      <alignment horizontal="center"/>
    </xf>
    <xf numFmtId="0" fontId="63" fillId="0" borderId="14" xfId="126" applyFont="1" applyBorder="1" applyAlignment="1">
      <alignment horizontal="center" wrapText="1"/>
    </xf>
    <xf numFmtId="0" fontId="61" fillId="0" borderId="14" xfId="0" applyFont="1" applyBorder="1" applyAlignment="1">
      <alignment horizontal="left"/>
    </xf>
    <xf numFmtId="20" fontId="0" fillId="0" borderId="14" xfId="0" applyNumberFormat="1" applyBorder="1" applyAlignment="1">
      <alignment horizontal="center"/>
    </xf>
    <xf numFmtId="0" fontId="63" fillId="0" borderId="14" xfId="0" applyFont="1" applyBorder="1" applyAlignment="1">
      <alignment horizontal="center"/>
    </xf>
    <xf numFmtId="0" fontId="63" fillId="0" borderId="14" xfId="0" quotePrefix="1" applyFont="1" applyBorder="1" applyAlignment="1">
      <alignment horizontal="left"/>
    </xf>
    <xf numFmtId="0" fontId="58" fillId="10" borderId="14" xfId="0" applyFont="1" applyFill="1" applyBorder="1" applyAlignment="1">
      <alignment horizontal="center"/>
    </xf>
    <xf numFmtId="49" fontId="55" fillId="0" borderId="0" xfId="0" applyNumberFormat="1" applyFont="1" applyAlignment="1">
      <alignment horizontal="center"/>
    </xf>
    <xf numFmtId="0" fontId="64" fillId="0" borderId="14" xfId="0" applyFont="1" applyBorder="1" applyAlignment="1">
      <alignment horizontal="center"/>
    </xf>
    <xf numFmtId="49" fontId="24" fillId="0" borderId="4" xfId="0" applyNumberFormat="1" applyFont="1" applyBorder="1"/>
    <xf numFmtId="164" fontId="25" fillId="8" borderId="5" xfId="0" applyNumberFormat="1" applyFont="1" applyFill="1" applyBorder="1"/>
    <xf numFmtId="164" fontId="26" fillId="8" borderId="15" xfId="0" applyNumberFormat="1" applyFont="1" applyFill="1" applyBorder="1"/>
    <xf numFmtId="164" fontId="27" fillId="8" borderId="15" xfId="0" applyNumberFormat="1" applyFont="1" applyFill="1" applyBorder="1"/>
    <xf numFmtId="164" fontId="28" fillId="8" borderId="15" xfId="0" applyNumberFormat="1" applyFont="1" applyFill="1" applyBorder="1"/>
    <xf numFmtId="164" fontId="43" fillId="8" borderId="15" xfId="0" applyNumberFormat="1" applyFont="1" applyFill="1" applyBorder="1"/>
    <xf numFmtId="2" fontId="30" fillId="8" borderId="15" xfId="0" applyNumberFormat="1" applyFont="1" applyFill="1" applyBorder="1"/>
    <xf numFmtId="2" fontId="26" fillId="8" borderId="15" xfId="0" applyNumberFormat="1" applyFont="1" applyFill="1" applyBorder="1"/>
    <xf numFmtId="2" fontId="31" fillId="8" borderId="15" xfId="0" applyNumberFormat="1" applyFont="1" applyFill="1" applyBorder="1"/>
    <xf numFmtId="0" fontId="65" fillId="0" borderId="1" xfId="0" applyFont="1" applyBorder="1" applyAlignment="1">
      <alignment horizontal="center" vertical="center"/>
    </xf>
    <xf numFmtId="164" fontId="66" fillId="13" borderId="16" xfId="0" applyNumberFormat="1" applyFont="1" applyFill="1" applyBorder="1"/>
    <xf numFmtId="164" fontId="67" fillId="13" borderId="16" xfId="0" applyNumberFormat="1" applyFont="1" applyFill="1" applyBorder="1"/>
    <xf numFmtId="164" fontId="68" fillId="13" borderId="16" xfId="0" applyNumberFormat="1" applyFont="1" applyFill="1" applyBorder="1"/>
    <xf numFmtId="164" fontId="69" fillId="13" borderId="16" xfId="0" applyNumberFormat="1" applyFont="1" applyFill="1" applyBorder="1"/>
    <xf numFmtId="166" fontId="70" fillId="13" borderId="16" xfId="0" applyNumberFormat="1" applyFont="1" applyFill="1" applyBorder="1"/>
    <xf numFmtId="166" fontId="71" fillId="13" borderId="16" xfId="0" applyNumberFormat="1" applyFont="1" applyFill="1" applyBorder="1"/>
    <xf numFmtId="0" fontId="72" fillId="13" borderId="16" xfId="0" applyFont="1" applyFill="1" applyBorder="1"/>
    <xf numFmtId="0" fontId="71" fillId="13" borderId="16" xfId="0" applyFont="1" applyFill="1" applyBorder="1"/>
    <xf numFmtId="2" fontId="26" fillId="0" borderId="0" xfId="0" applyNumberFormat="1" applyFont="1"/>
    <xf numFmtId="2" fontId="9" fillId="6" borderId="1" xfId="0" applyNumberFormat="1" applyFont="1" applyFill="1" applyBorder="1" applyAlignment="1">
      <alignment horizontal="center" vertical="center" wrapText="1"/>
    </xf>
    <xf numFmtId="2" fontId="9" fillId="7" borderId="1" xfId="0" applyNumberFormat="1" applyFont="1" applyFill="1" applyBorder="1" applyAlignment="1">
      <alignment horizontal="center" vertical="center" wrapText="1"/>
    </xf>
    <xf numFmtId="164" fontId="65" fillId="0" borderId="1" xfId="0" applyNumberFormat="1" applyFont="1" applyBorder="1" applyAlignment="1">
      <alignment horizontal="center" vertical="center" wrapText="1"/>
    </xf>
    <xf numFmtId="49" fontId="15" fillId="0" borderId="17" xfId="0" applyNumberFormat="1" applyFont="1" applyBorder="1" applyAlignment="1">
      <alignment horizontal="center" vertical="center"/>
    </xf>
    <xf numFmtId="166" fontId="62" fillId="0" borderId="17" xfId="0" applyNumberFormat="1" applyFont="1" applyBorder="1" applyAlignment="1">
      <alignment horizontal="center"/>
    </xf>
    <xf numFmtId="2" fontId="62" fillId="0" borderId="17" xfId="0" applyNumberFormat="1" applyFont="1" applyBorder="1" applyAlignment="1">
      <alignment horizontal="center"/>
    </xf>
    <xf numFmtId="166" fontId="15" fillId="0" borderId="17" xfId="0" applyNumberFormat="1" applyFont="1" applyBorder="1" applyAlignment="1">
      <alignment horizontal="center" vertical="center" wrapText="1"/>
    </xf>
    <xf numFmtId="49" fontId="34" fillId="14" borderId="7" xfId="0" applyNumberFormat="1" applyFont="1" applyFill="1" applyBorder="1" applyAlignment="1">
      <alignment horizontal="center" vertical="center"/>
    </xf>
    <xf numFmtId="2" fontId="34" fillId="14" borderId="7" xfId="0" applyNumberFormat="1" applyFont="1" applyFill="1" applyBorder="1" applyAlignment="1">
      <alignment horizontal="center" vertical="center"/>
    </xf>
    <xf numFmtId="166" fontId="34" fillId="14" borderId="7" xfId="0" applyNumberFormat="1" applyFont="1" applyFill="1" applyBorder="1" applyAlignment="1">
      <alignment horizontal="center" vertical="center"/>
    </xf>
    <xf numFmtId="166" fontId="34" fillId="14" borderId="7" xfId="0" applyNumberFormat="1" applyFont="1" applyFill="1" applyBorder="1"/>
    <xf numFmtId="49" fontId="34" fillId="15" borderId="7" xfId="0" applyNumberFormat="1" applyFont="1" applyFill="1" applyBorder="1" applyAlignment="1">
      <alignment horizontal="center" vertical="center"/>
    </xf>
    <xf numFmtId="2" fontId="34" fillId="15" borderId="7" xfId="0" applyNumberFormat="1" applyFont="1" applyFill="1" applyBorder="1" applyAlignment="1">
      <alignment horizontal="center" vertical="center"/>
    </xf>
    <xf numFmtId="166" fontId="34" fillId="15" borderId="7" xfId="0" applyNumberFormat="1" applyFont="1" applyFill="1" applyBorder="1" applyAlignment="1">
      <alignment horizontal="center" vertical="center"/>
    </xf>
    <xf numFmtId="166" fontId="34" fillId="15" borderId="7" xfId="0" applyNumberFormat="1" applyFont="1" applyFill="1" applyBorder="1"/>
    <xf numFmtId="164" fontId="34" fillId="16" borderId="7" xfId="0" applyNumberFormat="1" applyFont="1" applyFill="1" applyBorder="1" applyAlignment="1">
      <alignment horizontal="center" vertical="center"/>
    </xf>
    <xf numFmtId="166" fontId="34" fillId="16" borderId="7" xfId="0" applyNumberFormat="1" applyFont="1" applyFill="1" applyBorder="1" applyAlignment="1">
      <alignment horizontal="center" vertical="center"/>
    </xf>
    <xf numFmtId="10" fontId="34" fillId="16" borderId="7" xfId="0" applyNumberFormat="1" applyFont="1" applyFill="1" applyBorder="1" applyAlignment="1">
      <alignment horizontal="center" vertical="center"/>
    </xf>
    <xf numFmtId="10" fontId="34" fillId="16" borderId="7" xfId="0" applyNumberFormat="1" applyFont="1" applyFill="1" applyBorder="1"/>
    <xf numFmtId="166" fontId="34" fillId="14" borderId="7" xfId="0" applyNumberFormat="1" applyFont="1" applyFill="1" applyBorder="1" applyAlignment="1">
      <alignment horizontal="center" vertical="center" wrapText="1"/>
    </xf>
    <xf numFmtId="170" fontId="34" fillId="14" borderId="7" xfId="0" applyNumberFormat="1" applyFont="1" applyFill="1" applyBorder="1" applyAlignment="1">
      <alignment horizontal="center" vertical="center" wrapText="1"/>
    </xf>
    <xf numFmtId="166" fontId="34" fillId="15" borderId="7" xfId="0" applyNumberFormat="1" applyFont="1" applyFill="1" applyBorder="1" applyAlignment="1">
      <alignment horizontal="center" vertical="center" wrapText="1"/>
    </xf>
    <xf numFmtId="170" fontId="34" fillId="15" borderId="7" xfId="0" applyNumberFormat="1" applyFont="1" applyFill="1" applyBorder="1" applyAlignment="1">
      <alignment horizontal="center" vertical="center" wrapText="1"/>
    </xf>
    <xf numFmtId="166" fontId="34" fillId="16" borderId="7" xfId="0" applyNumberFormat="1" applyFont="1" applyFill="1" applyBorder="1" applyAlignment="1">
      <alignment horizontal="center" vertical="center" wrapText="1"/>
    </xf>
    <xf numFmtId="170" fontId="34" fillId="16" borderId="7" xfId="0" applyNumberFormat="1" applyFont="1" applyFill="1" applyBorder="1" applyAlignment="1">
      <alignment horizontal="center" vertical="center" wrapText="1"/>
    </xf>
    <xf numFmtId="49" fontId="15" fillId="0" borderId="4" xfId="0" applyNumberFormat="1" applyFont="1" applyBorder="1"/>
    <xf numFmtId="0" fontId="17" fillId="0" borderId="4" xfId="0" applyFont="1" applyBorder="1" applyAlignment="1">
      <alignment horizontal="center" vertical="center"/>
    </xf>
    <xf numFmtId="170" fontId="17" fillId="0" borderId="4" xfId="0" applyNumberFormat="1" applyFont="1" applyBorder="1" applyAlignment="1">
      <alignment horizontal="center" vertical="center"/>
    </xf>
    <xf numFmtId="164" fontId="29" fillId="8" borderId="15" xfId="0" applyNumberFormat="1" applyFont="1" applyFill="1" applyBorder="1"/>
    <xf numFmtId="164" fontId="17" fillId="0" borderId="0" xfId="0" applyNumberFormat="1" applyFont="1" applyAlignment="1">
      <alignment horizontal="center" vertical="center"/>
    </xf>
    <xf numFmtId="0" fontId="17" fillId="0" borderId="0" xfId="0" applyFont="1" applyAlignment="1">
      <alignment horizontal="center" vertical="center"/>
    </xf>
    <xf numFmtId="170" fontId="17" fillId="0" borderId="0" xfId="0" applyNumberFormat="1" applyFont="1" applyAlignment="1">
      <alignment horizontal="center" vertical="center"/>
    </xf>
    <xf numFmtId="164" fontId="40" fillId="8" borderId="16" xfId="0" applyNumberFormat="1" applyFont="1" applyFill="1" applyBorder="1"/>
    <xf numFmtId="164" fontId="41" fillId="8" borderId="16" xfId="0" applyNumberFormat="1" applyFont="1" applyFill="1" applyBorder="1"/>
    <xf numFmtId="164" fontId="42" fillId="8" borderId="16" xfId="0" applyNumberFormat="1" applyFont="1" applyFill="1" applyBorder="1"/>
    <xf numFmtId="164" fontId="42" fillId="9" borderId="16" xfId="0" applyNumberFormat="1" applyFont="1" applyFill="1" applyBorder="1"/>
    <xf numFmtId="164" fontId="43" fillId="8" borderId="16" xfId="0" applyNumberFormat="1" applyFont="1" applyFill="1" applyBorder="1"/>
    <xf numFmtId="166" fontId="73" fillId="8" borderId="16" xfId="0" applyNumberFormat="1" applyFont="1" applyFill="1" applyBorder="1"/>
    <xf numFmtId="166" fontId="65" fillId="8" borderId="16" xfId="0" applyNumberFormat="1" applyFont="1" applyFill="1" applyBorder="1"/>
    <xf numFmtId="0" fontId="74" fillId="8" borderId="16" xfId="0" applyFont="1" applyFill="1" applyBorder="1"/>
    <xf numFmtId="0" fontId="65" fillId="8" borderId="16" xfId="0" applyFont="1" applyFill="1" applyBorder="1"/>
    <xf numFmtId="0" fontId="15" fillId="0" borderId="0" xfId="0" applyFont="1"/>
    <xf numFmtId="0" fontId="62" fillId="0" borderId="7" xfId="0" applyFont="1" applyBorder="1" applyAlignment="1">
      <alignment horizontal="center" vertical="center"/>
    </xf>
    <xf numFmtId="166" fontId="62" fillId="0" borderId="7" xfId="0" applyNumberFormat="1" applyFont="1" applyBorder="1" applyAlignment="1">
      <alignment horizontal="center" vertical="center"/>
    </xf>
    <xf numFmtId="2" fontId="62" fillId="0" borderId="7" xfId="0" applyNumberFormat="1" applyFont="1" applyBorder="1" applyAlignment="1">
      <alignment horizontal="center" vertical="center"/>
    </xf>
    <xf numFmtId="0" fontId="75" fillId="0" borderId="0" xfId="0" applyFont="1"/>
    <xf numFmtId="0" fontId="75" fillId="0" borderId="0" xfId="0" applyFont="1" applyAlignment="1">
      <alignment horizontal="right"/>
    </xf>
    <xf numFmtId="10" fontId="75" fillId="0" borderId="0" xfId="0" applyNumberFormat="1" applyFont="1"/>
    <xf numFmtId="1" fontId="75" fillId="0" borderId="0" xfId="0" applyNumberFormat="1" applyFont="1"/>
    <xf numFmtId="0" fontId="75" fillId="0" borderId="0" xfId="0" applyFont="1" applyAlignment="1">
      <alignment horizontal="center"/>
    </xf>
    <xf numFmtId="1" fontId="0" fillId="0" borderId="0" xfId="0" applyNumberFormat="1"/>
    <xf numFmtId="0" fontId="9" fillId="0" borderId="1" xfId="0" applyFont="1" applyBorder="1" applyAlignment="1">
      <alignment horizontal="center" vertical="center" wrapText="1"/>
    </xf>
    <xf numFmtId="164" fontId="9" fillId="3"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164" fontId="9" fillId="5" borderId="1" xfId="0" applyNumberFormat="1" applyFont="1" applyFill="1" applyBorder="1" applyAlignment="1">
      <alignment horizontal="center" vertical="center" wrapText="1"/>
    </xf>
    <xf numFmtId="164" fontId="9" fillId="3" borderId="8" xfId="0" applyNumberFormat="1" applyFont="1" applyFill="1" applyBorder="1" applyAlignment="1">
      <alignment horizontal="center" vertical="center" wrapText="1"/>
    </xf>
    <xf numFmtId="166" fontId="9" fillId="6" borderId="1" xfId="0" applyNumberFormat="1" applyFont="1" applyFill="1" applyBorder="1" applyAlignment="1">
      <alignment horizontal="center" vertical="center" wrapText="1"/>
    </xf>
    <xf numFmtId="4" fontId="9" fillId="7" borderId="1" xfId="0" applyNumberFormat="1" applyFont="1" applyFill="1" applyBorder="1" applyAlignment="1">
      <alignment horizontal="center" vertical="center" wrapText="1"/>
    </xf>
    <xf numFmtId="2" fontId="9" fillId="0" borderId="1" xfId="0" applyNumberFormat="1" applyFont="1" applyBorder="1" applyAlignment="1">
      <alignment horizontal="center" vertical="center" wrapText="1"/>
    </xf>
  </cellXfs>
  <cellStyles count="1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cellStyle name="Normal" xfId="0" builtinId="0"/>
    <cellStyle name="Normal_Sheet1" xfId="126" xr:uid="{8EC6AFD7-4DF8-4C2B-8B7C-09D0328CFC02}"/>
  </cellStyles>
  <dxfs count="71">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0000FF"/>
      </font>
      <fill>
        <patternFill>
          <bgColor rgb="FFCCFFFF"/>
        </patternFill>
      </fill>
    </dxf>
    <dxf>
      <font>
        <color rgb="FF0000FF"/>
      </font>
      <fill>
        <patternFill patternType="solid">
          <fgColor rgb="FF000000"/>
          <bgColor rgb="FFCCFFFF"/>
        </patternFill>
      </fill>
    </dxf>
    <dxf>
      <font>
        <color rgb="FF0000FF"/>
      </font>
      <fill>
        <patternFill>
          <bgColor rgb="FFCCFFFF"/>
        </patternFill>
      </fill>
    </dxf>
    <dxf>
      <font>
        <color rgb="FF0000FF"/>
      </font>
      <fill>
        <patternFill patternType="solid">
          <fgColor rgb="FF000000"/>
          <bgColor rgb="FFCCFFFF"/>
        </patternFill>
      </fill>
    </dxf>
    <dxf>
      <font>
        <color rgb="FF0000FF"/>
      </font>
      <fill>
        <patternFill>
          <bgColor rgb="FFCCFFFF"/>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99"/>
      <color rgb="FFFFFF0D"/>
      <color rgb="FF0000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microsoft.com/office/2017/10/relationships/person" Target="persons/person.xml"/><Relationship Id="rId5" Type="http://schemas.openxmlformats.org/officeDocument/2006/relationships/worksheet" Target="worksheets/sheet4.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chartsheet" Target="chartsheets/sheet1.xml"/><Relationship Id="rId9" Type="http://schemas.openxmlformats.org/officeDocument/2006/relationships/styles" Target="styles.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Effective LOQ for ~2.81 mL extraction volume</a:t>
            </a:r>
          </a:p>
        </c:rich>
      </c:tx>
      <c:overlay val="0"/>
    </c:title>
    <c:autoTitleDeleted val="0"/>
    <c:plotArea>
      <c:layout/>
      <c:scatterChart>
        <c:scatterStyle val="lineMarker"/>
        <c:varyColors val="0"/>
        <c:ser>
          <c:idx val="0"/>
          <c:order val="0"/>
          <c:tx>
            <c:strRef>
              <c:f>'Effective LOQ'!$G$4</c:f>
              <c:strCache>
                <c:ptCount val="1"/>
                <c:pt idx="0">
                  <c:v>Chl c1c2</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LOQ'!$J$5:$J$19</c:f>
              <c:numCache>
                <c:formatCode>0.000</c:formatCode>
                <c:ptCount val="15"/>
                <c:pt idx="0">
                  <c:v>6.0000000000000001E-3</c:v>
                </c:pt>
                <c:pt idx="1">
                  <c:v>3.0000000000000001E-3</c:v>
                </c:pt>
                <c:pt idx="2">
                  <c:v>3.0000000000000001E-3</c:v>
                </c:pt>
                <c:pt idx="3">
                  <c:v>3.0000000000000001E-3</c:v>
                </c:pt>
                <c:pt idx="4">
                  <c:v>3.0000000000000001E-3</c:v>
                </c:pt>
                <c:pt idx="5">
                  <c:v>3.0000000000000001E-3</c:v>
                </c:pt>
                <c:pt idx="6">
                  <c:v>3.0000000000000001E-3</c:v>
                </c:pt>
                <c:pt idx="7">
                  <c:v>3.0000000000000001E-3</c:v>
                </c:pt>
                <c:pt idx="8">
                  <c:v>3.0000000000000001E-3</c:v>
                </c:pt>
                <c:pt idx="9">
                  <c:v>3.0000000000000001E-3</c:v>
                </c:pt>
                <c:pt idx="10">
                  <c:v>3.0000000000000001E-3</c:v>
                </c:pt>
                <c:pt idx="11">
                  <c:v>3.0000000000000001E-3</c:v>
                </c:pt>
                <c:pt idx="12">
                  <c:v>2E-3</c:v>
                </c:pt>
                <c:pt idx="13">
                  <c:v>2E-3</c:v>
                </c:pt>
                <c:pt idx="14">
                  <c:v>2E-3</c:v>
                </c:pt>
              </c:numCache>
            </c:numRef>
          </c:yVal>
          <c:smooth val="0"/>
          <c:extLst>
            <c:ext xmlns:c16="http://schemas.microsoft.com/office/drawing/2014/chart" uri="{C3380CC4-5D6E-409C-BE32-E72D297353CC}">
              <c16:uniqueId val="{00000024-704A-4A09-B5A8-942126B3C886}"/>
            </c:ext>
          </c:extLst>
        </c:ser>
        <c:ser>
          <c:idx val="1"/>
          <c:order val="1"/>
          <c:tx>
            <c:strRef>
              <c:f>'Effective LOQ'!$J$4</c:f>
              <c:strCache>
                <c:ptCount val="1"/>
                <c:pt idx="0">
                  <c:v>Perid</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LOQ'!$J$5:$J$19</c:f>
              <c:numCache>
                <c:formatCode>0.000</c:formatCode>
                <c:ptCount val="15"/>
                <c:pt idx="0">
                  <c:v>6.0000000000000001E-3</c:v>
                </c:pt>
                <c:pt idx="1">
                  <c:v>3.0000000000000001E-3</c:v>
                </c:pt>
                <c:pt idx="2">
                  <c:v>3.0000000000000001E-3</c:v>
                </c:pt>
                <c:pt idx="3">
                  <c:v>3.0000000000000001E-3</c:v>
                </c:pt>
                <c:pt idx="4">
                  <c:v>3.0000000000000001E-3</c:v>
                </c:pt>
                <c:pt idx="5">
                  <c:v>3.0000000000000001E-3</c:v>
                </c:pt>
                <c:pt idx="6">
                  <c:v>3.0000000000000001E-3</c:v>
                </c:pt>
                <c:pt idx="7">
                  <c:v>3.0000000000000001E-3</c:v>
                </c:pt>
                <c:pt idx="8">
                  <c:v>3.0000000000000001E-3</c:v>
                </c:pt>
                <c:pt idx="9">
                  <c:v>3.0000000000000001E-3</c:v>
                </c:pt>
                <c:pt idx="10">
                  <c:v>3.0000000000000001E-3</c:v>
                </c:pt>
                <c:pt idx="11">
                  <c:v>3.0000000000000001E-3</c:v>
                </c:pt>
                <c:pt idx="12">
                  <c:v>2E-3</c:v>
                </c:pt>
                <c:pt idx="13">
                  <c:v>2E-3</c:v>
                </c:pt>
                <c:pt idx="14">
                  <c:v>2E-3</c:v>
                </c:pt>
              </c:numCache>
            </c:numRef>
          </c:yVal>
          <c:smooth val="0"/>
          <c:extLst>
            <c:ext xmlns:c16="http://schemas.microsoft.com/office/drawing/2014/chart" uri="{C3380CC4-5D6E-409C-BE32-E72D297353CC}">
              <c16:uniqueId val="{00000025-704A-4A09-B5A8-942126B3C886}"/>
            </c:ext>
          </c:extLst>
        </c:ser>
        <c:ser>
          <c:idx val="2"/>
          <c:order val="2"/>
          <c:tx>
            <c:strRef>
              <c:f>'Effective LOQ'!$K$4</c:f>
              <c:strCache>
                <c:ptCount val="1"/>
                <c:pt idx="0">
                  <c:v>But-fuco</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LOQ'!$K$5:$K$19</c:f>
              <c:numCache>
                <c:formatCode>0.000</c:formatCode>
                <c:ptCount val="15"/>
                <c:pt idx="0">
                  <c:v>4.0000000000000001E-3</c:v>
                </c:pt>
                <c:pt idx="1">
                  <c:v>2E-3</c:v>
                </c:pt>
                <c:pt idx="2">
                  <c:v>2E-3</c:v>
                </c:pt>
                <c:pt idx="3">
                  <c:v>2E-3</c:v>
                </c:pt>
                <c:pt idx="4">
                  <c:v>2E-3</c:v>
                </c:pt>
                <c:pt idx="5">
                  <c:v>2E-3</c:v>
                </c:pt>
                <c:pt idx="6">
                  <c:v>2E-3</c:v>
                </c:pt>
                <c:pt idx="7">
                  <c:v>2E-3</c:v>
                </c:pt>
                <c:pt idx="8">
                  <c:v>2E-3</c:v>
                </c:pt>
                <c:pt idx="9">
                  <c:v>2E-3</c:v>
                </c:pt>
                <c:pt idx="10">
                  <c:v>2E-3</c:v>
                </c:pt>
                <c:pt idx="11">
                  <c:v>2E-3</c:v>
                </c:pt>
                <c:pt idx="12">
                  <c:v>1E-3</c:v>
                </c:pt>
                <c:pt idx="13">
                  <c:v>1E-3</c:v>
                </c:pt>
                <c:pt idx="14">
                  <c:v>1E-3</c:v>
                </c:pt>
              </c:numCache>
            </c:numRef>
          </c:yVal>
          <c:smooth val="0"/>
          <c:extLst>
            <c:ext xmlns:c16="http://schemas.microsoft.com/office/drawing/2014/chart" uri="{C3380CC4-5D6E-409C-BE32-E72D297353CC}">
              <c16:uniqueId val="{00000026-704A-4A09-B5A8-942126B3C886}"/>
            </c:ext>
          </c:extLst>
        </c:ser>
        <c:ser>
          <c:idx val="3"/>
          <c:order val="3"/>
          <c:tx>
            <c:strRef>
              <c:f>'Effective LOQ'!$L$4</c:f>
              <c:strCache>
                <c:ptCount val="1"/>
                <c:pt idx="0">
                  <c:v>Fuco</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LOQ'!$L$5:$L$19</c:f>
              <c:numCache>
                <c:formatCode>0.000</c:formatCode>
                <c:ptCount val="15"/>
                <c:pt idx="0">
                  <c:v>4.0000000000000001E-3</c:v>
                </c:pt>
                <c:pt idx="1">
                  <c:v>2E-3</c:v>
                </c:pt>
                <c:pt idx="2">
                  <c:v>2E-3</c:v>
                </c:pt>
                <c:pt idx="3">
                  <c:v>2E-3</c:v>
                </c:pt>
                <c:pt idx="4">
                  <c:v>2E-3</c:v>
                </c:pt>
                <c:pt idx="5">
                  <c:v>2E-3</c:v>
                </c:pt>
                <c:pt idx="6">
                  <c:v>2E-3</c:v>
                </c:pt>
                <c:pt idx="7">
                  <c:v>2E-3</c:v>
                </c:pt>
                <c:pt idx="8">
                  <c:v>2E-3</c:v>
                </c:pt>
                <c:pt idx="9">
                  <c:v>2E-3</c:v>
                </c:pt>
                <c:pt idx="10">
                  <c:v>2E-3</c:v>
                </c:pt>
                <c:pt idx="11">
                  <c:v>2E-3</c:v>
                </c:pt>
                <c:pt idx="12">
                  <c:v>1E-3</c:v>
                </c:pt>
                <c:pt idx="13">
                  <c:v>1E-3</c:v>
                </c:pt>
                <c:pt idx="14">
                  <c:v>1E-3</c:v>
                </c:pt>
              </c:numCache>
            </c:numRef>
          </c:yVal>
          <c:smooth val="0"/>
          <c:extLst>
            <c:ext xmlns:c16="http://schemas.microsoft.com/office/drawing/2014/chart" uri="{C3380CC4-5D6E-409C-BE32-E72D297353CC}">
              <c16:uniqueId val="{00000028-704A-4A09-B5A8-942126B3C886}"/>
            </c:ext>
          </c:extLst>
        </c:ser>
        <c:ser>
          <c:idx val="4"/>
          <c:order val="4"/>
          <c:tx>
            <c:strRef>
              <c:f>'Effective LOQ'!$P$4</c:f>
              <c:strCache>
                <c:ptCount val="1"/>
                <c:pt idx="0">
                  <c:v>Hex-fuco</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LOQ'!$P$5:$P$19</c:f>
              <c:numCache>
                <c:formatCode>0.000</c:formatCode>
                <c:ptCount val="15"/>
                <c:pt idx="0">
                  <c:v>4.0000000000000001E-3</c:v>
                </c:pt>
                <c:pt idx="1">
                  <c:v>2E-3</c:v>
                </c:pt>
                <c:pt idx="2">
                  <c:v>2E-3</c:v>
                </c:pt>
                <c:pt idx="3">
                  <c:v>2E-3</c:v>
                </c:pt>
                <c:pt idx="4">
                  <c:v>2E-3</c:v>
                </c:pt>
                <c:pt idx="5">
                  <c:v>2E-3</c:v>
                </c:pt>
                <c:pt idx="6">
                  <c:v>2E-3</c:v>
                </c:pt>
                <c:pt idx="7">
                  <c:v>2E-3</c:v>
                </c:pt>
                <c:pt idx="8">
                  <c:v>2E-3</c:v>
                </c:pt>
                <c:pt idx="9">
                  <c:v>2E-3</c:v>
                </c:pt>
                <c:pt idx="10">
                  <c:v>2E-3</c:v>
                </c:pt>
                <c:pt idx="11">
                  <c:v>2E-3</c:v>
                </c:pt>
                <c:pt idx="12">
                  <c:v>1E-3</c:v>
                </c:pt>
                <c:pt idx="13">
                  <c:v>1E-3</c:v>
                </c:pt>
                <c:pt idx="14">
                  <c:v>1E-3</c:v>
                </c:pt>
              </c:numCache>
            </c:numRef>
          </c:yVal>
          <c:smooth val="0"/>
          <c:extLst>
            <c:ext xmlns:c16="http://schemas.microsoft.com/office/drawing/2014/chart" uri="{C3380CC4-5D6E-409C-BE32-E72D297353CC}">
              <c16:uniqueId val="{00000029-704A-4A09-B5A8-942126B3C886}"/>
            </c:ext>
          </c:extLst>
        </c:ser>
        <c:ser>
          <c:idx val="5"/>
          <c:order val="5"/>
          <c:tx>
            <c:strRef>
              <c:f>'Effective LOQ'!$Q$4</c:f>
              <c:strCache>
                <c:ptCount val="1"/>
                <c:pt idx="0">
                  <c:v>Diadino</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LOQ'!$Q$5:$Q$19</c:f>
              <c:numCache>
                <c:formatCode>0.000</c:formatCode>
                <c:ptCount val="15"/>
                <c:pt idx="0">
                  <c:v>3.0000000000000001E-3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A-704A-4A09-B5A8-942126B3C886}"/>
            </c:ext>
          </c:extLst>
        </c:ser>
        <c:ser>
          <c:idx val="6"/>
          <c:order val="6"/>
          <c:tx>
            <c:strRef>
              <c:f>'Effective LOQ'!$R$4</c:f>
              <c:strCache>
                <c:ptCount val="1"/>
                <c:pt idx="0">
                  <c:v>Allo</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LOQ'!$R$5:$R$19</c:f>
              <c:numCache>
                <c:formatCode>0.000</c:formatCode>
                <c:ptCount val="15"/>
                <c:pt idx="0">
                  <c:v>2E-3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D-704A-4A09-B5A8-942126B3C886}"/>
            </c:ext>
          </c:extLst>
        </c:ser>
        <c:ser>
          <c:idx val="7"/>
          <c:order val="7"/>
          <c:tx>
            <c:strRef>
              <c:f>'Effective LOQ'!$S$4</c:f>
              <c:strCache>
                <c:ptCount val="1"/>
                <c:pt idx="0">
                  <c:v>Diato</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LOQ'!$S$5:$S$19</c:f>
              <c:numCache>
                <c:formatCode>0.000</c:formatCode>
                <c:ptCount val="15"/>
                <c:pt idx="0">
                  <c:v>2E-3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E-704A-4A09-B5A8-942126B3C886}"/>
            </c:ext>
          </c:extLst>
        </c:ser>
        <c:ser>
          <c:idx val="8"/>
          <c:order val="8"/>
          <c:tx>
            <c:strRef>
              <c:f>'Effective LOQ'!$T$4</c:f>
              <c:strCache>
                <c:ptCount val="1"/>
                <c:pt idx="0">
                  <c:v>Zea</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LOQ'!$T$5:$T$19</c:f>
              <c:numCache>
                <c:formatCode>0.000</c:formatCode>
                <c:ptCount val="15"/>
                <c:pt idx="0">
                  <c:v>2E-3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F-704A-4A09-B5A8-942126B3C886}"/>
            </c:ext>
          </c:extLst>
        </c:ser>
        <c:ser>
          <c:idx val="9"/>
          <c:order val="9"/>
          <c:tx>
            <c:strRef>
              <c:f>'Effective LOQ'!$W$4</c:f>
              <c:strCache>
                <c:ptCount val="1"/>
                <c:pt idx="0">
                  <c:v>MV chl b</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LOQ'!$W$5:$W$19</c:f>
              <c:numCache>
                <c:formatCode>0.000</c:formatCode>
                <c:ptCount val="15"/>
                <c:pt idx="0">
                  <c:v>7.0000000000000001E-3</c:v>
                </c:pt>
                <c:pt idx="1">
                  <c:v>4.0000000000000001E-3</c:v>
                </c:pt>
                <c:pt idx="2">
                  <c:v>4.0000000000000001E-3</c:v>
                </c:pt>
                <c:pt idx="3">
                  <c:v>4.0000000000000001E-3</c:v>
                </c:pt>
                <c:pt idx="4">
                  <c:v>4.0000000000000001E-3</c:v>
                </c:pt>
                <c:pt idx="5">
                  <c:v>4.0000000000000001E-3</c:v>
                </c:pt>
                <c:pt idx="6">
                  <c:v>4.0000000000000001E-3</c:v>
                </c:pt>
                <c:pt idx="7">
                  <c:v>4.0000000000000001E-3</c:v>
                </c:pt>
                <c:pt idx="8">
                  <c:v>4.0000000000000001E-3</c:v>
                </c:pt>
                <c:pt idx="9">
                  <c:v>4.0000000000000001E-3</c:v>
                </c:pt>
                <c:pt idx="10">
                  <c:v>4.0000000000000001E-3</c:v>
                </c:pt>
                <c:pt idx="11">
                  <c:v>4.0000000000000001E-3</c:v>
                </c:pt>
                <c:pt idx="12">
                  <c:v>2E-3</c:v>
                </c:pt>
                <c:pt idx="13">
                  <c:v>2E-3</c:v>
                </c:pt>
                <c:pt idx="14">
                  <c:v>2E-3</c:v>
                </c:pt>
              </c:numCache>
            </c:numRef>
          </c:yVal>
          <c:smooth val="0"/>
          <c:extLst>
            <c:ext xmlns:c16="http://schemas.microsoft.com/office/drawing/2014/chart" uri="{C3380CC4-5D6E-409C-BE32-E72D297353CC}">
              <c16:uniqueId val="{00000030-704A-4A09-B5A8-942126B3C886}"/>
            </c:ext>
          </c:extLst>
        </c:ser>
        <c:ser>
          <c:idx val="10"/>
          <c:order val="10"/>
          <c:tx>
            <c:strRef>
              <c:f>'Effective LOQ'!$Y$4</c:f>
              <c:strCache>
                <c:ptCount val="1"/>
                <c:pt idx="0">
                  <c:v>MV chla</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LOQ'!$Y$5:$Y$19</c:f>
              <c:numCache>
                <c:formatCode>0.000</c:formatCode>
                <c:ptCount val="15"/>
                <c:pt idx="0">
                  <c:v>5.0000000000000001E-3</c:v>
                </c:pt>
                <c:pt idx="1">
                  <c:v>3.0000000000000001E-3</c:v>
                </c:pt>
                <c:pt idx="2">
                  <c:v>3.0000000000000001E-3</c:v>
                </c:pt>
                <c:pt idx="3">
                  <c:v>3.0000000000000001E-3</c:v>
                </c:pt>
                <c:pt idx="4">
                  <c:v>3.0000000000000001E-3</c:v>
                </c:pt>
                <c:pt idx="5">
                  <c:v>3.0000000000000001E-3</c:v>
                </c:pt>
                <c:pt idx="6">
                  <c:v>3.0000000000000001E-3</c:v>
                </c:pt>
                <c:pt idx="7">
                  <c:v>3.0000000000000001E-3</c:v>
                </c:pt>
                <c:pt idx="8">
                  <c:v>3.0000000000000001E-3</c:v>
                </c:pt>
                <c:pt idx="9">
                  <c:v>3.0000000000000001E-3</c:v>
                </c:pt>
                <c:pt idx="10">
                  <c:v>3.0000000000000001E-3</c:v>
                </c:pt>
                <c:pt idx="11">
                  <c:v>3.0000000000000001E-3</c:v>
                </c:pt>
                <c:pt idx="12">
                  <c:v>1E-3</c:v>
                </c:pt>
                <c:pt idx="13">
                  <c:v>1E-3</c:v>
                </c:pt>
                <c:pt idx="14">
                  <c:v>1E-3</c:v>
                </c:pt>
              </c:numCache>
            </c:numRef>
          </c:yVal>
          <c:smooth val="0"/>
          <c:extLst>
            <c:ext xmlns:c16="http://schemas.microsoft.com/office/drawing/2014/chart" uri="{C3380CC4-5D6E-409C-BE32-E72D297353CC}">
              <c16:uniqueId val="{00000031-704A-4A09-B5A8-942126B3C886}"/>
            </c:ext>
          </c:extLst>
        </c:ser>
        <c:ser>
          <c:idx val="11"/>
          <c:order val="11"/>
          <c:tx>
            <c:strRef>
              <c:f>'Effective LOQ'!$AA$4</c:f>
              <c:strCache>
                <c:ptCount val="1"/>
                <c:pt idx="0">
                  <c:v>Alpha_beta_Car</c:v>
                </c:pt>
              </c:strCache>
            </c:strRef>
          </c:tx>
          <c:xVal>
            <c:numRef>
              <c:f>'Effective LOQ'!$E$5:$E$19</c:f>
              <c:numCache>
                <c:formatCode>General</c:formatCode>
                <c:ptCount val="15"/>
                <c:pt idx="0">
                  <c:v>282</c:v>
                </c:pt>
                <c:pt idx="1">
                  <c:v>531</c:v>
                </c:pt>
                <c:pt idx="2">
                  <c:v>532</c:v>
                </c:pt>
                <c:pt idx="3">
                  <c:v>535</c:v>
                </c:pt>
                <c:pt idx="4">
                  <c:v>537</c:v>
                </c:pt>
                <c:pt idx="5">
                  <c:v>539</c:v>
                </c:pt>
                <c:pt idx="6">
                  <c:v>540</c:v>
                </c:pt>
                <c:pt idx="7">
                  <c:v>541</c:v>
                </c:pt>
                <c:pt idx="8">
                  <c:v>542</c:v>
                </c:pt>
                <c:pt idx="9">
                  <c:v>547</c:v>
                </c:pt>
                <c:pt idx="10">
                  <c:v>548</c:v>
                </c:pt>
                <c:pt idx="11">
                  <c:v>549</c:v>
                </c:pt>
                <c:pt idx="12">
                  <c:v>1055</c:v>
                </c:pt>
                <c:pt idx="13">
                  <c:v>1060</c:v>
                </c:pt>
                <c:pt idx="14">
                  <c:v>1065</c:v>
                </c:pt>
              </c:numCache>
            </c:numRef>
          </c:xVal>
          <c:yVal>
            <c:numRef>
              <c:f>'Effective LOQ'!$AA$5:$AA$19</c:f>
              <c:numCache>
                <c:formatCode>0.000</c:formatCode>
                <c:ptCount val="15"/>
                <c:pt idx="0">
                  <c:v>4.0000000000000001E-3</c:v>
                </c:pt>
                <c:pt idx="1">
                  <c:v>2E-3</c:v>
                </c:pt>
                <c:pt idx="2">
                  <c:v>2E-3</c:v>
                </c:pt>
                <c:pt idx="3">
                  <c:v>2E-3</c:v>
                </c:pt>
                <c:pt idx="4">
                  <c:v>2E-3</c:v>
                </c:pt>
                <c:pt idx="5">
                  <c:v>2E-3</c:v>
                </c:pt>
                <c:pt idx="6">
                  <c:v>2E-3</c:v>
                </c:pt>
                <c:pt idx="7">
                  <c:v>2E-3</c:v>
                </c:pt>
                <c:pt idx="8">
                  <c:v>2E-3</c:v>
                </c:pt>
                <c:pt idx="9">
                  <c:v>2E-3</c:v>
                </c:pt>
                <c:pt idx="10">
                  <c:v>2E-3</c:v>
                </c:pt>
                <c:pt idx="11">
                  <c:v>2E-3</c:v>
                </c:pt>
                <c:pt idx="12">
                  <c:v>1E-3</c:v>
                </c:pt>
                <c:pt idx="13">
                  <c:v>1E-3</c:v>
                </c:pt>
                <c:pt idx="14">
                  <c:v>1E-3</c:v>
                </c:pt>
              </c:numCache>
            </c:numRef>
          </c:yVal>
          <c:smooth val="0"/>
          <c:extLst>
            <c:ext xmlns:c16="http://schemas.microsoft.com/office/drawing/2014/chart" uri="{C3380CC4-5D6E-409C-BE32-E72D297353CC}">
              <c16:uniqueId val="{00000032-704A-4A09-B5A8-942126B3C886}"/>
            </c:ext>
          </c:extLst>
        </c:ser>
        <c:dLbls>
          <c:showLegendKey val="0"/>
          <c:showVal val="0"/>
          <c:showCatName val="0"/>
          <c:showSerName val="0"/>
          <c:showPercent val="0"/>
          <c:showBubbleSize val="0"/>
        </c:dLbls>
        <c:axId val="2125124984"/>
        <c:axId val="2125130584"/>
      </c:scatterChart>
      <c:valAx>
        <c:axId val="2125124984"/>
        <c:scaling>
          <c:orientation val="minMax"/>
          <c:max val="1100"/>
          <c:min val="200"/>
        </c:scaling>
        <c:delete val="0"/>
        <c:axPos val="b"/>
        <c:title>
          <c:tx>
            <c:rich>
              <a:bodyPr/>
              <a:lstStyle/>
              <a:p>
                <a:pPr>
                  <a:defRPr/>
                </a:pPr>
                <a:r>
                  <a:rPr lang="en-US"/>
                  <a:t>Filtration volume (mL)</a:t>
                </a:r>
              </a:p>
            </c:rich>
          </c:tx>
          <c:overlay val="0"/>
        </c:title>
        <c:numFmt formatCode="General" sourceLinked="1"/>
        <c:majorTickMark val="out"/>
        <c:minorTickMark val="none"/>
        <c:tickLblPos val="nextTo"/>
        <c:crossAx val="2125130584"/>
        <c:crosses val="autoZero"/>
        <c:crossBetween val="midCat"/>
      </c:valAx>
      <c:valAx>
        <c:axId val="2125130584"/>
        <c:scaling>
          <c:orientation val="minMax"/>
          <c:max val="7.0000000000000019E-3"/>
        </c:scaling>
        <c:delete val="0"/>
        <c:axPos val="l"/>
        <c:majorGridlines/>
        <c:title>
          <c:tx>
            <c:rich>
              <a:bodyPr rot="-5400000" vert="horz"/>
              <a:lstStyle/>
              <a:p>
                <a:pPr>
                  <a:defRPr/>
                </a:pPr>
                <a:r>
                  <a:rPr lang="en-US"/>
                  <a:t>Pigment concentration (ug/L)</a:t>
                </a:r>
              </a:p>
            </c:rich>
          </c:tx>
          <c:overlay val="0"/>
        </c:title>
        <c:numFmt formatCode="0.000" sourceLinked="1"/>
        <c:majorTickMark val="out"/>
        <c:minorTickMark val="none"/>
        <c:tickLblPos val="nextTo"/>
        <c:crossAx val="2125124984"/>
        <c:crosses val="autoZero"/>
        <c:crossBetween val="midCat"/>
      </c:valAx>
      <c:spPr>
        <a:ln>
          <a:solidFill>
            <a:schemeClr val="bg1">
              <a:lumMod val="50000"/>
            </a:schemeClr>
          </a:solidFill>
        </a:ln>
      </c:spPr>
    </c:plotArea>
    <c:legend>
      <c:legendPos val="r"/>
      <c:overlay val="0"/>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348DC5E-712A-4F74-AF9F-79DA4BC7021F}">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id="{ACD4BA6D-4696-4519-95AC-1A46755609A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Thomas, Crystal S. (GSFC-616.0)[SCIENCE SYSTEMS AND APPLICATIONS INC]" id="{7409DD57-035E-474D-9F96-96E9561F1E3C}" userId="S::csthoma1@ndc.nasa.gov::039ff142-8a5c-4964-b8e9-9183deb599a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34" dT="2026-01-21T21:19:46.62" personId="{7409DD57-035E-474D-9F96-96E9561F1E3C}" id="{DE2097E9-4ED2-442C-AF51-2159AA1C7C2C}">
    <text>Looks unusual and more like a wet blank. Did something go wrong during filtering?</text>
  </threadedComment>
  <threadedComment ref="I240" dT="2026-01-27T15:48:20.66" personId="{7409DD57-035E-474D-9F96-96E9561F1E3C}" id="{EBE30D96-C135-4D57-BA32-BFA868DEFCF5}">
    <text>Changed by hand by CST from information provided by T. Crockford 1/27/25</text>
  </threadedComment>
  <threadedComment ref="I241" dT="2026-01-27T15:48:20.66" personId="{7409DD57-035E-474D-9F96-96E9561F1E3C}" id="{84BE46D7-FDF6-4609-96EA-673F7ECA4AF9}">
    <text>Changed by hand by CST from information provided by T. Crockford 1/27/25</text>
  </threadedComment>
  <threadedComment ref="I242" dT="2026-01-27T15:48:20.66" personId="{7409DD57-035E-474D-9F96-96E9561F1E3C}" id="{97C119F2-5EAB-4909-868A-2133915510A0}">
    <text>Changed by hand by CST from information provided by T. Crockford 1/27/25</text>
  </threadedComment>
  <threadedComment ref="I243" dT="2026-01-27T15:48:20.66" personId="{7409DD57-035E-474D-9F96-96E9561F1E3C}" id="{67366174-0C5E-4F7F-9588-757B8F1ACD99}">
    <text>Changed by hand by CST from information provided by T. Crockford 1/27/25</text>
  </threadedComment>
  <threadedComment ref="I244" dT="2026-01-27T15:48:20.66" personId="{7409DD57-035E-474D-9F96-96E9561F1E3C}" id="{8B62AE4D-428A-4BBD-B6F7-9E51055C928D}">
    <text>Changed by hand by CST from information provided by T. Crockford 1/27/25</text>
  </threadedComment>
  <threadedComment ref="I245" dT="2026-01-27T15:48:20.66" personId="{7409DD57-035E-474D-9F96-96E9561F1E3C}" id="{63F0EAE1-65F7-4197-9CDC-2C7E946CD3E2}">
    <text>Changed by hand by CST from information provided by T. Crockford 1/27/25</text>
  </threadedComment>
  <threadedComment ref="I248" dT="2026-01-27T15:48:20.66" personId="{7409DD57-035E-474D-9F96-96E9561F1E3C}" id="{0236AFB2-1FB6-4B67-8189-65E6FDB80332}">
    <text>Changed by hand by CST from information provided by T. Crockford 1/27/25</text>
  </threadedComment>
  <threadedComment ref="I249" dT="2026-01-27T15:48:20.66" personId="{7409DD57-035E-474D-9F96-96E9561F1E3C}" id="{E45EADCC-0926-4BF7-9EB5-6A1939A0413B}">
    <text>Changed by hand by CST from information provided by T. Crockford 1/27/25</text>
  </threadedComment>
  <threadedComment ref="I250" dT="2026-01-27T15:48:20.66" personId="{7409DD57-035E-474D-9F96-96E9561F1E3C}" id="{131E7150-5E90-4BEC-9DF0-23D038DC7DE5}">
    <text>Changed by hand by CST from information provided by T. Crockford 1/27/25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eabass.gsfc.nasa.gov/wiki/Data_Submis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1009"/>
  <sheetViews>
    <sheetView tabSelected="1" topLeftCell="AP1" workbookViewId="0">
      <selection activeCell="BH17" sqref="BH17"/>
    </sheetView>
  </sheetViews>
  <sheetFormatPr defaultColWidth="9.140625" defaultRowHeight="12.75" customHeight="1"/>
  <cols>
    <col min="1" max="1" width="11.5703125" style="28" bestFit="1" customWidth="1"/>
    <col min="2" max="2" width="11" style="28" bestFit="1" customWidth="1"/>
    <col min="3" max="3" width="10.140625" style="28" customWidth="1"/>
    <col min="4" max="4" width="7.42578125" style="28" customWidth="1"/>
    <col min="5" max="5" width="8.7109375" style="28" customWidth="1"/>
    <col min="6" max="6" width="7.42578125" style="28" customWidth="1"/>
    <col min="7" max="7" width="10.5703125" style="28" bestFit="1" customWidth="1"/>
    <col min="8" max="8" width="13.7109375" style="28" bestFit="1" customWidth="1"/>
    <col min="9" max="9" width="8.5703125" style="28" customWidth="1"/>
    <col min="10" max="10" width="8.28515625" style="28" customWidth="1"/>
    <col min="11" max="11" width="19.7109375" style="28" customWidth="1"/>
    <col min="12" max="12" width="5" style="28" customWidth="1"/>
    <col min="13" max="13" width="6.7109375" style="28" customWidth="1"/>
    <col min="14" max="14" width="9.85546875" style="28" customWidth="1"/>
    <col min="15" max="15" width="10.140625" style="28" customWidth="1"/>
    <col min="16" max="16" width="5.5703125" style="22" customWidth="1"/>
    <col min="17" max="17" width="9.42578125" style="22" customWidth="1"/>
    <col min="18" max="18" width="8" style="93" customWidth="1"/>
    <col min="19" max="19" width="6" style="92" customWidth="1"/>
    <col min="20" max="20" width="9.28515625" style="27" customWidth="1"/>
    <col min="21" max="21" width="15.85546875" style="28" customWidth="1"/>
    <col min="22" max="22" width="10.140625" style="28" customWidth="1"/>
    <col min="23" max="24" width="10.42578125" style="28" bestFit="1" customWidth="1"/>
    <col min="25" max="25" width="10.85546875" style="28" customWidth="1"/>
    <col min="26" max="27" width="9.140625" style="28"/>
    <col min="28" max="33" width="9.140625" style="28" bestFit="1" customWidth="1"/>
    <col min="34" max="34" width="11.42578125" style="28" customWidth="1"/>
    <col min="35" max="35" width="10.42578125" style="28" customWidth="1"/>
    <col min="36" max="36" width="9.28515625" style="28" customWidth="1"/>
    <col min="37" max="37" width="11.28515625" style="28" customWidth="1"/>
    <col min="38" max="38" width="10.42578125" style="28" customWidth="1"/>
    <col min="39" max="39" width="9.85546875" style="28" customWidth="1"/>
    <col min="40" max="40" width="9.140625" style="28" customWidth="1"/>
    <col min="41" max="41" width="11.42578125" style="28" customWidth="1"/>
    <col min="42" max="42" width="9.7109375" style="28" customWidth="1"/>
    <col min="43" max="43" width="10.5703125" style="28" customWidth="1"/>
    <col min="44" max="44" width="10.140625" style="28" customWidth="1"/>
    <col min="45" max="46" width="9.140625" style="28" customWidth="1"/>
    <col min="47" max="47" width="14.28515625" style="28" customWidth="1"/>
    <col min="48" max="49" width="9.7109375" style="26" customWidth="1"/>
    <col min="50" max="52" width="9.140625" style="26" bestFit="1" customWidth="1"/>
    <col min="53" max="53" width="10.140625" style="26" bestFit="1" customWidth="1"/>
    <col min="54" max="54" width="10" style="26" customWidth="1"/>
    <col min="55" max="55" width="11.140625" style="26" customWidth="1"/>
    <col min="56" max="56" width="12.7109375" style="28" customWidth="1"/>
    <col min="57" max="57" width="12.5703125" style="28" bestFit="1" customWidth="1"/>
    <col min="58" max="58" width="12" style="28" customWidth="1"/>
    <col min="59" max="59" width="12.42578125" style="28" bestFit="1" customWidth="1"/>
    <col min="60" max="60" width="11.140625" style="28" bestFit="1" customWidth="1"/>
    <col min="61" max="61" width="12" style="28" customWidth="1"/>
    <col min="62" max="62" width="12.85546875" style="28" bestFit="1" customWidth="1"/>
    <col min="63" max="63" width="9.7109375" style="28" bestFit="1" customWidth="1"/>
    <col min="64" max="16384" width="9.140625" style="28"/>
  </cols>
  <sheetData>
    <row r="1" spans="1:66" ht="14.1" customHeight="1">
      <c r="A1" s="21"/>
      <c r="B1" s="22"/>
      <c r="C1" s="22"/>
      <c r="D1" s="22"/>
      <c r="E1" s="22"/>
      <c r="F1" s="22"/>
      <c r="G1" s="22"/>
      <c r="H1" s="22"/>
      <c r="I1" s="22"/>
      <c r="J1" s="22"/>
      <c r="K1" s="22"/>
      <c r="L1" s="22"/>
      <c r="M1" s="22"/>
      <c r="N1" s="22"/>
      <c r="O1" s="22"/>
      <c r="R1" s="23"/>
      <c r="S1" s="24"/>
      <c r="T1" s="25"/>
      <c r="U1" s="22"/>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row>
    <row r="2" spans="1:66" ht="14.1" customHeight="1">
      <c r="B2" s="22"/>
      <c r="C2" s="22"/>
      <c r="D2" s="31" t="s">
        <v>265</v>
      </c>
      <c r="E2" s="22"/>
      <c r="F2" s="22"/>
      <c r="G2" s="22"/>
      <c r="H2" s="22"/>
      <c r="I2" s="22"/>
      <c r="J2" s="22"/>
      <c r="K2" s="22"/>
      <c r="L2" s="22"/>
      <c r="M2" s="22"/>
      <c r="N2" s="22"/>
      <c r="O2" s="22"/>
      <c r="P2" s="29"/>
      <c r="R2" s="23"/>
      <c r="S2" s="24"/>
      <c r="T2" s="25"/>
      <c r="U2" s="22"/>
      <c r="AH2" s="22"/>
      <c r="AI2" s="22"/>
      <c r="AL2" s="22"/>
      <c r="AO2" s="22"/>
      <c r="AR2" s="22"/>
      <c r="AU2" s="22"/>
      <c r="AV2" s="30"/>
      <c r="AW2" s="30"/>
      <c r="AX2" s="30"/>
      <c r="AY2" s="30"/>
      <c r="AZ2" s="30"/>
      <c r="BA2" s="30"/>
      <c r="BB2" s="30"/>
      <c r="BC2" s="30"/>
      <c r="BD2" s="30"/>
      <c r="BE2" s="30"/>
      <c r="BF2" s="30"/>
      <c r="BG2" s="30"/>
      <c r="BH2" s="22"/>
      <c r="BI2" s="22"/>
      <c r="BJ2" s="30"/>
    </row>
    <row r="3" spans="1:66" ht="14.1" customHeight="1">
      <c r="A3" s="31"/>
      <c r="B3" s="22"/>
      <c r="C3" s="22"/>
      <c r="D3" s="32" t="s">
        <v>257</v>
      </c>
      <c r="E3" s="22"/>
      <c r="F3" s="22"/>
      <c r="G3" s="22"/>
      <c r="H3" s="22"/>
      <c r="I3" s="22"/>
      <c r="J3" s="22"/>
      <c r="K3" s="22"/>
      <c r="L3" s="22"/>
      <c r="M3" s="22"/>
      <c r="N3" s="22"/>
      <c r="O3" s="22"/>
      <c r="P3" s="33"/>
      <c r="R3" s="23"/>
      <c r="S3" s="24"/>
      <c r="T3" s="25"/>
      <c r="U3" s="22"/>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row>
    <row r="4" spans="1:66" s="34" customFormat="1" ht="14.1" customHeight="1">
      <c r="B4" s="35"/>
      <c r="C4" s="35"/>
      <c r="D4" s="36" t="s">
        <v>179</v>
      </c>
      <c r="E4" s="35"/>
      <c r="F4" s="35"/>
      <c r="G4" s="35"/>
      <c r="H4" s="35"/>
      <c r="I4" s="35"/>
      <c r="J4" s="35"/>
      <c r="K4" s="35"/>
      <c r="L4" s="35"/>
      <c r="M4" s="35"/>
      <c r="N4" s="35"/>
      <c r="O4" s="35"/>
      <c r="P4" s="37"/>
      <c r="Q4" s="22"/>
      <c r="R4" s="38"/>
      <c r="S4" s="39"/>
      <c r="T4" s="40"/>
      <c r="U4" s="35"/>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1"/>
      <c r="AW4" s="41"/>
      <c r="AX4" s="41"/>
      <c r="AY4" s="41"/>
      <c r="AZ4" s="41"/>
      <c r="BA4" s="41"/>
      <c r="BB4" s="41"/>
      <c r="BC4" s="41"/>
      <c r="BF4" s="43"/>
    </row>
    <row r="5" spans="1:66" s="50" customFormat="1" ht="14.1" customHeight="1">
      <c r="A5" s="44"/>
      <c r="B5" s="45"/>
      <c r="C5" s="45"/>
      <c r="D5" s="44" t="s">
        <v>177</v>
      </c>
      <c r="E5" s="45"/>
      <c r="F5" s="45"/>
      <c r="G5" s="45"/>
      <c r="H5" s="45"/>
      <c r="I5" s="45"/>
      <c r="J5" s="45"/>
      <c r="K5" s="45"/>
      <c r="L5" s="45"/>
      <c r="M5" s="45"/>
      <c r="N5" s="45"/>
      <c r="O5" s="45"/>
      <c r="P5" s="37"/>
      <c r="Q5" s="22"/>
      <c r="R5" s="38"/>
      <c r="S5" s="46"/>
      <c r="T5" s="47"/>
      <c r="U5" s="45"/>
      <c r="V5" s="22"/>
      <c r="W5" s="22"/>
      <c r="X5" s="22"/>
      <c r="Y5" s="22"/>
      <c r="Z5" s="22"/>
      <c r="AA5" s="22"/>
      <c r="AB5" s="22"/>
      <c r="AC5" s="22"/>
      <c r="AD5" s="22"/>
      <c r="AE5" s="22"/>
      <c r="AF5" s="22"/>
      <c r="AG5" s="22"/>
      <c r="AH5" s="49"/>
      <c r="AI5" s="49"/>
      <c r="AJ5" s="49"/>
      <c r="AK5" s="49"/>
      <c r="AL5" s="49"/>
      <c r="AM5" s="49"/>
      <c r="AO5" s="49"/>
      <c r="AP5" s="49"/>
      <c r="AQ5" s="49"/>
      <c r="AR5" s="49"/>
      <c r="AS5" s="49"/>
      <c r="AT5" s="49"/>
      <c r="AU5" s="49"/>
      <c r="AV5" s="48"/>
      <c r="AW5" s="48"/>
      <c r="AX5" s="48"/>
      <c r="AY5" s="48"/>
      <c r="AZ5" s="48"/>
      <c r="BA5" s="48"/>
      <c r="BB5" s="48"/>
      <c r="BC5" s="48"/>
    </row>
    <row r="6" spans="1:66" s="50" customFormat="1" ht="14.1" customHeight="1">
      <c r="A6" s="44"/>
      <c r="B6" s="45"/>
      <c r="C6" s="45"/>
      <c r="D6" s="51" t="s">
        <v>187</v>
      </c>
      <c r="E6" s="45"/>
      <c r="F6" s="45"/>
      <c r="G6" s="45"/>
      <c r="H6" s="45"/>
      <c r="I6" s="45"/>
      <c r="J6" s="45"/>
      <c r="K6" s="45"/>
      <c r="L6" s="45"/>
      <c r="M6" s="52"/>
      <c r="N6" s="52"/>
      <c r="O6" s="52"/>
      <c r="P6" s="53"/>
      <c r="Q6" s="53"/>
      <c r="R6" s="53"/>
      <c r="S6" s="54"/>
      <c r="T6" s="55"/>
      <c r="U6" s="45"/>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row>
    <row r="7" spans="1:66" s="57" customFormat="1" ht="33.950000000000003" customHeight="1">
      <c r="B7" s="58"/>
      <c r="C7" s="58"/>
      <c r="D7" s="164" t="s">
        <v>1008</v>
      </c>
      <c r="F7" s="58"/>
      <c r="G7" s="58"/>
      <c r="H7" s="58"/>
      <c r="I7" s="58"/>
      <c r="J7" s="58"/>
      <c r="K7" s="58"/>
      <c r="L7" s="58"/>
      <c r="M7" s="58"/>
      <c r="N7" s="58"/>
      <c r="O7" s="58"/>
      <c r="P7" s="59"/>
      <c r="Q7" s="60"/>
      <c r="R7" s="61"/>
      <c r="S7" s="62"/>
      <c r="T7" s="63"/>
      <c r="U7" s="58"/>
      <c r="V7" s="64" t="s">
        <v>29</v>
      </c>
      <c r="W7" s="65"/>
      <c r="X7" s="65"/>
      <c r="Y7" s="65"/>
      <c r="Z7" s="65"/>
      <c r="AA7" s="65"/>
      <c r="AB7" s="65"/>
      <c r="AC7" s="65"/>
      <c r="AD7" s="65"/>
      <c r="AE7" s="65"/>
      <c r="AF7" s="65"/>
      <c r="AG7" s="65"/>
      <c r="AH7" s="66" t="s">
        <v>30</v>
      </c>
      <c r="AI7" s="65"/>
      <c r="AJ7" s="65"/>
      <c r="AK7" s="65"/>
      <c r="AL7" s="65"/>
      <c r="AM7" s="65"/>
      <c r="AN7" s="65"/>
      <c r="AO7" s="67" t="s">
        <v>31</v>
      </c>
      <c r="AP7" s="65"/>
      <c r="AQ7" s="65"/>
      <c r="AR7" s="65"/>
      <c r="AS7" s="68"/>
      <c r="AT7" s="68"/>
      <c r="AU7" s="69" t="s">
        <v>32</v>
      </c>
      <c r="AV7" s="70" t="s">
        <v>34</v>
      </c>
      <c r="AW7" s="71"/>
      <c r="AX7" s="71"/>
      <c r="AY7" s="71"/>
      <c r="AZ7" s="71"/>
      <c r="BA7" s="71"/>
      <c r="BB7" s="71"/>
      <c r="BC7" s="71"/>
      <c r="BD7" s="72" t="s">
        <v>33</v>
      </c>
      <c r="BE7" s="73"/>
      <c r="BF7" s="73"/>
      <c r="BG7" s="73"/>
      <c r="BH7" s="73"/>
      <c r="BI7" s="73"/>
      <c r="BJ7" s="73"/>
      <c r="BK7" s="74"/>
    </row>
    <row r="8" spans="1:66" s="75" customFormat="1" ht="21.75" customHeight="1">
      <c r="B8" s="76"/>
      <c r="C8" s="76"/>
      <c r="D8" s="76"/>
      <c r="E8" s="76"/>
      <c r="F8" s="76"/>
      <c r="G8" s="76"/>
      <c r="H8" s="76"/>
      <c r="I8" s="76"/>
      <c r="J8" s="76"/>
      <c r="K8" s="76"/>
      <c r="L8" s="76"/>
      <c r="M8" s="76"/>
      <c r="N8" s="76"/>
      <c r="O8" s="76"/>
      <c r="P8" s="77"/>
      <c r="Q8" s="78"/>
      <c r="R8" s="79"/>
      <c r="S8" s="80"/>
      <c r="T8" s="81"/>
      <c r="U8" s="76"/>
      <c r="V8" s="104" t="s">
        <v>205</v>
      </c>
      <c r="W8" s="104" t="s">
        <v>205</v>
      </c>
      <c r="X8" s="104" t="s">
        <v>205</v>
      </c>
      <c r="Y8" s="104" t="s">
        <v>205</v>
      </c>
      <c r="Z8" s="104" t="s">
        <v>205</v>
      </c>
      <c r="AA8" s="104" t="s">
        <v>205</v>
      </c>
      <c r="AB8" s="104" t="s">
        <v>205</v>
      </c>
      <c r="AC8" s="104" t="s">
        <v>205</v>
      </c>
      <c r="AD8" s="104" t="s">
        <v>205</v>
      </c>
      <c r="AE8" s="104" t="s">
        <v>205</v>
      </c>
      <c r="AF8" s="104" t="s">
        <v>205</v>
      </c>
      <c r="AG8" s="104" t="s">
        <v>205</v>
      </c>
      <c r="AH8" s="105" t="s">
        <v>205</v>
      </c>
      <c r="AI8" s="105" t="s">
        <v>205</v>
      </c>
      <c r="AJ8" s="105" t="s">
        <v>205</v>
      </c>
      <c r="AK8" s="105" t="s">
        <v>205</v>
      </c>
      <c r="AL8" s="105" t="s">
        <v>205</v>
      </c>
      <c r="AM8" s="105" t="s">
        <v>205</v>
      </c>
      <c r="AN8" s="105" t="s">
        <v>205</v>
      </c>
      <c r="AO8" s="106" t="s">
        <v>205</v>
      </c>
      <c r="AP8" s="106" t="s">
        <v>205</v>
      </c>
      <c r="AQ8" s="106" t="s">
        <v>205</v>
      </c>
      <c r="AR8" s="106" t="s">
        <v>205</v>
      </c>
      <c r="AS8" s="106" t="s">
        <v>205</v>
      </c>
      <c r="AT8" s="106" t="s">
        <v>205</v>
      </c>
      <c r="AU8" s="107" t="s">
        <v>205</v>
      </c>
      <c r="AV8" s="70"/>
      <c r="AW8" s="71"/>
      <c r="AX8" s="71"/>
      <c r="AY8" s="71"/>
      <c r="AZ8" s="71"/>
      <c r="BA8" s="71"/>
      <c r="BB8" s="71"/>
      <c r="BC8" s="71"/>
      <c r="BD8" s="72"/>
      <c r="BE8" s="73"/>
      <c r="BF8" s="73"/>
      <c r="BG8" s="73"/>
      <c r="BH8" s="73"/>
      <c r="BI8" s="73"/>
      <c r="BJ8" s="73"/>
    </row>
    <row r="9" spans="1:66" s="82" customFormat="1" ht="63.75" customHeight="1">
      <c r="A9" s="252" t="s">
        <v>1019</v>
      </c>
      <c r="B9" s="252" t="s">
        <v>168</v>
      </c>
      <c r="C9" s="252" t="s">
        <v>1020</v>
      </c>
      <c r="D9" s="252" t="s">
        <v>1021</v>
      </c>
      <c r="E9" s="252" t="s">
        <v>1022</v>
      </c>
      <c r="F9" s="252" t="s">
        <v>1023</v>
      </c>
      <c r="G9" s="252" t="s">
        <v>1024</v>
      </c>
      <c r="H9" s="252" t="s">
        <v>1025</v>
      </c>
      <c r="I9" s="252" t="s">
        <v>1026</v>
      </c>
      <c r="J9" s="252" t="s">
        <v>1027</v>
      </c>
      <c r="K9" s="252" t="s">
        <v>1028</v>
      </c>
      <c r="L9" s="252" t="s">
        <v>1029</v>
      </c>
      <c r="M9" s="252" t="s">
        <v>1030</v>
      </c>
      <c r="N9" s="252" t="s">
        <v>1031</v>
      </c>
      <c r="O9" s="252" t="s">
        <v>1032</v>
      </c>
      <c r="P9" s="252" t="s">
        <v>1033</v>
      </c>
      <c r="Q9" s="252" t="s">
        <v>1034</v>
      </c>
      <c r="R9" s="252" t="s">
        <v>1035</v>
      </c>
      <c r="S9" s="252" t="s">
        <v>1036</v>
      </c>
      <c r="T9" s="252" t="s">
        <v>1037</v>
      </c>
      <c r="U9" s="252" t="s">
        <v>1038</v>
      </c>
      <c r="V9" s="257" t="s">
        <v>1039</v>
      </c>
      <c r="W9" s="257" t="s">
        <v>1040</v>
      </c>
      <c r="X9" s="257" t="s">
        <v>1041</v>
      </c>
      <c r="Y9" s="257" t="s">
        <v>1042</v>
      </c>
      <c r="Z9" s="253" t="s">
        <v>1043</v>
      </c>
      <c r="AA9" s="253" t="s">
        <v>1044</v>
      </c>
      <c r="AB9" s="253" t="s">
        <v>1045</v>
      </c>
      <c r="AC9" s="253" t="s">
        <v>1046</v>
      </c>
      <c r="AD9" s="253" t="s">
        <v>1047</v>
      </c>
      <c r="AE9" s="253" t="s">
        <v>1048</v>
      </c>
      <c r="AF9" s="253" t="s">
        <v>1049</v>
      </c>
      <c r="AG9" s="253" t="s">
        <v>1050</v>
      </c>
      <c r="AH9" s="254" t="s">
        <v>1051</v>
      </c>
      <c r="AI9" s="254" t="s">
        <v>1052</v>
      </c>
      <c r="AJ9" s="254" t="s">
        <v>1053</v>
      </c>
      <c r="AK9" s="254" t="s">
        <v>1054</v>
      </c>
      <c r="AL9" s="254" t="s">
        <v>1055</v>
      </c>
      <c r="AM9" s="254" t="s">
        <v>1056</v>
      </c>
      <c r="AN9" s="254" t="s">
        <v>1057</v>
      </c>
      <c r="AO9" s="255" t="s">
        <v>1058</v>
      </c>
      <c r="AP9" s="255" t="s">
        <v>1059</v>
      </c>
      <c r="AQ9" s="255" t="s">
        <v>1060</v>
      </c>
      <c r="AR9" s="255" t="s">
        <v>1061</v>
      </c>
      <c r="AS9" s="255" t="s">
        <v>1062</v>
      </c>
      <c r="AT9" s="255" t="s">
        <v>1063</v>
      </c>
      <c r="AU9" s="256" t="s">
        <v>1064</v>
      </c>
      <c r="AV9" s="258" t="s">
        <v>1065</v>
      </c>
      <c r="AW9" s="258" t="s">
        <v>1066</v>
      </c>
      <c r="AX9" s="258" t="s">
        <v>1067</v>
      </c>
      <c r="AY9" s="258" t="s">
        <v>1068</v>
      </c>
      <c r="AZ9" s="258" t="s">
        <v>1069</v>
      </c>
      <c r="BA9" s="258" t="s">
        <v>1070</v>
      </c>
      <c r="BB9" s="258" t="s">
        <v>1071</v>
      </c>
      <c r="BC9" s="258" t="s">
        <v>1072</v>
      </c>
      <c r="BD9" s="259" t="s">
        <v>1073</v>
      </c>
      <c r="BE9" s="259" t="s">
        <v>115</v>
      </c>
      <c r="BF9" s="259" t="s">
        <v>1074</v>
      </c>
      <c r="BG9" s="259" t="s">
        <v>1075</v>
      </c>
      <c r="BH9" s="259" t="s">
        <v>112</v>
      </c>
      <c r="BI9" s="259" t="s">
        <v>111</v>
      </c>
      <c r="BJ9" s="259" t="s">
        <v>1076</v>
      </c>
      <c r="BK9" s="260" t="s">
        <v>27</v>
      </c>
      <c r="BL9" s="260" t="s">
        <v>169</v>
      </c>
      <c r="BM9" s="260" t="s">
        <v>169</v>
      </c>
      <c r="BN9" s="87"/>
    </row>
    <row r="10" spans="1:66" s="155" customFormat="1" ht="14.1" customHeight="1">
      <c r="A10" s="150" t="s">
        <v>271</v>
      </c>
      <c r="B10" s="165" t="s">
        <v>511</v>
      </c>
      <c r="C10" s="165" t="s">
        <v>519</v>
      </c>
      <c r="D10" s="165" t="s">
        <v>513</v>
      </c>
      <c r="E10" s="165" t="s">
        <v>170</v>
      </c>
      <c r="F10" s="165">
        <v>540</v>
      </c>
      <c r="G10" s="165">
        <v>2</v>
      </c>
      <c r="H10" s="165">
        <v>11</v>
      </c>
      <c r="I10" s="165">
        <v>32</v>
      </c>
      <c r="J10" s="165">
        <v>77</v>
      </c>
      <c r="K10" s="166" t="s">
        <v>514</v>
      </c>
      <c r="L10" s="165">
        <v>2024</v>
      </c>
      <c r="M10" s="165" t="s">
        <v>171</v>
      </c>
      <c r="N10" s="165">
        <v>10</v>
      </c>
      <c r="O10" s="181">
        <v>41</v>
      </c>
      <c r="P10" s="165" t="s">
        <v>520</v>
      </c>
      <c r="Q10" s="165">
        <v>-70.884</v>
      </c>
      <c r="R10" s="165">
        <v>40.51</v>
      </c>
      <c r="S10" s="165" t="s">
        <v>172</v>
      </c>
      <c r="T10" s="165">
        <v>25</v>
      </c>
      <c r="U10" s="166" t="s">
        <v>516</v>
      </c>
      <c r="V10" s="151">
        <v>1.0369999999999999</v>
      </c>
      <c r="W10" s="151">
        <v>8.3000000000000004E-2</v>
      </c>
      <c r="X10" s="151">
        <v>0.155</v>
      </c>
      <c r="Y10" s="94">
        <v>4.2000000000000003E-2</v>
      </c>
      <c r="Z10" s="152">
        <v>0.01</v>
      </c>
      <c r="AA10" s="153">
        <v>1.6E-2</v>
      </c>
      <c r="AB10" s="153">
        <v>2.5999999999999999E-2</v>
      </c>
      <c r="AC10" s="153">
        <v>3.6999999999999998E-2</v>
      </c>
      <c r="AD10" s="153">
        <v>2E-3</v>
      </c>
      <c r="AE10" s="153">
        <v>0.38</v>
      </c>
      <c r="AF10" s="153">
        <v>1.4E-2</v>
      </c>
      <c r="AG10" s="153">
        <v>0.01</v>
      </c>
      <c r="AH10" s="153">
        <v>1.022</v>
      </c>
      <c r="AI10" s="153">
        <v>-8888</v>
      </c>
      <c r="AJ10" s="153">
        <v>1.4999999999999999E-2</v>
      </c>
      <c r="AK10" s="153">
        <v>8.3000000000000004E-2</v>
      </c>
      <c r="AL10" s="153">
        <v>-8888</v>
      </c>
      <c r="AM10" s="153">
        <v>0.105</v>
      </c>
      <c r="AN10" s="153">
        <v>0.05</v>
      </c>
      <c r="AO10" s="153">
        <v>3.0000000000000001E-3</v>
      </c>
      <c r="AP10" s="153">
        <v>8.9999999999999993E-3</v>
      </c>
      <c r="AQ10" s="153">
        <v>8.9999999999999993E-3</v>
      </c>
      <c r="AR10" s="153">
        <v>1.2E-2</v>
      </c>
      <c r="AS10" s="153">
        <v>3.2000000000000001E-2</v>
      </c>
      <c r="AT10" s="153">
        <v>1.2E-2</v>
      </c>
      <c r="AU10" s="153">
        <v>-8888</v>
      </c>
      <c r="AV10" s="153">
        <v>1.2749999999999999</v>
      </c>
      <c r="AW10" s="153">
        <v>0.11699999999999999</v>
      </c>
      <c r="AX10" s="153">
        <v>0.42000000000000004</v>
      </c>
      <c r="AY10" s="153">
        <v>1.6949999999999998</v>
      </c>
      <c r="AZ10" s="153">
        <v>0.53700000000000003</v>
      </c>
      <c r="BA10" s="153">
        <v>0.77500000000000002</v>
      </c>
      <c r="BB10" s="153">
        <v>1.8119999999999998</v>
      </c>
      <c r="BC10" s="153">
        <v>0.53900000000000003</v>
      </c>
      <c r="BD10" s="154">
        <v>0.75</v>
      </c>
      <c r="BE10" s="154">
        <v>0.78</v>
      </c>
      <c r="BF10" s="154">
        <v>0.22</v>
      </c>
      <c r="BG10" s="154">
        <v>2.37</v>
      </c>
      <c r="BH10" s="154">
        <v>0.06</v>
      </c>
      <c r="BI10" s="154">
        <v>0.94</v>
      </c>
      <c r="BJ10" s="154">
        <v>0.56999999999999995</v>
      </c>
      <c r="BL10" s="168" t="s">
        <v>521</v>
      </c>
    </row>
    <row r="11" spans="1:66" s="88" customFormat="1" ht="14.1" customHeight="1">
      <c r="A11" s="156" t="s">
        <v>272</v>
      </c>
      <c r="B11" s="165" t="s">
        <v>511</v>
      </c>
      <c r="C11" s="165" t="s">
        <v>522</v>
      </c>
      <c r="D11" s="165" t="s">
        <v>513</v>
      </c>
      <c r="E11" s="165" t="s">
        <v>170</v>
      </c>
      <c r="F11" s="165">
        <v>548</v>
      </c>
      <c r="G11" s="165">
        <v>2</v>
      </c>
      <c r="H11" s="165">
        <v>17</v>
      </c>
      <c r="I11" s="165">
        <v>3.8</v>
      </c>
      <c r="J11" s="165">
        <v>77</v>
      </c>
      <c r="K11" s="166" t="s">
        <v>514</v>
      </c>
      <c r="L11" s="165">
        <v>2024</v>
      </c>
      <c r="M11" s="165" t="s">
        <v>171</v>
      </c>
      <c r="N11" s="165">
        <v>10</v>
      </c>
      <c r="O11" s="181">
        <v>41</v>
      </c>
      <c r="P11" s="165" t="s">
        <v>523</v>
      </c>
      <c r="Q11" s="165">
        <v>-70.884</v>
      </c>
      <c r="R11" s="165">
        <v>40.51</v>
      </c>
      <c r="S11" s="165" t="s">
        <v>172</v>
      </c>
      <c r="T11" s="165">
        <v>25</v>
      </c>
      <c r="U11" s="166" t="s">
        <v>516</v>
      </c>
      <c r="V11" s="158">
        <v>0.90600000000000003</v>
      </c>
      <c r="W11" s="158">
        <v>9.1999999999999998E-2</v>
      </c>
      <c r="X11" s="158">
        <v>0.13700000000000001</v>
      </c>
      <c r="Y11" s="157">
        <v>3.7999999999999999E-2</v>
      </c>
      <c r="Z11" s="159">
        <v>1.0999999999999999E-2</v>
      </c>
      <c r="AA11" s="89">
        <v>1.6E-2</v>
      </c>
      <c r="AB11" s="89">
        <v>2.7E-2</v>
      </c>
      <c r="AC11" s="89">
        <v>0.04</v>
      </c>
      <c r="AD11" s="89">
        <v>3.0000000000000001E-3</v>
      </c>
      <c r="AE11" s="89">
        <v>0.30299999999999999</v>
      </c>
      <c r="AF11" s="89">
        <v>1.4999999999999999E-2</v>
      </c>
      <c r="AG11" s="89">
        <v>1.0999999999999999E-2</v>
      </c>
      <c r="AH11" s="89">
        <v>0.88900000000000001</v>
      </c>
      <c r="AI11" s="89">
        <v>-8888</v>
      </c>
      <c r="AJ11" s="89">
        <v>1.7000000000000001E-2</v>
      </c>
      <c r="AK11" s="89">
        <v>9.1999999999999998E-2</v>
      </c>
      <c r="AL11" s="89">
        <v>-8888</v>
      </c>
      <c r="AM11" s="89">
        <v>9.0999999999999998E-2</v>
      </c>
      <c r="AN11" s="89">
        <v>4.5999999999999999E-2</v>
      </c>
      <c r="AO11" s="89">
        <v>4.0000000000000001E-3</v>
      </c>
      <c r="AP11" s="89">
        <v>1.0999999999999999E-2</v>
      </c>
      <c r="AQ11" s="89">
        <v>1.2E-2</v>
      </c>
      <c r="AR11" s="89">
        <v>0.01</v>
      </c>
      <c r="AS11" s="89">
        <v>2.1000000000000001E-2</v>
      </c>
      <c r="AT11" s="89">
        <v>1.2999999999999999E-2</v>
      </c>
      <c r="AU11" s="89">
        <v>-8888</v>
      </c>
      <c r="AV11" s="89">
        <v>1.135</v>
      </c>
      <c r="AW11" s="89">
        <v>0.11899999999999999</v>
      </c>
      <c r="AX11" s="89">
        <v>0.34500000000000003</v>
      </c>
      <c r="AY11" s="89">
        <v>1.48</v>
      </c>
      <c r="AZ11" s="89">
        <v>0.46400000000000002</v>
      </c>
      <c r="BA11" s="89">
        <v>0.69300000000000006</v>
      </c>
      <c r="BB11" s="89">
        <v>1.5990000000000002</v>
      </c>
      <c r="BC11" s="89">
        <v>0.47500000000000003</v>
      </c>
      <c r="BD11" s="160">
        <v>0.76</v>
      </c>
      <c r="BE11" s="160">
        <v>0.74</v>
      </c>
      <c r="BF11" s="160">
        <v>0.26</v>
      </c>
      <c r="BG11" s="160">
        <v>2.4500000000000002</v>
      </c>
      <c r="BH11" s="160">
        <v>7.0000000000000007E-2</v>
      </c>
      <c r="BI11" s="160">
        <v>0.93</v>
      </c>
      <c r="BJ11" s="160">
        <v>0.56999999999999995</v>
      </c>
      <c r="BL11" s="168" t="s">
        <v>521</v>
      </c>
    </row>
    <row r="12" spans="1:66" s="88" customFormat="1" ht="14.1" customHeight="1">
      <c r="A12" s="156" t="s">
        <v>273</v>
      </c>
      <c r="B12" s="165" t="s">
        <v>511</v>
      </c>
      <c r="C12" s="165" t="s">
        <v>524</v>
      </c>
      <c r="D12" s="165" t="s">
        <v>513</v>
      </c>
      <c r="E12" s="165" t="s">
        <v>170</v>
      </c>
      <c r="F12" s="165">
        <v>547</v>
      </c>
      <c r="G12" s="165">
        <v>5</v>
      </c>
      <c r="H12" s="165">
        <v>10</v>
      </c>
      <c r="I12" s="165">
        <v>32.6</v>
      </c>
      <c r="J12" s="165">
        <v>94</v>
      </c>
      <c r="K12" s="166" t="s">
        <v>514</v>
      </c>
      <c r="L12" s="165">
        <v>2024</v>
      </c>
      <c r="M12" s="165" t="s">
        <v>171</v>
      </c>
      <c r="N12" s="165">
        <v>10</v>
      </c>
      <c r="O12" s="181">
        <v>41</v>
      </c>
      <c r="P12" s="165" t="s">
        <v>525</v>
      </c>
      <c r="Q12" s="165">
        <v>-70.884</v>
      </c>
      <c r="R12" s="165">
        <v>40.366</v>
      </c>
      <c r="S12" s="165" t="s">
        <v>172</v>
      </c>
      <c r="T12" s="165">
        <v>25</v>
      </c>
      <c r="U12" s="166" t="s">
        <v>516</v>
      </c>
      <c r="V12" s="158">
        <v>0.83599999999999997</v>
      </c>
      <c r="W12" s="158">
        <v>6.6000000000000003E-2</v>
      </c>
      <c r="X12" s="158">
        <v>0.129</v>
      </c>
      <c r="Y12" s="157">
        <v>3.6999999999999998E-2</v>
      </c>
      <c r="Z12" s="159">
        <v>8.9999999999999993E-3</v>
      </c>
      <c r="AA12" s="89">
        <v>1.4999999999999999E-2</v>
      </c>
      <c r="AB12" s="89">
        <v>2.3E-2</v>
      </c>
      <c r="AC12" s="89">
        <v>2.9000000000000001E-2</v>
      </c>
      <c r="AD12" s="89">
        <v>2E-3</v>
      </c>
      <c r="AE12" s="89">
        <v>0.30099999999999999</v>
      </c>
      <c r="AF12" s="89">
        <v>1.0999999999999999E-2</v>
      </c>
      <c r="AG12" s="89">
        <v>8.0000000000000002E-3</v>
      </c>
      <c r="AH12" s="89">
        <v>0.82399999999999995</v>
      </c>
      <c r="AI12" s="89">
        <v>-8888</v>
      </c>
      <c r="AJ12" s="89">
        <v>1.2E-2</v>
      </c>
      <c r="AK12" s="89">
        <v>6.6000000000000003E-2</v>
      </c>
      <c r="AL12" s="89">
        <v>-8888</v>
      </c>
      <c r="AM12" s="89">
        <v>8.3000000000000004E-2</v>
      </c>
      <c r="AN12" s="89">
        <v>4.5999999999999999E-2</v>
      </c>
      <c r="AO12" s="89">
        <v>2E-3</v>
      </c>
      <c r="AP12" s="89">
        <v>7.0000000000000001E-3</v>
      </c>
      <c r="AQ12" s="89">
        <v>8.0000000000000002E-3</v>
      </c>
      <c r="AR12" s="89">
        <v>1.0999999999999999E-2</v>
      </c>
      <c r="AS12" s="89">
        <v>3.1E-2</v>
      </c>
      <c r="AT12" s="89">
        <v>1.9E-2</v>
      </c>
      <c r="AU12" s="89">
        <v>-8888</v>
      </c>
      <c r="AV12" s="89">
        <v>1.0309999999999999</v>
      </c>
      <c r="AW12" s="89">
        <v>9.9000000000000005E-2</v>
      </c>
      <c r="AX12" s="89">
        <v>0.33600000000000002</v>
      </c>
      <c r="AY12" s="89">
        <v>1.367</v>
      </c>
      <c r="AZ12" s="89">
        <v>0.43500000000000005</v>
      </c>
      <c r="BA12" s="89">
        <v>0.63000000000000012</v>
      </c>
      <c r="BB12" s="89">
        <v>1.4660000000000002</v>
      </c>
      <c r="BC12" s="89">
        <v>0.43300000000000005</v>
      </c>
      <c r="BD12" s="160">
        <v>0.75</v>
      </c>
      <c r="BE12" s="160">
        <v>0.77</v>
      </c>
      <c r="BF12" s="160">
        <v>0.23</v>
      </c>
      <c r="BG12" s="160">
        <v>2.37</v>
      </c>
      <c r="BH12" s="160">
        <v>7.0000000000000007E-2</v>
      </c>
      <c r="BI12" s="160">
        <v>0.93</v>
      </c>
      <c r="BJ12" s="160">
        <v>0.56999999999999995</v>
      </c>
      <c r="BL12" s="167"/>
    </row>
    <row r="13" spans="1:66" s="88" customFormat="1" ht="14.1" customHeight="1">
      <c r="A13" s="156" t="s">
        <v>274</v>
      </c>
      <c r="B13" s="165" t="s">
        <v>511</v>
      </c>
      <c r="C13" s="165" t="s">
        <v>526</v>
      </c>
      <c r="D13" s="165" t="s">
        <v>513</v>
      </c>
      <c r="E13" s="165" t="s">
        <v>170</v>
      </c>
      <c r="F13" s="165">
        <v>548</v>
      </c>
      <c r="G13" s="165">
        <v>5</v>
      </c>
      <c r="H13" s="165">
        <v>19</v>
      </c>
      <c r="I13" s="165">
        <v>3.2</v>
      </c>
      <c r="J13" s="165">
        <v>94</v>
      </c>
      <c r="K13" s="166" t="s">
        <v>514</v>
      </c>
      <c r="L13" s="165">
        <v>2024</v>
      </c>
      <c r="M13" s="165" t="s">
        <v>171</v>
      </c>
      <c r="N13" s="165">
        <v>10</v>
      </c>
      <c r="O13" s="181">
        <v>41</v>
      </c>
      <c r="P13" s="165" t="s">
        <v>527</v>
      </c>
      <c r="Q13" s="165">
        <v>-70.884</v>
      </c>
      <c r="R13" s="165">
        <v>40.366999999999997</v>
      </c>
      <c r="S13" s="165" t="s">
        <v>172</v>
      </c>
      <c r="T13" s="165">
        <v>25</v>
      </c>
      <c r="U13" s="166" t="s">
        <v>516</v>
      </c>
      <c r="V13" s="158">
        <v>0.90800000000000003</v>
      </c>
      <c r="W13" s="158">
        <v>6.8000000000000005E-2</v>
      </c>
      <c r="X13" s="158">
        <v>0.14000000000000001</v>
      </c>
      <c r="Y13" s="157">
        <v>3.9E-2</v>
      </c>
      <c r="Z13" s="159">
        <v>0.01</v>
      </c>
      <c r="AA13" s="89">
        <v>1.6E-2</v>
      </c>
      <c r="AB13" s="89">
        <v>2.5000000000000001E-2</v>
      </c>
      <c r="AC13" s="89">
        <v>3.2000000000000001E-2</v>
      </c>
      <c r="AD13" s="89">
        <v>3.0000000000000001E-3</v>
      </c>
      <c r="AE13" s="89">
        <v>0.33200000000000002</v>
      </c>
      <c r="AF13" s="89">
        <v>1.0999999999999999E-2</v>
      </c>
      <c r="AG13" s="89">
        <v>8.9999999999999993E-3</v>
      </c>
      <c r="AH13" s="89">
        <v>0.89500000000000002</v>
      </c>
      <c r="AI13" s="89">
        <v>-8888</v>
      </c>
      <c r="AJ13" s="89">
        <v>1.2999999999999999E-2</v>
      </c>
      <c r="AK13" s="89">
        <v>6.8000000000000005E-2</v>
      </c>
      <c r="AL13" s="89">
        <v>-8888</v>
      </c>
      <c r="AM13" s="89">
        <v>0.09</v>
      </c>
      <c r="AN13" s="89">
        <v>0.05</v>
      </c>
      <c r="AO13" s="89">
        <v>2E-3</v>
      </c>
      <c r="AP13" s="89">
        <v>7.0000000000000001E-3</v>
      </c>
      <c r="AQ13" s="89">
        <v>8.0000000000000002E-3</v>
      </c>
      <c r="AR13" s="89">
        <v>1.2E-2</v>
      </c>
      <c r="AS13" s="89">
        <v>3.2000000000000001E-2</v>
      </c>
      <c r="AT13" s="89">
        <v>0.02</v>
      </c>
      <c r="AU13" s="89">
        <v>-8888</v>
      </c>
      <c r="AV13" s="89">
        <v>1.1160000000000001</v>
      </c>
      <c r="AW13" s="89">
        <v>0.10800000000000001</v>
      </c>
      <c r="AX13" s="89">
        <v>0.36900000000000005</v>
      </c>
      <c r="AY13" s="89">
        <v>1.4850000000000001</v>
      </c>
      <c r="AZ13" s="89">
        <v>0.47700000000000009</v>
      </c>
      <c r="BA13" s="89">
        <v>0.68500000000000016</v>
      </c>
      <c r="BB13" s="89">
        <v>1.5930000000000002</v>
      </c>
      <c r="BC13" s="89">
        <v>0.47100000000000003</v>
      </c>
      <c r="BD13" s="160">
        <v>0.75</v>
      </c>
      <c r="BE13" s="160">
        <v>0.77</v>
      </c>
      <c r="BF13" s="160">
        <v>0.23</v>
      </c>
      <c r="BG13" s="160">
        <v>2.34</v>
      </c>
      <c r="BH13" s="160">
        <v>7.0000000000000007E-2</v>
      </c>
      <c r="BI13" s="160">
        <v>0.93</v>
      </c>
      <c r="BJ13" s="160">
        <v>0.56999999999999995</v>
      </c>
      <c r="BL13" s="167"/>
    </row>
    <row r="14" spans="1:66" s="88" customFormat="1" ht="14.1" customHeight="1">
      <c r="A14" s="156" t="s">
        <v>275</v>
      </c>
      <c r="B14" s="165" t="s">
        <v>511</v>
      </c>
      <c r="C14" s="165" t="s">
        <v>528</v>
      </c>
      <c r="D14" s="165" t="s">
        <v>513</v>
      </c>
      <c r="E14" s="165" t="s">
        <v>170</v>
      </c>
      <c r="F14" s="165">
        <v>549</v>
      </c>
      <c r="G14" s="165">
        <v>6</v>
      </c>
      <c r="H14" s="165">
        <v>3</v>
      </c>
      <c r="I14" s="165">
        <v>102.1</v>
      </c>
      <c r="J14" s="165">
        <v>124</v>
      </c>
      <c r="K14" s="166" t="s">
        <v>514</v>
      </c>
      <c r="L14" s="165">
        <v>2024</v>
      </c>
      <c r="M14" s="165" t="s">
        <v>171</v>
      </c>
      <c r="N14" s="165">
        <v>10</v>
      </c>
      <c r="O14" s="181">
        <v>41</v>
      </c>
      <c r="P14" s="165" t="s">
        <v>529</v>
      </c>
      <c r="Q14" s="165">
        <v>-70.884</v>
      </c>
      <c r="R14" s="165">
        <v>40.256</v>
      </c>
      <c r="S14" s="165" t="s">
        <v>172</v>
      </c>
      <c r="T14" s="165">
        <v>25</v>
      </c>
      <c r="U14" s="166" t="s">
        <v>516</v>
      </c>
      <c r="V14" s="158">
        <v>0.22700000000000001</v>
      </c>
      <c r="W14" s="158">
        <v>4.4999999999999998E-2</v>
      </c>
      <c r="X14" s="158">
        <v>4.4999999999999998E-2</v>
      </c>
      <c r="Y14" s="157">
        <v>1.2999999999999999E-2</v>
      </c>
      <c r="Z14" s="159">
        <v>7.0000000000000001E-3</v>
      </c>
      <c r="AA14" s="89">
        <v>1.6E-2</v>
      </c>
      <c r="AB14" s="89">
        <v>7.0000000000000001E-3</v>
      </c>
      <c r="AC14" s="89">
        <v>6.0000000000000001E-3</v>
      </c>
      <c r="AD14" s="89">
        <v>1E-3</v>
      </c>
      <c r="AE14" s="89">
        <v>5.8999999999999997E-2</v>
      </c>
      <c r="AF14" s="89">
        <v>-8888</v>
      </c>
      <c r="AG14" s="89">
        <v>7.0000000000000001E-3</v>
      </c>
      <c r="AH14" s="89">
        <v>0.22500000000000001</v>
      </c>
      <c r="AI14" s="89">
        <v>-8888</v>
      </c>
      <c r="AJ14" s="89">
        <v>2E-3</v>
      </c>
      <c r="AK14" s="89">
        <v>4.4999999999999998E-2</v>
      </c>
      <c r="AL14" s="89">
        <v>-8888</v>
      </c>
      <c r="AM14" s="89">
        <v>2.4E-2</v>
      </c>
      <c r="AN14" s="89">
        <v>2.1000000000000001E-2</v>
      </c>
      <c r="AO14" s="89">
        <v>1E-3</v>
      </c>
      <c r="AP14" s="89">
        <v>5.0000000000000001E-3</v>
      </c>
      <c r="AQ14" s="89">
        <v>3.0000000000000001E-3</v>
      </c>
      <c r="AR14" s="89">
        <v>4.0000000000000001E-3</v>
      </c>
      <c r="AS14" s="89">
        <v>1.4E-2</v>
      </c>
      <c r="AT14" s="89">
        <v>1.6E-2</v>
      </c>
      <c r="AU14" s="89">
        <v>-8888</v>
      </c>
      <c r="AV14" s="89">
        <v>0.317</v>
      </c>
      <c r="AW14" s="89">
        <v>3.4000000000000002E-2</v>
      </c>
      <c r="AX14" s="89">
        <v>8.2000000000000003E-2</v>
      </c>
      <c r="AY14" s="89">
        <v>0.39900000000000002</v>
      </c>
      <c r="AZ14" s="89">
        <v>0.11600000000000001</v>
      </c>
      <c r="BA14" s="89">
        <v>0.20600000000000002</v>
      </c>
      <c r="BB14" s="89">
        <v>0.43300000000000005</v>
      </c>
      <c r="BC14" s="89">
        <v>0.14100000000000001</v>
      </c>
      <c r="BD14" s="160">
        <v>0.91</v>
      </c>
      <c r="BE14" s="160">
        <v>0.71</v>
      </c>
      <c r="BF14" s="160">
        <v>0.28999999999999998</v>
      </c>
      <c r="BG14" s="160">
        <v>2.73</v>
      </c>
      <c r="BH14" s="160">
        <v>0.08</v>
      </c>
      <c r="BI14" s="160">
        <v>0.92</v>
      </c>
      <c r="BJ14" s="160">
        <v>0.52</v>
      </c>
      <c r="BL14" s="167"/>
    </row>
    <row r="15" spans="1:66" s="88" customFormat="1" ht="14.1" customHeight="1">
      <c r="A15" s="156" t="s">
        <v>276</v>
      </c>
      <c r="B15" s="165" t="s">
        <v>511</v>
      </c>
      <c r="C15" s="165" t="s">
        <v>530</v>
      </c>
      <c r="D15" s="165" t="s">
        <v>513</v>
      </c>
      <c r="E15" s="165" t="s">
        <v>173</v>
      </c>
      <c r="F15" s="165">
        <v>547</v>
      </c>
      <c r="G15" s="165">
        <v>6</v>
      </c>
      <c r="H15" s="165">
        <v>10</v>
      </c>
      <c r="I15" s="165">
        <v>55.3</v>
      </c>
      <c r="J15" s="165">
        <v>124</v>
      </c>
      <c r="K15" s="166" t="s">
        <v>514</v>
      </c>
      <c r="L15" s="165">
        <v>2024</v>
      </c>
      <c r="M15" s="165" t="s">
        <v>171</v>
      </c>
      <c r="N15" s="165">
        <v>10</v>
      </c>
      <c r="O15" s="181">
        <v>41</v>
      </c>
      <c r="P15" s="165" t="s">
        <v>531</v>
      </c>
      <c r="Q15" s="165">
        <v>-70.884</v>
      </c>
      <c r="R15" s="165">
        <v>40.256999999999998</v>
      </c>
      <c r="S15" s="165" t="s">
        <v>172</v>
      </c>
      <c r="T15" s="165">
        <v>25</v>
      </c>
      <c r="U15" s="166" t="s">
        <v>516</v>
      </c>
      <c r="V15" s="158">
        <v>0.63100000000000001</v>
      </c>
      <c r="W15" s="158">
        <v>0.09</v>
      </c>
      <c r="X15" s="158">
        <v>0.121</v>
      </c>
      <c r="Y15" s="157">
        <v>0.03</v>
      </c>
      <c r="Z15" s="159">
        <v>1.4E-2</v>
      </c>
      <c r="AA15" s="89">
        <v>3.5999999999999997E-2</v>
      </c>
      <c r="AB15" s="89">
        <v>3.5000000000000003E-2</v>
      </c>
      <c r="AC15" s="89">
        <v>2.1999999999999999E-2</v>
      </c>
      <c r="AD15" s="89">
        <v>2E-3</v>
      </c>
      <c r="AE15" s="89">
        <v>0.14199999999999999</v>
      </c>
      <c r="AF15" s="89">
        <v>2.9000000000000001E-2</v>
      </c>
      <c r="AG15" s="89">
        <v>8.9999999999999993E-3</v>
      </c>
      <c r="AH15" s="89">
        <v>0.624</v>
      </c>
      <c r="AI15" s="89">
        <v>-8888</v>
      </c>
      <c r="AJ15" s="89">
        <v>7.0000000000000001E-3</v>
      </c>
      <c r="AK15" s="89">
        <v>0.09</v>
      </c>
      <c r="AL15" s="89">
        <v>-8888</v>
      </c>
      <c r="AM15" s="89">
        <v>7.3999999999999996E-2</v>
      </c>
      <c r="AN15" s="89">
        <v>4.7E-2</v>
      </c>
      <c r="AO15" s="89">
        <v>2E-3</v>
      </c>
      <c r="AP15" s="89">
        <v>0.01</v>
      </c>
      <c r="AQ15" s="89">
        <v>7.0000000000000001E-3</v>
      </c>
      <c r="AR15" s="89">
        <v>7.0000000000000001E-3</v>
      </c>
      <c r="AS15" s="89">
        <v>1.6E-2</v>
      </c>
      <c r="AT15" s="89">
        <v>3.3000000000000002E-2</v>
      </c>
      <c r="AU15" s="89">
        <v>-8888</v>
      </c>
      <c r="AV15" s="89">
        <v>0.84199999999999997</v>
      </c>
      <c r="AW15" s="89">
        <v>9.8000000000000004E-2</v>
      </c>
      <c r="AX15" s="89">
        <v>0.221</v>
      </c>
      <c r="AY15" s="89">
        <v>1.0629999999999999</v>
      </c>
      <c r="AZ15" s="89">
        <v>0.31900000000000001</v>
      </c>
      <c r="BA15" s="89">
        <v>0.53</v>
      </c>
      <c r="BB15" s="89">
        <v>1.161</v>
      </c>
      <c r="BC15" s="89">
        <v>0.35499999999999998</v>
      </c>
      <c r="BD15" s="160">
        <v>0.84</v>
      </c>
      <c r="BE15" s="160">
        <v>0.69</v>
      </c>
      <c r="BF15" s="160">
        <v>0.31</v>
      </c>
      <c r="BG15" s="160">
        <v>2.64</v>
      </c>
      <c r="BH15" s="160">
        <v>0.08</v>
      </c>
      <c r="BI15" s="160">
        <v>0.92</v>
      </c>
      <c r="BJ15" s="160">
        <v>0.54</v>
      </c>
      <c r="BL15" s="167"/>
    </row>
    <row r="16" spans="1:66" s="88" customFormat="1" ht="14.1" customHeight="1">
      <c r="A16" s="156" t="s">
        <v>277</v>
      </c>
      <c r="B16" s="165" t="s">
        <v>511</v>
      </c>
      <c r="C16" s="165" t="s">
        <v>532</v>
      </c>
      <c r="D16" s="165" t="s">
        <v>513</v>
      </c>
      <c r="E16" s="165" t="s">
        <v>173</v>
      </c>
      <c r="F16" s="165">
        <v>547</v>
      </c>
      <c r="G16" s="165">
        <v>6</v>
      </c>
      <c r="H16" s="165">
        <v>10</v>
      </c>
      <c r="I16" s="165">
        <v>55.3</v>
      </c>
      <c r="J16" s="165">
        <v>124</v>
      </c>
      <c r="K16" s="166" t="s">
        <v>514</v>
      </c>
      <c r="L16" s="165">
        <v>2024</v>
      </c>
      <c r="M16" s="165" t="s">
        <v>171</v>
      </c>
      <c r="N16" s="165">
        <v>10</v>
      </c>
      <c r="O16" s="181">
        <v>41</v>
      </c>
      <c r="P16" s="165" t="s">
        <v>531</v>
      </c>
      <c r="Q16" s="165">
        <v>-70.884</v>
      </c>
      <c r="R16" s="165">
        <v>40.256999999999998</v>
      </c>
      <c r="S16" s="165" t="s">
        <v>172</v>
      </c>
      <c r="T16" s="165">
        <v>25</v>
      </c>
      <c r="U16" s="166" t="s">
        <v>516</v>
      </c>
      <c r="V16" s="158">
        <v>0.62</v>
      </c>
      <c r="W16" s="158">
        <v>9.1999999999999998E-2</v>
      </c>
      <c r="X16" s="158">
        <v>0.11899999999999999</v>
      </c>
      <c r="Y16" s="157">
        <v>0.03</v>
      </c>
      <c r="Z16" s="159">
        <v>1.4E-2</v>
      </c>
      <c r="AA16" s="89">
        <v>3.5000000000000003E-2</v>
      </c>
      <c r="AB16" s="89">
        <v>3.3000000000000002E-2</v>
      </c>
      <c r="AC16" s="89">
        <v>0.02</v>
      </c>
      <c r="AD16" s="89">
        <v>2E-3</v>
      </c>
      <c r="AE16" s="89">
        <v>0.14499999999999999</v>
      </c>
      <c r="AF16" s="89">
        <v>2.4E-2</v>
      </c>
      <c r="AG16" s="89">
        <v>8.9999999999999993E-3</v>
      </c>
      <c r="AH16" s="89">
        <v>0.61499999999999999</v>
      </c>
      <c r="AI16" s="89">
        <v>-8888</v>
      </c>
      <c r="AJ16" s="89">
        <v>5.0000000000000001E-3</v>
      </c>
      <c r="AK16" s="89">
        <v>9.1999999999999998E-2</v>
      </c>
      <c r="AL16" s="89">
        <v>-8888</v>
      </c>
      <c r="AM16" s="89">
        <v>7.1999999999999995E-2</v>
      </c>
      <c r="AN16" s="89">
        <v>4.7E-2</v>
      </c>
      <c r="AO16" s="89">
        <v>1E-3</v>
      </c>
      <c r="AP16" s="89">
        <v>1.0999999999999999E-2</v>
      </c>
      <c r="AQ16" s="89">
        <v>7.0000000000000001E-3</v>
      </c>
      <c r="AR16" s="89">
        <v>7.0000000000000001E-3</v>
      </c>
      <c r="AS16" s="89">
        <v>1.7000000000000001E-2</v>
      </c>
      <c r="AT16" s="89">
        <v>3.3000000000000002E-2</v>
      </c>
      <c r="AU16" s="89">
        <v>-8888</v>
      </c>
      <c r="AV16" s="89">
        <v>0.83099999999999996</v>
      </c>
      <c r="AW16" s="89">
        <v>9.4E-2</v>
      </c>
      <c r="AX16" s="89">
        <v>0.218</v>
      </c>
      <c r="AY16" s="89">
        <v>1.0489999999999999</v>
      </c>
      <c r="AZ16" s="89">
        <v>0.312</v>
      </c>
      <c r="BA16" s="89">
        <v>0.52300000000000002</v>
      </c>
      <c r="BB16" s="89">
        <v>1.143</v>
      </c>
      <c r="BC16" s="89">
        <v>0.35199999999999998</v>
      </c>
      <c r="BD16" s="160">
        <v>0.84</v>
      </c>
      <c r="BE16" s="160">
        <v>0.7</v>
      </c>
      <c r="BF16" s="160">
        <v>0.3</v>
      </c>
      <c r="BG16" s="160">
        <v>2.66</v>
      </c>
      <c r="BH16" s="160">
        <v>0.08</v>
      </c>
      <c r="BI16" s="160">
        <v>0.92</v>
      </c>
      <c r="BJ16" s="160">
        <v>0.54</v>
      </c>
      <c r="BL16" s="167"/>
    </row>
    <row r="17" spans="1:64" s="88" customFormat="1" ht="14.1" customHeight="1">
      <c r="A17" s="156" t="s">
        <v>278</v>
      </c>
      <c r="B17" s="165" t="s">
        <v>511</v>
      </c>
      <c r="C17" s="165" t="s">
        <v>533</v>
      </c>
      <c r="D17" s="165" t="s">
        <v>513</v>
      </c>
      <c r="E17" s="165" t="s">
        <v>170</v>
      </c>
      <c r="F17" s="165">
        <v>548</v>
      </c>
      <c r="G17" s="165">
        <v>6</v>
      </c>
      <c r="H17" s="165">
        <v>16</v>
      </c>
      <c r="I17" s="165">
        <v>3.3</v>
      </c>
      <c r="J17" s="165">
        <v>124</v>
      </c>
      <c r="K17" s="166" t="s">
        <v>514</v>
      </c>
      <c r="L17" s="165">
        <v>2024</v>
      </c>
      <c r="M17" s="165" t="s">
        <v>171</v>
      </c>
      <c r="N17" s="165">
        <v>10</v>
      </c>
      <c r="O17" s="181">
        <v>41</v>
      </c>
      <c r="P17" s="165" t="s">
        <v>534</v>
      </c>
      <c r="Q17" s="165">
        <v>-70.884</v>
      </c>
      <c r="R17" s="165">
        <v>40.256999999999998</v>
      </c>
      <c r="S17" s="165" t="s">
        <v>172</v>
      </c>
      <c r="T17" s="165">
        <v>25</v>
      </c>
      <c r="U17" s="166" t="s">
        <v>516</v>
      </c>
      <c r="V17" s="158">
        <v>0.90300000000000002</v>
      </c>
      <c r="W17" s="158">
        <v>6.9000000000000006E-2</v>
      </c>
      <c r="X17" s="158">
        <v>0.13900000000000001</v>
      </c>
      <c r="Y17" s="157">
        <v>0.04</v>
      </c>
      <c r="Z17" s="159">
        <v>0.01</v>
      </c>
      <c r="AA17" s="89">
        <v>1.7000000000000001E-2</v>
      </c>
      <c r="AB17" s="89">
        <v>2.5999999999999999E-2</v>
      </c>
      <c r="AC17" s="89">
        <v>3.5999999999999997E-2</v>
      </c>
      <c r="AD17" s="89">
        <v>4.0000000000000001E-3</v>
      </c>
      <c r="AE17" s="89">
        <v>0.312</v>
      </c>
      <c r="AF17" s="89">
        <v>1.9E-2</v>
      </c>
      <c r="AG17" s="89">
        <v>8.0000000000000002E-3</v>
      </c>
      <c r="AH17" s="89">
        <v>0.89</v>
      </c>
      <c r="AI17" s="89">
        <v>-8888</v>
      </c>
      <c r="AJ17" s="89">
        <v>1.2999999999999999E-2</v>
      </c>
      <c r="AK17" s="89">
        <v>6.9000000000000006E-2</v>
      </c>
      <c r="AL17" s="89">
        <v>-8888</v>
      </c>
      <c r="AM17" s="89">
        <v>9.1999999999999998E-2</v>
      </c>
      <c r="AN17" s="89">
        <v>4.7E-2</v>
      </c>
      <c r="AO17" s="89">
        <v>3.0000000000000001E-3</v>
      </c>
      <c r="AP17" s="89">
        <v>8.0000000000000002E-3</v>
      </c>
      <c r="AQ17" s="89">
        <v>8.9999999999999993E-3</v>
      </c>
      <c r="AR17" s="89">
        <v>0.01</v>
      </c>
      <c r="AS17" s="89">
        <v>2.4E-2</v>
      </c>
      <c r="AT17" s="89">
        <v>0.02</v>
      </c>
      <c r="AU17" s="89">
        <v>-8888</v>
      </c>
      <c r="AV17" s="89">
        <v>1.111</v>
      </c>
      <c r="AW17" s="89">
        <v>0.11400000000000002</v>
      </c>
      <c r="AX17" s="89">
        <v>0.35800000000000004</v>
      </c>
      <c r="AY17" s="89">
        <v>1.4690000000000001</v>
      </c>
      <c r="AZ17" s="89">
        <v>0.47200000000000009</v>
      </c>
      <c r="BA17" s="89">
        <v>0.68000000000000016</v>
      </c>
      <c r="BB17" s="89">
        <v>1.5830000000000002</v>
      </c>
      <c r="BC17" s="89">
        <v>0.46100000000000008</v>
      </c>
      <c r="BD17" s="160">
        <v>0.75</v>
      </c>
      <c r="BE17" s="160">
        <v>0.76</v>
      </c>
      <c r="BF17" s="160">
        <v>0.24</v>
      </c>
      <c r="BG17" s="160">
        <v>2.35</v>
      </c>
      <c r="BH17" s="160">
        <v>7.0000000000000007E-2</v>
      </c>
      <c r="BI17" s="160">
        <v>0.93</v>
      </c>
      <c r="BJ17" s="160">
        <v>0.56999999999999995</v>
      </c>
      <c r="BL17" s="167"/>
    </row>
    <row r="18" spans="1:64" s="88" customFormat="1" ht="14.1" customHeight="1">
      <c r="A18" s="156" t="s">
        <v>279</v>
      </c>
      <c r="B18" s="165" t="s">
        <v>511</v>
      </c>
      <c r="C18" s="165" t="s">
        <v>535</v>
      </c>
      <c r="D18" s="165" t="s">
        <v>513</v>
      </c>
      <c r="E18" s="165" t="s">
        <v>170</v>
      </c>
      <c r="F18" s="165">
        <v>549</v>
      </c>
      <c r="G18" s="165">
        <v>7</v>
      </c>
      <c r="H18" s="165">
        <v>5</v>
      </c>
      <c r="I18" s="165">
        <v>45.3</v>
      </c>
      <c r="J18" s="165">
        <v>447</v>
      </c>
      <c r="K18" s="166" t="s">
        <v>514</v>
      </c>
      <c r="L18" s="165">
        <v>2024</v>
      </c>
      <c r="M18" s="165" t="s">
        <v>171</v>
      </c>
      <c r="N18" s="165">
        <v>11</v>
      </c>
      <c r="O18" s="181">
        <v>42</v>
      </c>
      <c r="P18" s="165" t="s">
        <v>536</v>
      </c>
      <c r="Q18" s="165">
        <v>-70.887</v>
      </c>
      <c r="R18" s="165">
        <v>39.933999999999997</v>
      </c>
      <c r="S18" s="165" t="s">
        <v>172</v>
      </c>
      <c r="T18" s="165">
        <v>25</v>
      </c>
      <c r="U18" s="166" t="s">
        <v>516</v>
      </c>
      <c r="V18" s="158">
        <v>0.40899999999999997</v>
      </c>
      <c r="W18" s="158">
        <v>9.1999999999999998E-2</v>
      </c>
      <c r="X18" s="158">
        <v>7.9999999999999988E-2</v>
      </c>
      <c r="Y18" s="157">
        <v>2.3E-2</v>
      </c>
      <c r="Z18" s="159">
        <v>2.1999999999999999E-2</v>
      </c>
      <c r="AA18" s="89">
        <v>4.8000000000000001E-2</v>
      </c>
      <c r="AB18" s="89">
        <v>1.6E-2</v>
      </c>
      <c r="AC18" s="89">
        <v>1.0999999999999999E-2</v>
      </c>
      <c r="AD18" s="89">
        <v>1E-3</v>
      </c>
      <c r="AE18" s="89">
        <v>6.2E-2</v>
      </c>
      <c r="AF18" s="89">
        <v>4.0000000000000001E-3</v>
      </c>
      <c r="AG18" s="89">
        <v>1.4999999999999999E-2</v>
      </c>
      <c r="AH18" s="89">
        <v>0.40699999999999997</v>
      </c>
      <c r="AI18" s="89">
        <v>-8888</v>
      </c>
      <c r="AJ18" s="89">
        <v>2E-3</v>
      </c>
      <c r="AK18" s="89">
        <v>9.1999999999999998E-2</v>
      </c>
      <c r="AL18" s="89">
        <v>-8888</v>
      </c>
      <c r="AM18" s="89">
        <v>4.2999999999999997E-2</v>
      </c>
      <c r="AN18" s="89">
        <v>3.6999999999999998E-2</v>
      </c>
      <c r="AO18" s="89">
        <v>1E-3</v>
      </c>
      <c r="AP18" s="89">
        <v>0.01</v>
      </c>
      <c r="AQ18" s="89">
        <v>4.0000000000000001E-3</v>
      </c>
      <c r="AR18" s="89">
        <v>5.0000000000000001E-3</v>
      </c>
      <c r="AS18" s="89">
        <v>2.1000000000000001E-2</v>
      </c>
      <c r="AT18" s="89">
        <v>2.8000000000000001E-2</v>
      </c>
      <c r="AU18" s="89">
        <v>-8888</v>
      </c>
      <c r="AV18" s="89">
        <v>0.58099999999999996</v>
      </c>
      <c r="AW18" s="89">
        <v>6.6000000000000003E-2</v>
      </c>
      <c r="AX18" s="89">
        <v>0.13600000000000001</v>
      </c>
      <c r="AY18" s="89">
        <v>0.71699999999999997</v>
      </c>
      <c r="AZ18" s="89">
        <v>0.20200000000000001</v>
      </c>
      <c r="BA18" s="89">
        <v>0.374</v>
      </c>
      <c r="BB18" s="89">
        <v>0.78299999999999992</v>
      </c>
      <c r="BC18" s="89">
        <v>0.25900000000000001</v>
      </c>
      <c r="BD18" s="160">
        <v>0.91</v>
      </c>
      <c r="BE18" s="160">
        <v>0.67</v>
      </c>
      <c r="BF18" s="160">
        <v>0.33</v>
      </c>
      <c r="BG18" s="160">
        <v>2.88</v>
      </c>
      <c r="BH18" s="160">
        <v>0.08</v>
      </c>
      <c r="BI18" s="160">
        <v>0.92</v>
      </c>
      <c r="BJ18" s="160">
        <v>0.52</v>
      </c>
      <c r="BL18" s="167"/>
    </row>
    <row r="19" spans="1:64" s="88" customFormat="1" ht="14.1" customHeight="1">
      <c r="A19" s="156" t="s">
        <v>280</v>
      </c>
      <c r="B19" s="165" t="s">
        <v>511</v>
      </c>
      <c r="C19" s="165" t="s">
        <v>537</v>
      </c>
      <c r="D19" s="165" t="s">
        <v>513</v>
      </c>
      <c r="E19" s="165" t="s">
        <v>170</v>
      </c>
      <c r="F19" s="165">
        <v>547</v>
      </c>
      <c r="G19" s="165">
        <v>7</v>
      </c>
      <c r="H19" s="165">
        <v>11</v>
      </c>
      <c r="I19" s="165">
        <v>14.4</v>
      </c>
      <c r="J19" s="165">
        <v>447</v>
      </c>
      <c r="K19" s="166" t="s">
        <v>514</v>
      </c>
      <c r="L19" s="165">
        <v>2024</v>
      </c>
      <c r="M19" s="165" t="s">
        <v>171</v>
      </c>
      <c r="N19" s="165">
        <v>11</v>
      </c>
      <c r="O19" s="181">
        <v>42</v>
      </c>
      <c r="P19" s="165" t="s">
        <v>538</v>
      </c>
      <c r="Q19" s="165">
        <v>-70.888000000000005</v>
      </c>
      <c r="R19" s="165">
        <v>39.933</v>
      </c>
      <c r="S19" s="165" t="s">
        <v>172</v>
      </c>
      <c r="T19" s="165">
        <v>25</v>
      </c>
      <c r="U19" s="166" t="s">
        <v>516</v>
      </c>
      <c r="V19" s="158">
        <v>1.0239999999999998</v>
      </c>
      <c r="W19" s="158">
        <v>0.14299999999999999</v>
      </c>
      <c r="X19" s="158">
        <v>0.16300000000000001</v>
      </c>
      <c r="Y19" s="157">
        <v>5.8999999999999997E-2</v>
      </c>
      <c r="Z19" s="159">
        <v>2.5000000000000001E-2</v>
      </c>
      <c r="AA19" s="89">
        <v>7.6999999999999999E-2</v>
      </c>
      <c r="AB19" s="89">
        <v>0.10299999999999999</v>
      </c>
      <c r="AC19" s="89">
        <v>4.8000000000000001E-2</v>
      </c>
      <c r="AD19" s="89">
        <v>8.0000000000000002E-3</v>
      </c>
      <c r="AE19" s="89">
        <v>9.8000000000000004E-2</v>
      </c>
      <c r="AF19" s="89">
        <v>5.3999999999999999E-2</v>
      </c>
      <c r="AG19" s="89">
        <v>1.9E-2</v>
      </c>
      <c r="AH19" s="89">
        <v>1.0169999999999999</v>
      </c>
      <c r="AI19" s="89">
        <v>-8888</v>
      </c>
      <c r="AJ19" s="89">
        <v>7.0000000000000001E-3</v>
      </c>
      <c r="AK19" s="89">
        <v>0.14299999999999999</v>
      </c>
      <c r="AL19" s="89">
        <v>-8888</v>
      </c>
      <c r="AM19" s="89">
        <v>0.11700000000000001</v>
      </c>
      <c r="AN19" s="89">
        <v>4.5999999999999999E-2</v>
      </c>
      <c r="AO19" s="89">
        <v>6.0000000000000001E-3</v>
      </c>
      <c r="AP19" s="89">
        <v>1.4999999999999999E-2</v>
      </c>
      <c r="AQ19" s="89">
        <v>0.02</v>
      </c>
      <c r="AR19" s="89">
        <v>0.01</v>
      </c>
      <c r="AS19" s="89">
        <v>1.0999999999999999E-2</v>
      </c>
      <c r="AT19" s="89">
        <v>3.5999999999999997E-2</v>
      </c>
      <c r="AU19" s="89">
        <v>-8888</v>
      </c>
      <c r="AV19" s="89">
        <v>1.3299999999999998</v>
      </c>
      <c r="AW19" s="89">
        <v>0.23699999999999999</v>
      </c>
      <c r="AX19" s="89">
        <v>0.254</v>
      </c>
      <c r="AY19" s="89">
        <v>1.5839999999999999</v>
      </c>
      <c r="AZ19" s="89">
        <v>0.49099999999999999</v>
      </c>
      <c r="BA19" s="89">
        <v>0.79700000000000004</v>
      </c>
      <c r="BB19" s="89">
        <v>1.8209999999999997</v>
      </c>
      <c r="BC19" s="89">
        <v>0.51900000000000002</v>
      </c>
      <c r="BD19" s="160">
        <v>0.78</v>
      </c>
      <c r="BE19" s="160">
        <v>0.52</v>
      </c>
      <c r="BF19" s="160">
        <v>0.48</v>
      </c>
      <c r="BG19" s="160">
        <v>2.71</v>
      </c>
      <c r="BH19" s="160">
        <v>0.13</v>
      </c>
      <c r="BI19" s="160">
        <v>0.87</v>
      </c>
      <c r="BJ19" s="160">
        <v>0.56000000000000005</v>
      </c>
      <c r="BL19" s="167"/>
    </row>
    <row r="20" spans="1:64" s="88" customFormat="1" ht="14.1" customHeight="1">
      <c r="A20" s="156" t="s">
        <v>281</v>
      </c>
      <c r="B20" s="165" t="s">
        <v>511</v>
      </c>
      <c r="C20" s="165" t="s">
        <v>539</v>
      </c>
      <c r="D20" s="165" t="s">
        <v>513</v>
      </c>
      <c r="E20" s="165" t="s">
        <v>170</v>
      </c>
      <c r="F20" s="165">
        <v>548</v>
      </c>
      <c r="G20" s="165">
        <v>7</v>
      </c>
      <c r="H20" s="165">
        <v>19</v>
      </c>
      <c r="I20" s="165">
        <v>3</v>
      </c>
      <c r="J20" s="165">
        <v>447</v>
      </c>
      <c r="K20" s="166" t="s">
        <v>514</v>
      </c>
      <c r="L20" s="165">
        <v>2024</v>
      </c>
      <c r="M20" s="165" t="s">
        <v>171</v>
      </c>
      <c r="N20" s="165">
        <v>11</v>
      </c>
      <c r="O20" s="181">
        <v>42</v>
      </c>
      <c r="P20" s="165" t="s">
        <v>540</v>
      </c>
      <c r="Q20" s="165">
        <v>-70.888999999999996</v>
      </c>
      <c r="R20" s="165">
        <v>39.932000000000002</v>
      </c>
      <c r="S20" s="165" t="s">
        <v>172</v>
      </c>
      <c r="T20" s="165">
        <v>25</v>
      </c>
      <c r="U20" s="166" t="s">
        <v>516</v>
      </c>
      <c r="V20" s="158">
        <v>0.77500000000000002</v>
      </c>
      <c r="W20" s="158">
        <v>0.114</v>
      </c>
      <c r="X20" s="158">
        <v>0.13</v>
      </c>
      <c r="Y20" s="157">
        <v>4.2000000000000003E-2</v>
      </c>
      <c r="Z20" s="159">
        <v>1.9E-2</v>
      </c>
      <c r="AA20" s="89">
        <v>0.06</v>
      </c>
      <c r="AB20" s="89">
        <v>7.0000000000000007E-2</v>
      </c>
      <c r="AC20" s="89">
        <v>4.3999999999999997E-2</v>
      </c>
      <c r="AD20" s="89">
        <v>6.0000000000000001E-3</v>
      </c>
      <c r="AE20" s="89">
        <v>0.10199999999999999</v>
      </c>
      <c r="AF20" s="89">
        <v>3.6999999999999998E-2</v>
      </c>
      <c r="AG20" s="89">
        <v>1.4999999999999999E-2</v>
      </c>
      <c r="AH20" s="89">
        <v>0.76900000000000002</v>
      </c>
      <c r="AI20" s="89">
        <v>-8888</v>
      </c>
      <c r="AJ20" s="89">
        <v>6.0000000000000001E-3</v>
      </c>
      <c r="AK20" s="89">
        <v>0.114</v>
      </c>
      <c r="AL20" s="89">
        <v>-8888</v>
      </c>
      <c r="AM20" s="89">
        <v>8.8999999999999996E-2</v>
      </c>
      <c r="AN20" s="89">
        <v>4.1000000000000002E-2</v>
      </c>
      <c r="AO20" s="89">
        <v>4.0000000000000001E-3</v>
      </c>
      <c r="AP20" s="89">
        <v>1.2999999999999999E-2</v>
      </c>
      <c r="AQ20" s="89">
        <v>1.7000000000000001E-2</v>
      </c>
      <c r="AR20" s="89">
        <v>7.0000000000000001E-3</v>
      </c>
      <c r="AS20" s="89">
        <v>0.01</v>
      </c>
      <c r="AT20" s="89">
        <v>3.2000000000000001E-2</v>
      </c>
      <c r="AU20" s="89">
        <v>-8888</v>
      </c>
      <c r="AV20" s="89">
        <v>1.0190000000000001</v>
      </c>
      <c r="AW20" s="89">
        <v>0.17700000000000002</v>
      </c>
      <c r="AX20" s="89">
        <v>0.218</v>
      </c>
      <c r="AY20" s="89">
        <v>1.2370000000000001</v>
      </c>
      <c r="AZ20" s="89">
        <v>0.39500000000000002</v>
      </c>
      <c r="BA20" s="89">
        <v>0.63900000000000001</v>
      </c>
      <c r="BB20" s="89">
        <v>1.4140000000000001</v>
      </c>
      <c r="BC20" s="89">
        <v>0.41700000000000004</v>
      </c>
      <c r="BD20" s="160">
        <v>0.82</v>
      </c>
      <c r="BE20" s="160">
        <v>0.55000000000000004</v>
      </c>
      <c r="BF20" s="160">
        <v>0.45</v>
      </c>
      <c r="BG20" s="160">
        <v>2.58</v>
      </c>
      <c r="BH20" s="160">
        <v>0.13</v>
      </c>
      <c r="BI20" s="160">
        <v>0.87</v>
      </c>
      <c r="BJ20" s="160">
        <v>0.55000000000000004</v>
      </c>
      <c r="BL20" s="167"/>
    </row>
    <row r="21" spans="1:64" s="88" customFormat="1" ht="14.1" customHeight="1">
      <c r="A21" s="156" t="s">
        <v>282</v>
      </c>
      <c r="B21" s="165" t="s">
        <v>511</v>
      </c>
      <c r="C21" s="165" t="s">
        <v>541</v>
      </c>
      <c r="D21" s="165" t="s">
        <v>513</v>
      </c>
      <c r="E21" s="165" t="s">
        <v>170</v>
      </c>
      <c r="F21" s="165">
        <v>1055</v>
      </c>
      <c r="G21" s="165">
        <v>10</v>
      </c>
      <c r="H21" s="165">
        <v>6</v>
      </c>
      <c r="I21" s="165">
        <v>43.3</v>
      </c>
      <c r="J21" s="165">
        <v>1591</v>
      </c>
      <c r="K21" s="166" t="s">
        <v>514</v>
      </c>
      <c r="L21" s="165">
        <v>2024</v>
      </c>
      <c r="M21" s="165" t="s">
        <v>171</v>
      </c>
      <c r="N21" s="165">
        <v>11</v>
      </c>
      <c r="O21" s="181">
        <v>42</v>
      </c>
      <c r="P21" s="165" t="s">
        <v>542</v>
      </c>
      <c r="Q21" s="165">
        <v>-70.897999999999996</v>
      </c>
      <c r="R21" s="165">
        <v>39.758000000000003</v>
      </c>
      <c r="S21" s="165" t="s">
        <v>172</v>
      </c>
      <c r="T21" s="165">
        <v>25</v>
      </c>
      <c r="U21" s="166" t="s">
        <v>516</v>
      </c>
      <c r="V21" s="158">
        <v>0.28100000000000003</v>
      </c>
      <c r="W21" s="158">
        <v>6.3E-2</v>
      </c>
      <c r="X21" s="158">
        <v>5.7999999999999996E-2</v>
      </c>
      <c r="Y21" s="157">
        <v>1.6E-2</v>
      </c>
      <c r="Z21" s="159">
        <v>1.4999999999999999E-2</v>
      </c>
      <c r="AA21" s="89">
        <v>3.1E-2</v>
      </c>
      <c r="AB21" s="89">
        <v>1.2E-2</v>
      </c>
      <c r="AC21" s="89">
        <v>8.9999999999999993E-3</v>
      </c>
      <c r="AD21" s="89">
        <v>1E-3</v>
      </c>
      <c r="AE21" s="89">
        <v>4.9000000000000002E-2</v>
      </c>
      <c r="AF21" s="89">
        <v>5.0000000000000001E-3</v>
      </c>
      <c r="AG21" s="89">
        <v>0.01</v>
      </c>
      <c r="AH21" s="89">
        <v>0.27900000000000003</v>
      </c>
      <c r="AI21" s="89">
        <v>-8888</v>
      </c>
      <c r="AJ21" s="89">
        <v>2E-3</v>
      </c>
      <c r="AK21" s="89">
        <v>6.3E-2</v>
      </c>
      <c r="AL21" s="89">
        <v>-8888</v>
      </c>
      <c r="AM21" s="89">
        <v>3.1E-2</v>
      </c>
      <c r="AN21" s="89">
        <v>2.7E-2</v>
      </c>
      <c r="AO21" s="89">
        <v>1E-3</v>
      </c>
      <c r="AP21" s="89">
        <v>7.0000000000000001E-3</v>
      </c>
      <c r="AQ21" s="89">
        <v>3.0000000000000001E-3</v>
      </c>
      <c r="AR21" s="89">
        <v>4.0000000000000001E-3</v>
      </c>
      <c r="AS21" s="89">
        <v>1.2E-2</v>
      </c>
      <c r="AT21" s="89">
        <v>1.9E-2</v>
      </c>
      <c r="AU21" s="89">
        <v>-8888</v>
      </c>
      <c r="AV21" s="89">
        <v>0.40200000000000002</v>
      </c>
      <c r="AW21" s="89">
        <v>4.8000000000000001E-2</v>
      </c>
      <c r="AX21" s="89">
        <v>0.1</v>
      </c>
      <c r="AY21" s="89">
        <v>0.502</v>
      </c>
      <c r="AZ21" s="89">
        <v>0.14800000000000002</v>
      </c>
      <c r="BA21" s="89">
        <v>0.26900000000000002</v>
      </c>
      <c r="BB21" s="89">
        <v>0.55000000000000004</v>
      </c>
      <c r="BC21" s="89">
        <v>0.185</v>
      </c>
      <c r="BD21" s="160">
        <v>0.96</v>
      </c>
      <c r="BE21" s="160">
        <v>0.68</v>
      </c>
      <c r="BF21" s="160">
        <v>0.32</v>
      </c>
      <c r="BG21" s="160">
        <v>2.72</v>
      </c>
      <c r="BH21" s="160">
        <v>0.09</v>
      </c>
      <c r="BI21" s="160">
        <v>0.91</v>
      </c>
      <c r="BJ21" s="160">
        <v>0.51</v>
      </c>
      <c r="BL21" s="167"/>
    </row>
    <row r="22" spans="1:64" s="88" customFormat="1" ht="14.1" customHeight="1">
      <c r="A22" s="156" t="s">
        <v>284</v>
      </c>
      <c r="B22" s="165" t="s">
        <v>511</v>
      </c>
      <c r="C22" s="165" t="s">
        <v>543</v>
      </c>
      <c r="D22" s="165" t="s">
        <v>513</v>
      </c>
      <c r="E22" s="165" t="s">
        <v>170</v>
      </c>
      <c r="F22" s="165">
        <v>1060</v>
      </c>
      <c r="G22" s="165">
        <v>10</v>
      </c>
      <c r="H22" s="165">
        <v>9</v>
      </c>
      <c r="I22" s="165">
        <v>26.4</v>
      </c>
      <c r="J22" s="165">
        <v>1591</v>
      </c>
      <c r="K22" s="166" t="s">
        <v>514</v>
      </c>
      <c r="L22" s="165">
        <v>2024</v>
      </c>
      <c r="M22" s="165" t="s">
        <v>171</v>
      </c>
      <c r="N22" s="165">
        <v>11</v>
      </c>
      <c r="O22" s="181">
        <v>42</v>
      </c>
      <c r="P22" s="165" t="s">
        <v>544</v>
      </c>
      <c r="Q22" s="165">
        <v>-70.899000000000001</v>
      </c>
      <c r="R22" s="165">
        <v>39.756999999999998</v>
      </c>
      <c r="S22" s="165" t="s">
        <v>172</v>
      </c>
      <c r="T22" s="165">
        <v>25</v>
      </c>
      <c r="U22" s="166" t="s">
        <v>516</v>
      </c>
      <c r="V22" s="158">
        <v>0.56900000000000006</v>
      </c>
      <c r="W22" s="158">
        <v>8.5000000000000006E-2</v>
      </c>
      <c r="X22" s="158">
        <v>0.12000000000000001</v>
      </c>
      <c r="Y22" s="157">
        <v>2.5999999999999999E-2</v>
      </c>
      <c r="Z22" s="159">
        <v>0.02</v>
      </c>
      <c r="AA22" s="89">
        <v>5.7000000000000002E-2</v>
      </c>
      <c r="AB22" s="89">
        <v>3.2000000000000001E-2</v>
      </c>
      <c r="AC22" s="89">
        <v>1.9E-2</v>
      </c>
      <c r="AD22" s="89">
        <v>3.0000000000000001E-3</v>
      </c>
      <c r="AE22" s="89">
        <v>0.115</v>
      </c>
      <c r="AF22" s="89">
        <v>1.2999999999999999E-2</v>
      </c>
      <c r="AG22" s="89">
        <v>0.01</v>
      </c>
      <c r="AH22" s="89">
        <v>0.56100000000000005</v>
      </c>
      <c r="AI22" s="89">
        <v>-8888</v>
      </c>
      <c r="AJ22" s="89">
        <v>8.0000000000000002E-3</v>
      </c>
      <c r="AK22" s="89">
        <v>8.5000000000000006E-2</v>
      </c>
      <c r="AL22" s="89">
        <v>-8888</v>
      </c>
      <c r="AM22" s="89">
        <v>7.0000000000000007E-2</v>
      </c>
      <c r="AN22" s="89">
        <v>0.05</v>
      </c>
      <c r="AO22" s="89">
        <v>2E-3</v>
      </c>
      <c r="AP22" s="89">
        <v>8.9999999999999993E-3</v>
      </c>
      <c r="AQ22" s="89">
        <v>6.0000000000000001E-3</v>
      </c>
      <c r="AR22" s="89">
        <v>7.0000000000000001E-3</v>
      </c>
      <c r="AS22" s="89">
        <v>1.2E-2</v>
      </c>
      <c r="AT22" s="89">
        <v>2.8000000000000001E-2</v>
      </c>
      <c r="AU22" s="89">
        <v>-8888</v>
      </c>
      <c r="AV22" s="89">
        <v>0.77400000000000002</v>
      </c>
      <c r="AW22" s="89">
        <v>0.09</v>
      </c>
      <c r="AX22" s="89">
        <v>0.20500000000000002</v>
      </c>
      <c r="AY22" s="89">
        <v>0.97900000000000009</v>
      </c>
      <c r="AZ22" s="89">
        <v>0.29500000000000004</v>
      </c>
      <c r="BA22" s="89">
        <v>0.50000000000000011</v>
      </c>
      <c r="BB22" s="89">
        <v>1.0690000000000002</v>
      </c>
      <c r="BC22" s="89">
        <v>0.33200000000000002</v>
      </c>
      <c r="BD22" s="160">
        <v>0.88</v>
      </c>
      <c r="BE22" s="160">
        <v>0.69</v>
      </c>
      <c r="BF22" s="160">
        <v>0.31</v>
      </c>
      <c r="BG22" s="160">
        <v>2.62</v>
      </c>
      <c r="BH22" s="160">
        <v>0.08</v>
      </c>
      <c r="BI22" s="160">
        <v>0.92</v>
      </c>
      <c r="BJ22" s="160">
        <v>0.53</v>
      </c>
      <c r="BL22" s="167"/>
    </row>
    <row r="23" spans="1:64" s="88" customFormat="1" ht="14.1" customHeight="1">
      <c r="A23" s="156" t="s">
        <v>285</v>
      </c>
      <c r="B23" s="165" t="s">
        <v>511</v>
      </c>
      <c r="C23" s="165" t="s">
        <v>545</v>
      </c>
      <c r="D23" s="165" t="s">
        <v>513</v>
      </c>
      <c r="E23" s="165" t="s">
        <v>170</v>
      </c>
      <c r="F23" s="165">
        <v>548</v>
      </c>
      <c r="G23" s="165">
        <v>10</v>
      </c>
      <c r="H23" s="165">
        <v>18</v>
      </c>
      <c r="I23" s="165">
        <v>3.3</v>
      </c>
      <c r="J23" s="165">
        <v>1591</v>
      </c>
      <c r="K23" s="166" t="s">
        <v>514</v>
      </c>
      <c r="L23" s="165">
        <v>2024</v>
      </c>
      <c r="M23" s="165" t="s">
        <v>171</v>
      </c>
      <c r="N23" s="165">
        <v>11</v>
      </c>
      <c r="O23" s="181">
        <v>42</v>
      </c>
      <c r="P23" s="165" t="s">
        <v>546</v>
      </c>
      <c r="Q23" s="165">
        <v>-70.902000000000001</v>
      </c>
      <c r="R23" s="165">
        <v>39.755000000000003</v>
      </c>
      <c r="S23" s="165" t="s">
        <v>172</v>
      </c>
      <c r="T23" s="165">
        <v>25</v>
      </c>
      <c r="U23" s="166" t="s">
        <v>516</v>
      </c>
      <c r="V23" s="158">
        <v>0.75800000000000001</v>
      </c>
      <c r="W23" s="158">
        <v>0.115</v>
      </c>
      <c r="X23" s="158">
        <v>0.13900000000000001</v>
      </c>
      <c r="Y23" s="157">
        <v>3.9E-2</v>
      </c>
      <c r="Z23" s="159">
        <v>2.1999999999999999E-2</v>
      </c>
      <c r="AA23" s="89">
        <v>0.06</v>
      </c>
      <c r="AB23" s="89">
        <v>0.05</v>
      </c>
      <c r="AC23" s="89">
        <v>3.3000000000000002E-2</v>
      </c>
      <c r="AD23" s="89">
        <v>5.0000000000000001E-3</v>
      </c>
      <c r="AE23" s="89">
        <v>0.126</v>
      </c>
      <c r="AF23" s="89">
        <v>3.5000000000000003E-2</v>
      </c>
      <c r="AG23" s="89">
        <v>1.0999999999999999E-2</v>
      </c>
      <c r="AH23" s="89">
        <v>0.74199999999999999</v>
      </c>
      <c r="AI23" s="89">
        <v>-8888</v>
      </c>
      <c r="AJ23" s="89">
        <v>1.6E-2</v>
      </c>
      <c r="AK23" s="89">
        <v>0.115</v>
      </c>
      <c r="AL23" s="89">
        <v>-8888</v>
      </c>
      <c r="AM23" s="89">
        <v>9.0999999999999998E-2</v>
      </c>
      <c r="AN23" s="89">
        <v>4.8000000000000001E-2</v>
      </c>
      <c r="AO23" s="89">
        <v>3.0000000000000001E-3</v>
      </c>
      <c r="AP23" s="89">
        <v>1.2999999999999999E-2</v>
      </c>
      <c r="AQ23" s="89">
        <v>1.4999999999999999E-2</v>
      </c>
      <c r="AR23" s="89">
        <v>7.0000000000000001E-3</v>
      </c>
      <c r="AS23" s="89">
        <v>1.2E-2</v>
      </c>
      <c r="AT23" s="89">
        <v>3.5000000000000003E-2</v>
      </c>
      <c r="AU23" s="89">
        <v>-8888</v>
      </c>
      <c r="AV23" s="89">
        <v>1.012</v>
      </c>
      <c r="AW23" s="89">
        <v>0.13800000000000001</v>
      </c>
      <c r="AX23" s="89">
        <v>0.24299999999999999</v>
      </c>
      <c r="AY23" s="89">
        <v>1.2549999999999999</v>
      </c>
      <c r="AZ23" s="89">
        <v>0.38100000000000001</v>
      </c>
      <c r="BA23" s="89">
        <v>0.63500000000000001</v>
      </c>
      <c r="BB23" s="89">
        <v>1.393</v>
      </c>
      <c r="BC23" s="89">
        <v>0.41900000000000004</v>
      </c>
      <c r="BD23" s="160">
        <v>0.84</v>
      </c>
      <c r="BE23" s="160">
        <v>0.64</v>
      </c>
      <c r="BF23" s="160">
        <v>0.36</v>
      </c>
      <c r="BG23" s="160">
        <v>2.66</v>
      </c>
      <c r="BH23" s="160">
        <v>0.1</v>
      </c>
      <c r="BI23" s="160">
        <v>0.9</v>
      </c>
      <c r="BJ23" s="160">
        <v>0.54</v>
      </c>
      <c r="BL23" s="167"/>
    </row>
    <row r="24" spans="1:64" s="88" customFormat="1" ht="14.1" customHeight="1">
      <c r="A24" s="156" t="s">
        <v>286</v>
      </c>
      <c r="B24" s="165" t="s">
        <v>511</v>
      </c>
      <c r="C24" s="165" t="s">
        <v>547</v>
      </c>
      <c r="D24" s="165" t="s">
        <v>513</v>
      </c>
      <c r="E24" s="165" t="s">
        <v>170</v>
      </c>
      <c r="F24" s="165">
        <v>547</v>
      </c>
      <c r="G24" s="165">
        <v>11</v>
      </c>
      <c r="H24" s="165">
        <v>19</v>
      </c>
      <c r="I24" s="165">
        <v>20.5</v>
      </c>
      <c r="J24" s="165">
        <v>210</v>
      </c>
      <c r="K24" s="166" t="s">
        <v>514</v>
      </c>
      <c r="L24" s="165">
        <v>2024</v>
      </c>
      <c r="M24" s="165" t="s">
        <v>171</v>
      </c>
      <c r="N24" s="165">
        <v>11</v>
      </c>
      <c r="O24" s="181">
        <v>42</v>
      </c>
      <c r="P24" s="165" t="s">
        <v>548</v>
      </c>
      <c r="Q24" s="165">
        <v>-70.896000000000001</v>
      </c>
      <c r="R24" s="165">
        <v>40.043999999999997</v>
      </c>
      <c r="S24" s="165" t="s">
        <v>172</v>
      </c>
      <c r="T24" s="165">
        <v>25</v>
      </c>
      <c r="U24" s="166" t="s">
        <v>516</v>
      </c>
      <c r="V24" s="158">
        <v>0.85399999999999998</v>
      </c>
      <c r="W24" s="158">
        <v>0.18099999999999999</v>
      </c>
      <c r="X24" s="158">
        <v>0.157</v>
      </c>
      <c r="Y24" s="157">
        <v>4.4999999999999998E-2</v>
      </c>
      <c r="Z24" s="159">
        <v>3.2000000000000001E-2</v>
      </c>
      <c r="AA24" s="89">
        <v>9.0999999999999998E-2</v>
      </c>
      <c r="AB24" s="89">
        <v>5.1999999999999998E-2</v>
      </c>
      <c r="AC24" s="89">
        <v>2.3E-2</v>
      </c>
      <c r="AD24" s="89">
        <v>3.0000000000000001E-3</v>
      </c>
      <c r="AE24" s="89">
        <v>0.115</v>
      </c>
      <c r="AF24" s="89">
        <v>1.2999999999999999E-2</v>
      </c>
      <c r="AG24" s="89">
        <v>2.4E-2</v>
      </c>
      <c r="AH24" s="89">
        <v>0.84599999999999997</v>
      </c>
      <c r="AI24" s="89">
        <v>-8888</v>
      </c>
      <c r="AJ24" s="89">
        <v>8.0000000000000002E-3</v>
      </c>
      <c r="AK24" s="89">
        <v>0.18099999999999999</v>
      </c>
      <c r="AL24" s="89">
        <v>-8888</v>
      </c>
      <c r="AM24" s="89">
        <v>9.8000000000000004E-2</v>
      </c>
      <c r="AN24" s="89">
        <v>5.8999999999999997E-2</v>
      </c>
      <c r="AO24" s="89">
        <v>2E-3</v>
      </c>
      <c r="AP24" s="89">
        <v>2.1000000000000001E-2</v>
      </c>
      <c r="AQ24" s="89">
        <v>1.4E-2</v>
      </c>
      <c r="AR24" s="89">
        <v>8.9999999999999993E-3</v>
      </c>
      <c r="AS24" s="89">
        <v>1.7000000000000001E-2</v>
      </c>
      <c r="AT24" s="89">
        <v>5.2999999999999999E-2</v>
      </c>
      <c r="AU24" s="89">
        <v>-8888</v>
      </c>
      <c r="AV24" s="89">
        <v>1.1919999999999999</v>
      </c>
      <c r="AW24" s="89">
        <v>0.14700000000000002</v>
      </c>
      <c r="AX24" s="89">
        <v>0.251</v>
      </c>
      <c r="AY24" s="89">
        <v>1.4430000000000001</v>
      </c>
      <c r="AZ24" s="89">
        <v>0.39800000000000002</v>
      </c>
      <c r="BA24" s="89">
        <v>0.73599999999999999</v>
      </c>
      <c r="BB24" s="89">
        <v>1.5899999999999999</v>
      </c>
      <c r="BC24" s="89">
        <v>0.50800000000000001</v>
      </c>
      <c r="BD24" s="160">
        <v>0.86</v>
      </c>
      <c r="BE24" s="160">
        <v>0.63</v>
      </c>
      <c r="BF24" s="160">
        <v>0.37</v>
      </c>
      <c r="BG24" s="160">
        <v>2.99</v>
      </c>
      <c r="BH24" s="160">
        <v>0.09</v>
      </c>
      <c r="BI24" s="160">
        <v>0.91</v>
      </c>
      <c r="BJ24" s="160">
        <v>0.54</v>
      </c>
      <c r="BL24" s="167"/>
    </row>
    <row r="25" spans="1:64" s="88" customFormat="1" ht="14.1" customHeight="1">
      <c r="A25" s="156" t="s">
        <v>287</v>
      </c>
      <c r="B25" s="165" t="s">
        <v>511</v>
      </c>
      <c r="C25" s="165" t="s">
        <v>549</v>
      </c>
      <c r="D25" s="165" t="s">
        <v>513</v>
      </c>
      <c r="E25" s="165" t="s">
        <v>170</v>
      </c>
      <c r="F25" s="165">
        <v>548</v>
      </c>
      <c r="G25" s="165">
        <v>11</v>
      </c>
      <c r="H25" s="165">
        <v>22</v>
      </c>
      <c r="I25" s="165">
        <v>3.4</v>
      </c>
      <c r="J25" s="165">
        <v>210</v>
      </c>
      <c r="K25" s="166" t="s">
        <v>514</v>
      </c>
      <c r="L25" s="165">
        <v>2024</v>
      </c>
      <c r="M25" s="165" t="s">
        <v>171</v>
      </c>
      <c r="N25" s="165">
        <v>11</v>
      </c>
      <c r="O25" s="181">
        <v>42</v>
      </c>
      <c r="P25" s="165" t="s">
        <v>550</v>
      </c>
      <c r="Q25" s="165">
        <v>-70.897000000000006</v>
      </c>
      <c r="R25" s="165">
        <v>40.042999999999999</v>
      </c>
      <c r="S25" s="165" t="s">
        <v>172</v>
      </c>
      <c r="T25" s="165">
        <v>25</v>
      </c>
      <c r="U25" s="166" t="s">
        <v>516</v>
      </c>
      <c r="V25" s="158">
        <v>0.79500000000000004</v>
      </c>
      <c r="W25" s="158">
        <v>0.14199999999999999</v>
      </c>
      <c r="X25" s="158">
        <v>0.13300000000000001</v>
      </c>
      <c r="Y25" s="157">
        <v>4.1000000000000002E-2</v>
      </c>
      <c r="Z25" s="159">
        <v>2.1000000000000001E-2</v>
      </c>
      <c r="AA25" s="89">
        <v>6.2E-2</v>
      </c>
      <c r="AB25" s="89">
        <v>6.5000000000000002E-2</v>
      </c>
      <c r="AC25" s="89">
        <v>0.05</v>
      </c>
      <c r="AD25" s="89">
        <v>7.0000000000000001E-3</v>
      </c>
      <c r="AE25" s="89">
        <v>9.7000000000000003E-2</v>
      </c>
      <c r="AF25" s="89">
        <v>5.1999999999999998E-2</v>
      </c>
      <c r="AG25" s="89">
        <v>1.2999999999999999E-2</v>
      </c>
      <c r="AH25" s="89">
        <v>0.78400000000000003</v>
      </c>
      <c r="AI25" s="89">
        <v>-8888</v>
      </c>
      <c r="AJ25" s="89">
        <v>1.0999999999999999E-2</v>
      </c>
      <c r="AK25" s="89">
        <v>0.14199999999999999</v>
      </c>
      <c r="AL25" s="89">
        <v>-8888</v>
      </c>
      <c r="AM25" s="89">
        <v>9.0999999999999998E-2</v>
      </c>
      <c r="AN25" s="89">
        <v>4.2000000000000003E-2</v>
      </c>
      <c r="AO25" s="89">
        <v>6.0000000000000001E-3</v>
      </c>
      <c r="AP25" s="89">
        <v>1.6E-2</v>
      </c>
      <c r="AQ25" s="89">
        <v>2.1000000000000001E-2</v>
      </c>
      <c r="AR25" s="89">
        <v>8.0000000000000002E-3</v>
      </c>
      <c r="AS25" s="89">
        <v>1.0999999999999999E-2</v>
      </c>
      <c r="AT25" s="89">
        <v>3.5999999999999997E-2</v>
      </c>
      <c r="AU25" s="89">
        <v>-8888</v>
      </c>
      <c r="AV25" s="89">
        <v>1.07</v>
      </c>
      <c r="AW25" s="89">
        <v>0.17600000000000002</v>
      </c>
      <c r="AX25" s="89">
        <v>0.23199999999999998</v>
      </c>
      <c r="AY25" s="89">
        <v>1.302</v>
      </c>
      <c r="AZ25" s="89">
        <v>0.40800000000000003</v>
      </c>
      <c r="BA25" s="89">
        <v>0.68300000000000005</v>
      </c>
      <c r="BB25" s="89">
        <v>1.4780000000000002</v>
      </c>
      <c r="BC25" s="89">
        <v>0.45199999999999996</v>
      </c>
      <c r="BD25" s="160">
        <v>0.86</v>
      </c>
      <c r="BE25" s="160">
        <v>0.56999999999999995</v>
      </c>
      <c r="BF25" s="160">
        <v>0.43</v>
      </c>
      <c r="BG25" s="160">
        <v>2.62</v>
      </c>
      <c r="BH25" s="160">
        <v>0.12</v>
      </c>
      <c r="BI25" s="160">
        <v>0.88</v>
      </c>
      <c r="BJ25" s="160">
        <v>0.54</v>
      </c>
      <c r="BL25" s="167"/>
    </row>
    <row r="26" spans="1:64" s="88" customFormat="1" ht="14.1" customHeight="1">
      <c r="A26" s="156" t="s">
        <v>288</v>
      </c>
      <c r="B26" s="165" t="s">
        <v>511</v>
      </c>
      <c r="C26" s="165" t="s">
        <v>551</v>
      </c>
      <c r="D26" s="165" t="s">
        <v>513</v>
      </c>
      <c r="E26" s="165" t="s">
        <v>170</v>
      </c>
      <c r="F26" s="165">
        <v>549</v>
      </c>
      <c r="G26" s="165">
        <v>12</v>
      </c>
      <c r="H26" s="165">
        <v>5</v>
      </c>
      <c r="I26" s="165">
        <v>54</v>
      </c>
      <c r="J26" s="165">
        <v>140</v>
      </c>
      <c r="K26" s="166" t="s">
        <v>514</v>
      </c>
      <c r="L26" s="165">
        <v>2024</v>
      </c>
      <c r="M26" s="165" t="s">
        <v>171</v>
      </c>
      <c r="N26" s="165">
        <v>12</v>
      </c>
      <c r="O26" s="181">
        <v>43</v>
      </c>
      <c r="P26" s="165" t="s">
        <v>552</v>
      </c>
      <c r="Q26" s="165">
        <v>-70.896000000000001</v>
      </c>
      <c r="R26" s="165">
        <v>40.156999999999996</v>
      </c>
      <c r="S26" s="165" t="s">
        <v>172</v>
      </c>
      <c r="T26" s="165">
        <v>25</v>
      </c>
      <c r="U26" s="166" t="s">
        <v>516</v>
      </c>
      <c r="V26" s="158">
        <v>0.505</v>
      </c>
      <c r="W26" s="158">
        <v>8.2000000000000003E-2</v>
      </c>
      <c r="X26" s="158">
        <v>0.1</v>
      </c>
      <c r="Y26" s="157">
        <v>2.5000000000000001E-2</v>
      </c>
      <c r="Z26" s="159">
        <v>1.7999999999999999E-2</v>
      </c>
      <c r="AA26" s="89">
        <v>4.8000000000000001E-2</v>
      </c>
      <c r="AB26" s="89">
        <v>2.9000000000000001E-2</v>
      </c>
      <c r="AC26" s="89">
        <v>1.4999999999999999E-2</v>
      </c>
      <c r="AD26" s="89">
        <v>1E-3</v>
      </c>
      <c r="AE26" s="89">
        <v>9.5000000000000001E-2</v>
      </c>
      <c r="AF26" s="89">
        <v>1.2999999999999999E-2</v>
      </c>
      <c r="AG26" s="89">
        <v>0.01</v>
      </c>
      <c r="AH26" s="89">
        <v>0.502</v>
      </c>
      <c r="AI26" s="89">
        <v>-8888</v>
      </c>
      <c r="AJ26" s="89">
        <v>3.0000000000000001E-3</v>
      </c>
      <c r="AK26" s="89">
        <v>8.2000000000000003E-2</v>
      </c>
      <c r="AL26" s="89">
        <v>-8888</v>
      </c>
      <c r="AM26" s="89">
        <v>5.8999999999999997E-2</v>
      </c>
      <c r="AN26" s="89">
        <v>4.1000000000000002E-2</v>
      </c>
      <c r="AO26" s="89">
        <v>1E-3</v>
      </c>
      <c r="AP26" s="89">
        <v>8.9999999999999993E-3</v>
      </c>
      <c r="AQ26" s="89">
        <v>5.0000000000000001E-3</v>
      </c>
      <c r="AR26" s="89">
        <v>6.0000000000000001E-3</v>
      </c>
      <c r="AS26" s="89">
        <v>1.4E-2</v>
      </c>
      <c r="AT26" s="89">
        <v>2.5999999999999999E-2</v>
      </c>
      <c r="AU26" s="89">
        <v>-8888</v>
      </c>
      <c r="AV26" s="89">
        <v>0.68699999999999994</v>
      </c>
      <c r="AW26" s="89">
        <v>0.08</v>
      </c>
      <c r="AX26" s="89">
        <v>0.17400000000000002</v>
      </c>
      <c r="AY26" s="89">
        <v>0.86099999999999999</v>
      </c>
      <c r="AZ26" s="89">
        <v>0.254</v>
      </c>
      <c r="BA26" s="89">
        <v>0.43600000000000005</v>
      </c>
      <c r="BB26" s="89">
        <v>0.94100000000000006</v>
      </c>
      <c r="BC26" s="89">
        <v>0.29500000000000004</v>
      </c>
      <c r="BD26" s="160">
        <v>0.86</v>
      </c>
      <c r="BE26" s="160">
        <v>0.69</v>
      </c>
      <c r="BF26" s="160">
        <v>0.31</v>
      </c>
      <c r="BG26" s="160">
        <v>2.7</v>
      </c>
      <c r="BH26" s="160">
        <v>0.09</v>
      </c>
      <c r="BI26" s="160">
        <v>0.91</v>
      </c>
      <c r="BJ26" s="160">
        <v>0.54</v>
      </c>
      <c r="BL26" s="167"/>
    </row>
    <row r="27" spans="1:64" s="88" customFormat="1" ht="14.1" customHeight="1">
      <c r="A27" s="156" t="s">
        <v>289</v>
      </c>
      <c r="B27" s="165" t="s">
        <v>511</v>
      </c>
      <c r="C27" s="165" t="s">
        <v>553</v>
      </c>
      <c r="D27" s="165" t="s">
        <v>513</v>
      </c>
      <c r="E27" s="165" t="s">
        <v>170</v>
      </c>
      <c r="F27" s="165">
        <v>547</v>
      </c>
      <c r="G27" s="165">
        <v>12</v>
      </c>
      <c r="H27" s="165">
        <v>10</v>
      </c>
      <c r="I27" s="165">
        <v>36.6</v>
      </c>
      <c r="J27" s="165">
        <v>140</v>
      </c>
      <c r="K27" s="166" t="s">
        <v>514</v>
      </c>
      <c r="L27" s="165">
        <v>2024</v>
      </c>
      <c r="M27" s="165" t="s">
        <v>171</v>
      </c>
      <c r="N27" s="165">
        <v>12</v>
      </c>
      <c r="O27" s="181">
        <v>43</v>
      </c>
      <c r="P27" s="165" t="s">
        <v>554</v>
      </c>
      <c r="Q27" s="165">
        <v>-70.897000000000006</v>
      </c>
      <c r="R27" s="165">
        <v>40.156999999999996</v>
      </c>
      <c r="S27" s="165" t="s">
        <v>172</v>
      </c>
      <c r="T27" s="165">
        <v>25</v>
      </c>
      <c r="U27" s="166" t="s">
        <v>516</v>
      </c>
      <c r="V27" s="158">
        <v>0.82499999999999996</v>
      </c>
      <c r="W27" s="158">
        <v>0.104</v>
      </c>
      <c r="X27" s="158">
        <v>0.151</v>
      </c>
      <c r="Y27" s="157">
        <v>3.9E-2</v>
      </c>
      <c r="Z27" s="159">
        <v>1.9E-2</v>
      </c>
      <c r="AA27" s="89">
        <v>4.8000000000000001E-2</v>
      </c>
      <c r="AB27" s="89">
        <v>5.1999999999999998E-2</v>
      </c>
      <c r="AC27" s="89">
        <v>2.9000000000000001E-2</v>
      </c>
      <c r="AD27" s="89">
        <v>3.0000000000000001E-3</v>
      </c>
      <c r="AE27" s="89">
        <v>0.16800000000000001</v>
      </c>
      <c r="AF27" s="89">
        <v>4.4999999999999998E-2</v>
      </c>
      <c r="AG27" s="89">
        <v>0.01</v>
      </c>
      <c r="AH27" s="89">
        <v>0.81899999999999995</v>
      </c>
      <c r="AI27" s="89">
        <v>-8888</v>
      </c>
      <c r="AJ27" s="89">
        <v>6.0000000000000001E-3</v>
      </c>
      <c r="AK27" s="89">
        <v>0.104</v>
      </c>
      <c r="AL27" s="89">
        <v>-8888</v>
      </c>
      <c r="AM27" s="89">
        <v>9.9000000000000005E-2</v>
      </c>
      <c r="AN27" s="89">
        <v>5.1999999999999998E-2</v>
      </c>
      <c r="AO27" s="89">
        <v>2E-3</v>
      </c>
      <c r="AP27" s="89">
        <v>1.0999999999999999E-2</v>
      </c>
      <c r="AQ27" s="89">
        <v>8.0000000000000002E-3</v>
      </c>
      <c r="AR27" s="89">
        <v>8.0000000000000002E-3</v>
      </c>
      <c r="AS27" s="89">
        <v>1.4E-2</v>
      </c>
      <c r="AT27" s="89">
        <v>2.9000000000000001E-2</v>
      </c>
      <c r="AU27" s="89">
        <v>-8888</v>
      </c>
      <c r="AV27" s="89">
        <v>1.0799999999999998</v>
      </c>
      <c r="AW27" s="89">
        <v>0.13300000000000001</v>
      </c>
      <c r="AX27" s="89">
        <v>0.27999999999999997</v>
      </c>
      <c r="AY27" s="89">
        <v>1.3599999999999999</v>
      </c>
      <c r="AZ27" s="89">
        <v>0.41299999999999998</v>
      </c>
      <c r="BA27" s="89">
        <v>0.66800000000000004</v>
      </c>
      <c r="BB27" s="89">
        <v>1.4929999999999999</v>
      </c>
      <c r="BC27" s="89">
        <v>0.44599999999999995</v>
      </c>
      <c r="BD27" s="160">
        <v>0.81</v>
      </c>
      <c r="BE27" s="160">
        <v>0.68</v>
      </c>
      <c r="BF27" s="160">
        <v>0.32</v>
      </c>
      <c r="BG27" s="160">
        <v>2.62</v>
      </c>
      <c r="BH27" s="160">
        <v>0.09</v>
      </c>
      <c r="BI27" s="160">
        <v>0.91</v>
      </c>
      <c r="BJ27" s="160">
        <v>0.55000000000000004</v>
      </c>
      <c r="BL27" s="167"/>
    </row>
    <row r="28" spans="1:64" s="88" customFormat="1" ht="14.1" customHeight="1">
      <c r="A28" s="156" t="s">
        <v>290</v>
      </c>
      <c r="B28" s="165" t="s">
        <v>511</v>
      </c>
      <c r="C28" s="165" t="s">
        <v>555</v>
      </c>
      <c r="D28" s="165" t="s">
        <v>513</v>
      </c>
      <c r="E28" s="165" t="s">
        <v>173</v>
      </c>
      <c r="F28" s="165">
        <v>548</v>
      </c>
      <c r="G28" s="165">
        <v>12</v>
      </c>
      <c r="H28" s="165">
        <v>19</v>
      </c>
      <c r="I28" s="165">
        <v>3.1</v>
      </c>
      <c r="J28" s="165">
        <v>140</v>
      </c>
      <c r="K28" s="166" t="s">
        <v>514</v>
      </c>
      <c r="L28" s="165">
        <v>2024</v>
      </c>
      <c r="M28" s="165" t="s">
        <v>171</v>
      </c>
      <c r="N28" s="165">
        <v>12</v>
      </c>
      <c r="O28" s="181">
        <v>43</v>
      </c>
      <c r="P28" s="165" t="s">
        <v>556</v>
      </c>
      <c r="Q28" s="165">
        <v>-70.899000000000001</v>
      </c>
      <c r="R28" s="165">
        <v>40.158000000000001</v>
      </c>
      <c r="S28" s="165" t="s">
        <v>172</v>
      </c>
      <c r="T28" s="165">
        <v>25</v>
      </c>
      <c r="U28" s="166" t="s">
        <v>516</v>
      </c>
      <c r="V28" s="158">
        <v>0.78700000000000003</v>
      </c>
      <c r="W28" s="158">
        <v>0.107</v>
      </c>
      <c r="X28" s="158">
        <v>0.13900000000000001</v>
      </c>
      <c r="Y28" s="157">
        <v>3.7999999999999999E-2</v>
      </c>
      <c r="Z28" s="159">
        <v>0.02</v>
      </c>
      <c r="AA28" s="89">
        <v>0.04</v>
      </c>
      <c r="AB28" s="89">
        <v>0.05</v>
      </c>
      <c r="AC28" s="89">
        <v>4.3999999999999997E-2</v>
      </c>
      <c r="AD28" s="89">
        <v>5.0000000000000001E-3</v>
      </c>
      <c r="AE28" s="89">
        <v>0.17399999999999999</v>
      </c>
      <c r="AF28" s="89">
        <v>3.4000000000000002E-2</v>
      </c>
      <c r="AG28" s="89">
        <v>1.0999999999999999E-2</v>
      </c>
      <c r="AH28" s="89">
        <v>0.77600000000000002</v>
      </c>
      <c r="AI28" s="89">
        <v>-8888</v>
      </c>
      <c r="AJ28" s="89">
        <v>1.0999999999999999E-2</v>
      </c>
      <c r="AK28" s="89">
        <v>0.107</v>
      </c>
      <c r="AL28" s="89">
        <v>-8888</v>
      </c>
      <c r="AM28" s="89">
        <v>9.0999999999999998E-2</v>
      </c>
      <c r="AN28" s="89">
        <v>4.8000000000000001E-2</v>
      </c>
      <c r="AO28" s="89">
        <v>3.0000000000000001E-3</v>
      </c>
      <c r="AP28" s="89">
        <v>1.2999999999999999E-2</v>
      </c>
      <c r="AQ28" s="89">
        <v>1.4E-2</v>
      </c>
      <c r="AR28" s="89">
        <v>8.9999999999999993E-3</v>
      </c>
      <c r="AS28" s="89">
        <v>1.2E-2</v>
      </c>
      <c r="AT28" s="89">
        <v>3.5000000000000003E-2</v>
      </c>
      <c r="AU28" s="89">
        <v>-8888</v>
      </c>
      <c r="AV28" s="89">
        <v>1.0329999999999999</v>
      </c>
      <c r="AW28" s="89">
        <v>0.14799999999999999</v>
      </c>
      <c r="AX28" s="89">
        <v>0.26800000000000002</v>
      </c>
      <c r="AY28" s="89">
        <v>1.3009999999999999</v>
      </c>
      <c r="AZ28" s="89">
        <v>0.41600000000000004</v>
      </c>
      <c r="BA28" s="89">
        <v>0.66200000000000003</v>
      </c>
      <c r="BB28" s="89">
        <v>1.4490000000000001</v>
      </c>
      <c r="BC28" s="89">
        <v>0.43600000000000005</v>
      </c>
      <c r="BD28" s="160">
        <v>0.84</v>
      </c>
      <c r="BE28" s="160">
        <v>0.64</v>
      </c>
      <c r="BF28" s="160">
        <v>0.36</v>
      </c>
      <c r="BG28" s="160">
        <v>2.48</v>
      </c>
      <c r="BH28" s="160">
        <v>0.1</v>
      </c>
      <c r="BI28" s="160">
        <v>0.9</v>
      </c>
      <c r="BJ28" s="160">
        <v>0.54</v>
      </c>
      <c r="BL28" s="167"/>
    </row>
    <row r="29" spans="1:64" s="88" customFormat="1" ht="14.1" customHeight="1">
      <c r="A29" s="156" t="s">
        <v>291</v>
      </c>
      <c r="B29" s="165" t="s">
        <v>511</v>
      </c>
      <c r="C29" s="165" t="s">
        <v>557</v>
      </c>
      <c r="D29" s="165" t="s">
        <v>513</v>
      </c>
      <c r="E29" s="165" t="s">
        <v>173</v>
      </c>
      <c r="F29" s="165">
        <v>548</v>
      </c>
      <c r="G29" s="165">
        <v>12</v>
      </c>
      <c r="H29" s="165">
        <v>19</v>
      </c>
      <c r="I29" s="165">
        <v>3.1</v>
      </c>
      <c r="J29" s="165">
        <v>140</v>
      </c>
      <c r="K29" s="166" t="s">
        <v>514</v>
      </c>
      <c r="L29" s="165">
        <v>2024</v>
      </c>
      <c r="M29" s="165" t="s">
        <v>171</v>
      </c>
      <c r="N29" s="165">
        <v>12</v>
      </c>
      <c r="O29" s="181">
        <v>43</v>
      </c>
      <c r="P29" s="165" t="s">
        <v>556</v>
      </c>
      <c r="Q29" s="165">
        <v>-70.899000000000001</v>
      </c>
      <c r="R29" s="165">
        <v>40.158000000000001</v>
      </c>
      <c r="S29" s="165" t="s">
        <v>172</v>
      </c>
      <c r="T29" s="165">
        <v>25</v>
      </c>
      <c r="U29" s="166" t="s">
        <v>516</v>
      </c>
      <c r="V29" s="158">
        <v>0.78900000000000003</v>
      </c>
      <c r="W29" s="158">
        <v>0.104</v>
      </c>
      <c r="X29" s="158">
        <v>0.13900000000000001</v>
      </c>
      <c r="Y29" s="157">
        <v>3.7999999999999999E-2</v>
      </c>
      <c r="Z29" s="159">
        <v>1.7999999999999999E-2</v>
      </c>
      <c r="AA29" s="89">
        <v>4.3999999999999997E-2</v>
      </c>
      <c r="AB29" s="89">
        <v>5.2999999999999999E-2</v>
      </c>
      <c r="AC29" s="89">
        <v>4.2999999999999997E-2</v>
      </c>
      <c r="AD29" s="89">
        <v>5.0000000000000001E-3</v>
      </c>
      <c r="AE29" s="89">
        <v>0.16400000000000001</v>
      </c>
      <c r="AF29" s="89">
        <v>3.5999999999999997E-2</v>
      </c>
      <c r="AG29" s="89">
        <v>1.2E-2</v>
      </c>
      <c r="AH29" s="89">
        <v>0.77800000000000002</v>
      </c>
      <c r="AI29" s="89">
        <v>-8888</v>
      </c>
      <c r="AJ29" s="89">
        <v>1.0999999999999999E-2</v>
      </c>
      <c r="AK29" s="89">
        <v>0.104</v>
      </c>
      <c r="AL29" s="89">
        <v>-8888</v>
      </c>
      <c r="AM29" s="89">
        <v>0.09</v>
      </c>
      <c r="AN29" s="89">
        <v>4.9000000000000002E-2</v>
      </c>
      <c r="AO29" s="89">
        <v>3.0000000000000001E-3</v>
      </c>
      <c r="AP29" s="89">
        <v>1.2E-2</v>
      </c>
      <c r="AQ29" s="89">
        <v>1.2999999999999999E-2</v>
      </c>
      <c r="AR29" s="89">
        <v>8.9999999999999993E-3</v>
      </c>
      <c r="AS29" s="89">
        <v>1.2999999999999999E-2</v>
      </c>
      <c r="AT29" s="89">
        <v>3.4000000000000002E-2</v>
      </c>
      <c r="AU29" s="89">
        <v>-8888</v>
      </c>
      <c r="AV29" s="89">
        <v>1.032</v>
      </c>
      <c r="AW29" s="89">
        <v>0.151</v>
      </c>
      <c r="AX29" s="89">
        <v>0.26199999999999996</v>
      </c>
      <c r="AY29" s="89">
        <v>1.294</v>
      </c>
      <c r="AZ29" s="89">
        <v>0.41299999999999992</v>
      </c>
      <c r="BA29" s="89">
        <v>0.65599999999999992</v>
      </c>
      <c r="BB29" s="89">
        <v>1.4449999999999998</v>
      </c>
      <c r="BC29" s="89">
        <v>0.43099999999999994</v>
      </c>
      <c r="BD29" s="160">
        <v>0.83</v>
      </c>
      <c r="BE29" s="160">
        <v>0.63</v>
      </c>
      <c r="BF29" s="160">
        <v>0.37</v>
      </c>
      <c r="BG29" s="160">
        <v>2.5</v>
      </c>
      <c r="BH29" s="160">
        <v>0.1</v>
      </c>
      <c r="BI29" s="160">
        <v>0.9</v>
      </c>
      <c r="BJ29" s="160">
        <v>0.55000000000000004</v>
      </c>
      <c r="BL29" s="167"/>
    </row>
    <row r="30" spans="1:64" s="88" customFormat="1" ht="14.1" customHeight="1">
      <c r="A30" s="156" t="s">
        <v>292</v>
      </c>
      <c r="B30" s="165" t="s">
        <v>511</v>
      </c>
      <c r="C30" s="165" t="s">
        <v>558</v>
      </c>
      <c r="D30" s="165" t="s">
        <v>513</v>
      </c>
      <c r="E30" s="165" t="s">
        <v>170</v>
      </c>
      <c r="F30" s="165">
        <v>549</v>
      </c>
      <c r="G30" s="165">
        <v>15</v>
      </c>
      <c r="H30" s="165">
        <v>4</v>
      </c>
      <c r="I30" s="165">
        <v>40.4</v>
      </c>
      <c r="J30" s="165">
        <v>65</v>
      </c>
      <c r="K30" s="166" t="s">
        <v>514</v>
      </c>
      <c r="L30" s="165">
        <v>2024</v>
      </c>
      <c r="M30" s="165" t="s">
        <v>171</v>
      </c>
      <c r="N30" s="165">
        <v>12</v>
      </c>
      <c r="O30" s="181">
        <v>43</v>
      </c>
      <c r="P30" s="165" t="s">
        <v>559</v>
      </c>
      <c r="Q30" s="165">
        <v>-70.893000000000001</v>
      </c>
      <c r="R30" s="165">
        <v>40.697000000000003</v>
      </c>
      <c r="S30" s="165" t="s">
        <v>172</v>
      </c>
      <c r="T30" s="165">
        <v>25</v>
      </c>
      <c r="U30" s="166" t="s">
        <v>516</v>
      </c>
      <c r="V30" s="158">
        <v>1.363</v>
      </c>
      <c r="W30" s="158">
        <v>0.13</v>
      </c>
      <c r="X30" s="158">
        <v>0.21699999999999997</v>
      </c>
      <c r="Y30" s="157">
        <v>5.5E-2</v>
      </c>
      <c r="Z30" s="159">
        <v>1.6E-2</v>
      </c>
      <c r="AA30" s="89">
        <v>2.9000000000000001E-2</v>
      </c>
      <c r="AB30" s="89">
        <v>2.8000000000000001E-2</v>
      </c>
      <c r="AC30" s="89">
        <v>4.1000000000000002E-2</v>
      </c>
      <c r="AD30" s="89">
        <v>4.0000000000000001E-3</v>
      </c>
      <c r="AE30" s="89">
        <v>0.51900000000000002</v>
      </c>
      <c r="AF30" s="89">
        <v>8.9999999999999993E-3</v>
      </c>
      <c r="AG30" s="89">
        <v>1.4999999999999999E-2</v>
      </c>
      <c r="AH30" s="89">
        <v>1.349</v>
      </c>
      <c r="AI30" s="89">
        <v>-8888</v>
      </c>
      <c r="AJ30" s="89">
        <v>1.4E-2</v>
      </c>
      <c r="AK30" s="89">
        <v>0.13</v>
      </c>
      <c r="AL30" s="89">
        <v>-8888</v>
      </c>
      <c r="AM30" s="89">
        <v>0.14399999999999999</v>
      </c>
      <c r="AN30" s="89">
        <v>7.2999999999999995E-2</v>
      </c>
      <c r="AO30" s="89">
        <v>4.0000000000000001E-3</v>
      </c>
      <c r="AP30" s="89">
        <v>1.4E-2</v>
      </c>
      <c r="AQ30" s="89">
        <v>1.0999999999999999E-2</v>
      </c>
      <c r="AR30" s="89">
        <v>1.7999999999999999E-2</v>
      </c>
      <c r="AS30" s="89">
        <v>5.6000000000000001E-2</v>
      </c>
      <c r="AT30" s="89">
        <v>4.2000000000000003E-2</v>
      </c>
      <c r="AU30" s="89">
        <v>-8888</v>
      </c>
      <c r="AV30" s="89">
        <v>1.71</v>
      </c>
      <c r="AW30" s="89">
        <v>0.14300000000000002</v>
      </c>
      <c r="AX30" s="89">
        <v>0.57300000000000006</v>
      </c>
      <c r="AY30" s="89">
        <v>2.2829999999999999</v>
      </c>
      <c r="AZ30" s="89">
        <v>0.71600000000000008</v>
      </c>
      <c r="BA30" s="89">
        <v>1.0630000000000002</v>
      </c>
      <c r="BB30" s="89">
        <v>2.4260000000000002</v>
      </c>
      <c r="BC30" s="89">
        <v>0.746</v>
      </c>
      <c r="BD30" s="160">
        <v>0.78</v>
      </c>
      <c r="BE30" s="160">
        <v>0.8</v>
      </c>
      <c r="BF30" s="160">
        <v>0.2</v>
      </c>
      <c r="BG30" s="160">
        <v>2.39</v>
      </c>
      <c r="BH30" s="160">
        <v>0.06</v>
      </c>
      <c r="BI30" s="160">
        <v>0.94</v>
      </c>
      <c r="BJ30" s="160">
        <v>0.56000000000000005</v>
      </c>
      <c r="BL30" s="167"/>
    </row>
    <row r="31" spans="1:64" s="88" customFormat="1" ht="14.1" customHeight="1">
      <c r="A31" s="156" t="s">
        <v>293</v>
      </c>
      <c r="B31" s="165" t="s">
        <v>511</v>
      </c>
      <c r="C31" s="165" t="s">
        <v>560</v>
      </c>
      <c r="D31" s="165" t="s">
        <v>513</v>
      </c>
      <c r="E31" s="165" t="s">
        <v>170</v>
      </c>
      <c r="F31" s="165">
        <v>547</v>
      </c>
      <c r="G31" s="165">
        <v>15</v>
      </c>
      <c r="H31" s="165">
        <v>6</v>
      </c>
      <c r="I31" s="165">
        <v>27.8</v>
      </c>
      <c r="J31" s="165">
        <v>65</v>
      </c>
      <c r="K31" s="166" t="s">
        <v>514</v>
      </c>
      <c r="L31" s="165">
        <v>2024</v>
      </c>
      <c r="M31" s="165" t="s">
        <v>171</v>
      </c>
      <c r="N31" s="165">
        <v>12</v>
      </c>
      <c r="O31" s="181">
        <v>43</v>
      </c>
      <c r="P31" s="165" t="s">
        <v>561</v>
      </c>
      <c r="Q31" s="165">
        <v>-70.894000000000005</v>
      </c>
      <c r="R31" s="165">
        <v>40.697000000000003</v>
      </c>
      <c r="S31" s="165" t="s">
        <v>172</v>
      </c>
      <c r="T31" s="165">
        <v>25</v>
      </c>
      <c r="U31" s="166" t="s">
        <v>516</v>
      </c>
      <c r="V31" s="158">
        <v>1.6739999999999999</v>
      </c>
      <c r="W31" s="158">
        <v>0.109</v>
      </c>
      <c r="X31" s="158">
        <v>0.22299999999999998</v>
      </c>
      <c r="Y31" s="157">
        <v>6.3E-2</v>
      </c>
      <c r="Z31" s="159">
        <v>1.2E-2</v>
      </c>
      <c r="AA31" s="89">
        <v>1.0999999999999999E-2</v>
      </c>
      <c r="AB31" s="89">
        <v>1.6E-2</v>
      </c>
      <c r="AC31" s="89">
        <v>0.06</v>
      </c>
      <c r="AD31" s="89">
        <v>7.0000000000000001E-3</v>
      </c>
      <c r="AE31" s="89">
        <v>0.66800000000000004</v>
      </c>
      <c r="AF31" s="89">
        <v>0.01</v>
      </c>
      <c r="AG31" s="89">
        <v>2.1000000000000001E-2</v>
      </c>
      <c r="AH31" s="89">
        <v>1.6539999999999999</v>
      </c>
      <c r="AI31" s="89">
        <v>-8888</v>
      </c>
      <c r="AJ31" s="89">
        <v>0.02</v>
      </c>
      <c r="AK31" s="89">
        <v>0.109</v>
      </c>
      <c r="AL31" s="89">
        <v>-8888</v>
      </c>
      <c r="AM31" s="89">
        <v>0.17899999999999999</v>
      </c>
      <c r="AN31" s="89">
        <v>4.3999999999999997E-2</v>
      </c>
      <c r="AO31" s="89">
        <v>3.0000000000000001E-3</v>
      </c>
      <c r="AP31" s="89">
        <v>1.2999999999999999E-2</v>
      </c>
      <c r="AQ31" s="89">
        <v>1.2999999999999999E-2</v>
      </c>
      <c r="AR31" s="89">
        <v>2.7E-2</v>
      </c>
      <c r="AS31" s="89">
        <v>5.6000000000000001E-2</v>
      </c>
      <c r="AT31" s="89">
        <v>3.5999999999999997E-2</v>
      </c>
      <c r="AU31" s="89">
        <v>-8888</v>
      </c>
      <c r="AV31" s="89">
        <v>2.0059999999999998</v>
      </c>
      <c r="AW31" s="89">
        <v>0.16700000000000001</v>
      </c>
      <c r="AX31" s="89">
        <v>0.70100000000000007</v>
      </c>
      <c r="AY31" s="89">
        <v>2.7069999999999999</v>
      </c>
      <c r="AZ31" s="89">
        <v>0.8680000000000001</v>
      </c>
      <c r="BA31" s="89">
        <v>1.2000000000000002</v>
      </c>
      <c r="BB31" s="89">
        <v>2.8740000000000001</v>
      </c>
      <c r="BC31" s="89">
        <v>0.84700000000000009</v>
      </c>
      <c r="BD31" s="160">
        <v>0.72</v>
      </c>
      <c r="BE31" s="160">
        <v>0.81</v>
      </c>
      <c r="BF31" s="160">
        <v>0.19</v>
      </c>
      <c r="BG31" s="160">
        <v>2.31</v>
      </c>
      <c r="BH31" s="160">
        <v>0.06</v>
      </c>
      <c r="BI31" s="160">
        <v>0.94</v>
      </c>
      <c r="BJ31" s="160">
        <v>0.57999999999999996</v>
      </c>
      <c r="BL31" s="167"/>
    </row>
    <row r="32" spans="1:64" s="88" customFormat="1" ht="14.1" customHeight="1">
      <c r="A32" s="156" t="s">
        <v>294</v>
      </c>
      <c r="B32" s="165" t="s">
        <v>511</v>
      </c>
      <c r="C32" s="165" t="s">
        <v>562</v>
      </c>
      <c r="D32" s="165" t="s">
        <v>513</v>
      </c>
      <c r="E32" s="165" t="s">
        <v>170</v>
      </c>
      <c r="F32" s="165">
        <v>548</v>
      </c>
      <c r="G32" s="165">
        <v>15</v>
      </c>
      <c r="H32" s="165">
        <v>18</v>
      </c>
      <c r="I32" s="165">
        <v>3.4</v>
      </c>
      <c r="J32" s="165">
        <v>65</v>
      </c>
      <c r="K32" s="166" t="s">
        <v>514</v>
      </c>
      <c r="L32" s="165">
        <v>2024</v>
      </c>
      <c r="M32" s="165" t="s">
        <v>171</v>
      </c>
      <c r="N32" s="165">
        <v>12</v>
      </c>
      <c r="O32" s="181">
        <v>43</v>
      </c>
      <c r="P32" s="165" t="s">
        <v>563</v>
      </c>
      <c r="Q32" s="165">
        <v>-70.897999999999996</v>
      </c>
      <c r="R32" s="165">
        <v>40.697000000000003</v>
      </c>
      <c r="S32" s="165" t="s">
        <v>172</v>
      </c>
      <c r="T32" s="165">
        <v>25</v>
      </c>
      <c r="U32" s="166" t="s">
        <v>516</v>
      </c>
      <c r="V32" s="158">
        <v>1.5999999999999999</v>
      </c>
      <c r="W32" s="158">
        <v>0.105</v>
      </c>
      <c r="X32" s="158">
        <v>0.21000000000000002</v>
      </c>
      <c r="Y32" s="157">
        <v>6.0999999999999999E-2</v>
      </c>
      <c r="Z32" s="159">
        <v>1.0999999999999999E-2</v>
      </c>
      <c r="AA32" s="89">
        <v>0.01</v>
      </c>
      <c r="AB32" s="89">
        <v>1.6E-2</v>
      </c>
      <c r="AC32" s="89">
        <v>5.8000000000000003E-2</v>
      </c>
      <c r="AD32" s="89">
        <v>6.0000000000000001E-3</v>
      </c>
      <c r="AE32" s="89">
        <v>0.63400000000000001</v>
      </c>
      <c r="AF32" s="89">
        <v>8.9999999999999993E-3</v>
      </c>
      <c r="AG32" s="89">
        <v>2.3E-2</v>
      </c>
      <c r="AH32" s="89">
        <v>1.583</v>
      </c>
      <c r="AI32" s="89">
        <v>-8888</v>
      </c>
      <c r="AJ32" s="89">
        <v>1.7000000000000001E-2</v>
      </c>
      <c r="AK32" s="89">
        <v>0.105</v>
      </c>
      <c r="AL32" s="89">
        <v>-8888</v>
      </c>
      <c r="AM32" s="89">
        <v>0.17</v>
      </c>
      <c r="AN32" s="89">
        <v>0.04</v>
      </c>
      <c r="AO32" s="89">
        <v>3.0000000000000001E-3</v>
      </c>
      <c r="AP32" s="89">
        <v>1.2999999999999999E-2</v>
      </c>
      <c r="AQ32" s="89">
        <v>1.2999999999999999E-2</v>
      </c>
      <c r="AR32" s="89">
        <v>2.8000000000000001E-2</v>
      </c>
      <c r="AS32" s="89">
        <v>5.5E-2</v>
      </c>
      <c r="AT32" s="89">
        <v>3.5000000000000003E-2</v>
      </c>
      <c r="AU32" s="89">
        <v>-8888</v>
      </c>
      <c r="AV32" s="89">
        <v>1.9149999999999998</v>
      </c>
      <c r="AW32" s="89">
        <v>0.16400000000000001</v>
      </c>
      <c r="AX32" s="89">
        <v>0.66400000000000003</v>
      </c>
      <c r="AY32" s="89">
        <v>2.5789999999999997</v>
      </c>
      <c r="AZ32" s="89">
        <v>0.82800000000000007</v>
      </c>
      <c r="BA32" s="89">
        <v>1.143</v>
      </c>
      <c r="BB32" s="89">
        <v>2.7429999999999999</v>
      </c>
      <c r="BC32" s="89">
        <v>0.80800000000000005</v>
      </c>
      <c r="BD32" s="160">
        <v>0.71</v>
      </c>
      <c r="BE32" s="160">
        <v>0.8</v>
      </c>
      <c r="BF32" s="160">
        <v>0.2</v>
      </c>
      <c r="BG32" s="160">
        <v>2.31</v>
      </c>
      <c r="BH32" s="160">
        <v>0.06</v>
      </c>
      <c r="BI32" s="160">
        <v>0.94</v>
      </c>
      <c r="BJ32" s="160">
        <v>0.57999999999999996</v>
      </c>
      <c r="BL32" s="167"/>
    </row>
    <row r="33" spans="1:64" s="88" customFormat="1" ht="14.1" customHeight="1">
      <c r="A33" s="156" t="s">
        <v>295</v>
      </c>
      <c r="B33" s="165" t="s">
        <v>511</v>
      </c>
      <c r="C33" s="165" t="s">
        <v>564</v>
      </c>
      <c r="D33" s="165" t="s">
        <v>513</v>
      </c>
      <c r="E33" s="165" t="s">
        <v>170</v>
      </c>
      <c r="F33" s="165">
        <v>547</v>
      </c>
      <c r="G33" s="165">
        <v>16</v>
      </c>
      <c r="H33" s="165">
        <v>7</v>
      </c>
      <c r="I33" s="165">
        <v>15.1</v>
      </c>
      <c r="J33" s="165">
        <v>55</v>
      </c>
      <c r="K33" s="166" t="s">
        <v>514</v>
      </c>
      <c r="L33" s="165">
        <v>2024</v>
      </c>
      <c r="M33" s="165" t="s">
        <v>171</v>
      </c>
      <c r="N33" s="165">
        <v>13</v>
      </c>
      <c r="O33" s="181">
        <v>44</v>
      </c>
      <c r="P33" s="165" t="s">
        <v>565</v>
      </c>
      <c r="Q33" s="165">
        <v>-70.888000000000005</v>
      </c>
      <c r="R33" s="165">
        <v>40.863999999999997</v>
      </c>
      <c r="S33" s="165" t="s">
        <v>172</v>
      </c>
      <c r="T33" s="165">
        <v>25</v>
      </c>
      <c r="U33" s="166" t="s">
        <v>516</v>
      </c>
      <c r="V33" s="158">
        <v>5.4210000000000003</v>
      </c>
      <c r="W33" s="158">
        <v>0.16200000000000001</v>
      </c>
      <c r="X33" s="158">
        <v>0.68600000000000005</v>
      </c>
      <c r="Y33" s="157">
        <v>0.17199999999999999</v>
      </c>
      <c r="Z33" s="159">
        <v>-8888</v>
      </c>
      <c r="AA33" s="89">
        <v>6.0000000000000001E-3</v>
      </c>
      <c r="AB33" s="89">
        <v>3.1E-2</v>
      </c>
      <c r="AC33" s="89">
        <v>0.214</v>
      </c>
      <c r="AD33" s="89">
        <v>3.4000000000000002E-2</v>
      </c>
      <c r="AE33" s="89">
        <v>2.2749999999999999</v>
      </c>
      <c r="AF33" s="89">
        <v>3.3000000000000002E-2</v>
      </c>
      <c r="AG33" s="89">
        <v>2.3E-2</v>
      </c>
      <c r="AH33" s="89">
        <v>5.335</v>
      </c>
      <c r="AI33" s="89">
        <v>-8888</v>
      </c>
      <c r="AJ33" s="89">
        <v>8.5999999999999993E-2</v>
      </c>
      <c r="AK33" s="89">
        <v>0.16200000000000001</v>
      </c>
      <c r="AL33" s="89">
        <v>-8888</v>
      </c>
      <c r="AM33" s="89">
        <v>0.64</v>
      </c>
      <c r="AN33" s="89">
        <v>4.5999999999999999E-2</v>
      </c>
      <c r="AO33" s="89">
        <v>3.0000000000000001E-3</v>
      </c>
      <c r="AP33" s="89">
        <v>1.9E-2</v>
      </c>
      <c r="AQ33" s="89">
        <v>2.3E-2</v>
      </c>
      <c r="AR33" s="89">
        <v>6.2E-2</v>
      </c>
      <c r="AS33" s="89">
        <v>0.153</v>
      </c>
      <c r="AT33" s="89">
        <v>0.05</v>
      </c>
      <c r="AU33" s="89">
        <v>-8888</v>
      </c>
      <c r="AV33" s="89">
        <v>6.2690000000000001</v>
      </c>
      <c r="AW33" s="89">
        <v>0.47400000000000003</v>
      </c>
      <c r="AX33" s="89">
        <v>2.3139999999999996</v>
      </c>
      <c r="AY33" s="89">
        <v>8.5830000000000002</v>
      </c>
      <c r="AZ33" s="89">
        <v>2.7879999999999998</v>
      </c>
      <c r="BA33" s="89">
        <v>3.6359999999999997</v>
      </c>
      <c r="BB33" s="89">
        <v>9.0570000000000004</v>
      </c>
      <c r="BC33" s="89">
        <v>2.5299999999999998</v>
      </c>
      <c r="BD33" s="160">
        <v>0.67</v>
      </c>
      <c r="BE33" s="160">
        <v>0.83</v>
      </c>
      <c r="BF33" s="160">
        <v>0.17</v>
      </c>
      <c r="BG33" s="160">
        <v>2.25</v>
      </c>
      <c r="BH33" s="160">
        <v>0.05</v>
      </c>
      <c r="BI33" s="160">
        <v>0.95</v>
      </c>
      <c r="BJ33" s="160">
        <v>0.6</v>
      </c>
      <c r="BL33" s="167"/>
    </row>
    <row r="34" spans="1:64" s="88" customFormat="1" ht="14.1" customHeight="1">
      <c r="A34" s="156" t="s">
        <v>296</v>
      </c>
      <c r="B34" s="165" t="s">
        <v>511</v>
      </c>
      <c r="C34" s="165" t="s">
        <v>566</v>
      </c>
      <c r="D34" s="165" t="s">
        <v>513</v>
      </c>
      <c r="E34" s="165" t="s">
        <v>170</v>
      </c>
      <c r="F34" s="165">
        <v>548</v>
      </c>
      <c r="G34" s="165">
        <v>16</v>
      </c>
      <c r="H34" s="165">
        <v>17</v>
      </c>
      <c r="I34" s="165">
        <v>3.5</v>
      </c>
      <c r="J34" s="165">
        <v>55</v>
      </c>
      <c r="K34" s="166" t="s">
        <v>514</v>
      </c>
      <c r="L34" s="165">
        <v>2024</v>
      </c>
      <c r="M34" s="165" t="s">
        <v>171</v>
      </c>
      <c r="N34" s="165">
        <v>13</v>
      </c>
      <c r="O34" s="181">
        <v>44</v>
      </c>
      <c r="P34" s="165" t="s">
        <v>567</v>
      </c>
      <c r="Q34" s="165">
        <v>-70.888999999999996</v>
      </c>
      <c r="R34" s="165">
        <v>40.863999999999997</v>
      </c>
      <c r="S34" s="165" t="s">
        <v>172</v>
      </c>
      <c r="T34" s="165">
        <v>25</v>
      </c>
      <c r="U34" s="166" t="s">
        <v>516</v>
      </c>
      <c r="V34" s="158">
        <v>4.2130000000000001</v>
      </c>
      <c r="W34" s="158">
        <v>8.3000000000000004E-2</v>
      </c>
      <c r="X34" s="158">
        <v>0.54600000000000004</v>
      </c>
      <c r="Y34" s="157">
        <v>0.13200000000000001</v>
      </c>
      <c r="Z34" s="159">
        <v>-8888</v>
      </c>
      <c r="AA34" s="89">
        <v>6.0000000000000001E-3</v>
      </c>
      <c r="AB34" s="89">
        <v>1.9E-2</v>
      </c>
      <c r="AC34" s="89">
        <v>0.216</v>
      </c>
      <c r="AD34" s="89">
        <v>3.5999999999999997E-2</v>
      </c>
      <c r="AE34" s="89">
        <v>1.7410000000000001</v>
      </c>
      <c r="AF34" s="89">
        <v>3.7999999999999999E-2</v>
      </c>
      <c r="AG34" s="89">
        <v>2.4E-2</v>
      </c>
      <c r="AH34" s="89">
        <v>4.1399999999999997</v>
      </c>
      <c r="AI34" s="89">
        <v>-8888</v>
      </c>
      <c r="AJ34" s="89">
        <v>7.2999999999999995E-2</v>
      </c>
      <c r="AK34" s="89">
        <v>8.3000000000000004E-2</v>
      </c>
      <c r="AL34" s="89">
        <v>-8888</v>
      </c>
      <c r="AM34" s="89">
        <v>0.503</v>
      </c>
      <c r="AN34" s="89">
        <v>4.2999999999999997E-2</v>
      </c>
      <c r="AO34" s="89">
        <v>3.0000000000000001E-3</v>
      </c>
      <c r="AP34" s="89">
        <v>1.2E-2</v>
      </c>
      <c r="AQ34" s="89">
        <v>1.4999999999999999E-2</v>
      </c>
      <c r="AR34" s="89">
        <v>4.7E-2</v>
      </c>
      <c r="AS34" s="89">
        <v>0.125</v>
      </c>
      <c r="AT34" s="89">
        <v>2.7E-2</v>
      </c>
      <c r="AU34" s="89">
        <v>-8888</v>
      </c>
      <c r="AV34" s="89">
        <v>4.8420000000000005</v>
      </c>
      <c r="AW34" s="89">
        <v>0.42699999999999999</v>
      </c>
      <c r="AX34" s="89">
        <v>1.7850000000000001</v>
      </c>
      <c r="AY34" s="89">
        <v>6.6270000000000007</v>
      </c>
      <c r="AZ34" s="89">
        <v>2.2120000000000002</v>
      </c>
      <c r="BA34" s="89">
        <v>2.8410000000000002</v>
      </c>
      <c r="BB34" s="89">
        <v>7.0540000000000003</v>
      </c>
      <c r="BC34" s="89">
        <v>1.911</v>
      </c>
      <c r="BD34" s="160">
        <v>0.67</v>
      </c>
      <c r="BE34" s="160">
        <v>0.81</v>
      </c>
      <c r="BF34" s="160">
        <v>0.19</v>
      </c>
      <c r="BG34" s="160">
        <v>2.19</v>
      </c>
      <c r="BH34" s="160">
        <v>0.06</v>
      </c>
      <c r="BI34" s="160">
        <v>0.94</v>
      </c>
      <c r="BJ34" s="160">
        <v>0.6</v>
      </c>
      <c r="BL34" s="167"/>
    </row>
    <row r="35" spans="1:64" s="88" customFormat="1" ht="14.1" customHeight="1">
      <c r="A35" s="156" t="s">
        <v>297</v>
      </c>
      <c r="B35" s="165" t="s">
        <v>511</v>
      </c>
      <c r="C35" s="165" t="s">
        <v>568</v>
      </c>
      <c r="D35" s="165" t="s">
        <v>513</v>
      </c>
      <c r="E35" s="165" t="s">
        <v>170</v>
      </c>
      <c r="F35" s="165">
        <v>547</v>
      </c>
      <c r="G35" s="165">
        <v>17</v>
      </c>
      <c r="H35" s="165">
        <v>4</v>
      </c>
      <c r="I35" s="165">
        <v>20.100000000000001</v>
      </c>
      <c r="J35" s="165">
        <v>41</v>
      </c>
      <c r="K35" s="166" t="s">
        <v>514</v>
      </c>
      <c r="L35" s="165">
        <v>2024</v>
      </c>
      <c r="M35" s="165" t="s">
        <v>171</v>
      </c>
      <c r="N35" s="165">
        <v>13</v>
      </c>
      <c r="O35" s="181">
        <v>44</v>
      </c>
      <c r="P35" s="165" t="s">
        <v>569</v>
      </c>
      <c r="Q35" s="165">
        <v>-70.887</v>
      </c>
      <c r="R35" s="165">
        <v>41.029000000000003</v>
      </c>
      <c r="S35" s="165" t="s">
        <v>172</v>
      </c>
      <c r="T35" s="165">
        <v>25</v>
      </c>
      <c r="U35" s="166" t="s">
        <v>516</v>
      </c>
      <c r="V35" s="158">
        <v>3.242</v>
      </c>
      <c r="W35" s="158">
        <v>0.04</v>
      </c>
      <c r="X35" s="158">
        <v>0.435</v>
      </c>
      <c r="Y35" s="157">
        <v>0.1</v>
      </c>
      <c r="Z35" s="159">
        <v>-8888</v>
      </c>
      <c r="AA35" s="89">
        <v>3.0000000000000001E-3</v>
      </c>
      <c r="AB35" s="89">
        <v>0.02</v>
      </c>
      <c r="AC35" s="89">
        <v>0.13400000000000001</v>
      </c>
      <c r="AD35" s="89">
        <v>0.02</v>
      </c>
      <c r="AE35" s="89">
        <v>1.472</v>
      </c>
      <c r="AF35" s="89">
        <v>2.4E-2</v>
      </c>
      <c r="AG35" s="89">
        <v>1.0999999999999999E-2</v>
      </c>
      <c r="AH35" s="89">
        <v>3.1680000000000001</v>
      </c>
      <c r="AI35" s="89">
        <v>-8888</v>
      </c>
      <c r="AJ35" s="89">
        <v>7.3999999999999996E-2</v>
      </c>
      <c r="AK35" s="89">
        <v>0.04</v>
      </c>
      <c r="AL35" s="89">
        <v>-8888</v>
      </c>
      <c r="AM35" s="89">
        <v>0.38300000000000001</v>
      </c>
      <c r="AN35" s="89">
        <v>5.1999999999999998E-2</v>
      </c>
      <c r="AO35" s="89">
        <v>3.0000000000000001E-3</v>
      </c>
      <c r="AP35" s="89">
        <v>6.0000000000000001E-3</v>
      </c>
      <c r="AQ35" s="89">
        <v>7.0000000000000001E-3</v>
      </c>
      <c r="AR35" s="89">
        <v>3.9E-2</v>
      </c>
      <c r="AS35" s="89">
        <v>0.128</v>
      </c>
      <c r="AT35" s="89">
        <v>1.2E-2</v>
      </c>
      <c r="AU35" s="89">
        <v>-8888</v>
      </c>
      <c r="AV35" s="89">
        <v>3.7170000000000001</v>
      </c>
      <c r="AW35" s="89">
        <v>0.28500000000000003</v>
      </c>
      <c r="AX35" s="89">
        <v>1.4989999999999999</v>
      </c>
      <c r="AY35" s="89">
        <v>5.2160000000000002</v>
      </c>
      <c r="AZ35" s="89">
        <v>1.7839999999999998</v>
      </c>
      <c r="BA35" s="89">
        <v>2.2589999999999999</v>
      </c>
      <c r="BB35" s="89">
        <v>5.5009999999999994</v>
      </c>
      <c r="BC35" s="89">
        <v>1.5699999999999998</v>
      </c>
      <c r="BD35" s="160">
        <v>0.7</v>
      </c>
      <c r="BE35" s="160">
        <v>0.84</v>
      </c>
      <c r="BF35" s="160">
        <v>0.16</v>
      </c>
      <c r="BG35" s="160">
        <v>2.08</v>
      </c>
      <c r="BH35" s="160">
        <v>0.05</v>
      </c>
      <c r="BI35" s="160">
        <v>0.95</v>
      </c>
      <c r="BJ35" s="160">
        <v>0.59</v>
      </c>
      <c r="BL35" s="167"/>
    </row>
    <row r="36" spans="1:64" s="88" customFormat="1" ht="14.1" customHeight="1">
      <c r="A36" s="156" t="s">
        <v>298</v>
      </c>
      <c r="B36" s="165" t="s">
        <v>511</v>
      </c>
      <c r="C36" s="165" t="s">
        <v>570</v>
      </c>
      <c r="D36" s="165" t="s">
        <v>513</v>
      </c>
      <c r="E36" s="165" t="s">
        <v>173</v>
      </c>
      <c r="F36" s="165">
        <v>548</v>
      </c>
      <c r="G36" s="165">
        <v>17</v>
      </c>
      <c r="H36" s="165">
        <v>13</v>
      </c>
      <c r="I36" s="165">
        <v>3.1</v>
      </c>
      <c r="J36" s="165">
        <v>41</v>
      </c>
      <c r="K36" s="166" t="s">
        <v>514</v>
      </c>
      <c r="L36" s="165">
        <v>2024</v>
      </c>
      <c r="M36" s="165" t="s">
        <v>171</v>
      </c>
      <c r="N36" s="165">
        <v>13</v>
      </c>
      <c r="O36" s="181">
        <v>44</v>
      </c>
      <c r="P36" s="165" t="s">
        <v>571</v>
      </c>
      <c r="Q36" s="165">
        <v>-70.887</v>
      </c>
      <c r="R36" s="165">
        <v>41.027999999999999</v>
      </c>
      <c r="S36" s="165" t="s">
        <v>172</v>
      </c>
      <c r="T36" s="165">
        <v>25</v>
      </c>
      <c r="U36" s="166" t="s">
        <v>516</v>
      </c>
      <c r="V36" s="158">
        <v>1.8560000000000001</v>
      </c>
      <c r="W36" s="158">
        <v>5.5E-2</v>
      </c>
      <c r="X36" s="158">
        <v>0.27400000000000002</v>
      </c>
      <c r="Y36" s="157">
        <v>6.0999999999999999E-2</v>
      </c>
      <c r="Z36" s="159">
        <v>8.0000000000000002E-3</v>
      </c>
      <c r="AA36" s="89">
        <v>7.0000000000000001E-3</v>
      </c>
      <c r="AB36" s="89">
        <v>0.02</v>
      </c>
      <c r="AC36" s="89">
        <v>0.12</v>
      </c>
      <c r="AD36" s="89">
        <v>3.7999999999999999E-2</v>
      </c>
      <c r="AE36" s="89">
        <v>0.72599999999999998</v>
      </c>
      <c r="AF36" s="89">
        <v>6.4000000000000001E-2</v>
      </c>
      <c r="AG36" s="89">
        <v>1.0999999999999999E-2</v>
      </c>
      <c r="AH36" s="89">
        <v>1.7390000000000001</v>
      </c>
      <c r="AI36" s="89">
        <v>-8888</v>
      </c>
      <c r="AJ36" s="89">
        <v>0.11700000000000001</v>
      </c>
      <c r="AK36" s="89">
        <v>5.5E-2</v>
      </c>
      <c r="AL36" s="89">
        <v>-8888</v>
      </c>
      <c r="AM36" s="89">
        <v>0.24399999999999999</v>
      </c>
      <c r="AN36" s="89">
        <v>0.03</v>
      </c>
      <c r="AO36" s="89">
        <v>4.0000000000000001E-3</v>
      </c>
      <c r="AP36" s="89">
        <v>8.0000000000000002E-3</v>
      </c>
      <c r="AQ36" s="89">
        <v>0.01</v>
      </c>
      <c r="AR36" s="89">
        <v>1.7999999999999999E-2</v>
      </c>
      <c r="AS36" s="89">
        <v>5.2999999999999999E-2</v>
      </c>
      <c r="AT36" s="89">
        <v>1.7999999999999999E-2</v>
      </c>
      <c r="AU36" s="89">
        <v>-8888</v>
      </c>
      <c r="AV36" s="89">
        <v>2.1850000000000001</v>
      </c>
      <c r="AW36" s="89">
        <v>0.25</v>
      </c>
      <c r="AX36" s="89">
        <v>0.80499999999999994</v>
      </c>
      <c r="AY36" s="89">
        <v>2.99</v>
      </c>
      <c r="AZ36" s="89">
        <v>1.0549999999999999</v>
      </c>
      <c r="BA36" s="89">
        <v>1.3839999999999999</v>
      </c>
      <c r="BB36" s="89">
        <v>3.24</v>
      </c>
      <c r="BC36" s="89">
        <v>0.8909999999999999</v>
      </c>
      <c r="BD36" s="160">
        <v>0.75</v>
      </c>
      <c r="BE36" s="160">
        <v>0.76</v>
      </c>
      <c r="BF36" s="160">
        <v>0.24</v>
      </c>
      <c r="BG36" s="160">
        <v>2.0699999999999998</v>
      </c>
      <c r="BH36" s="160">
        <v>0.08</v>
      </c>
      <c r="BI36" s="160">
        <v>0.92</v>
      </c>
      <c r="BJ36" s="160">
        <v>0.56999999999999995</v>
      </c>
      <c r="BL36" s="167"/>
    </row>
    <row r="37" spans="1:64" s="88" customFormat="1" ht="14.1" customHeight="1">
      <c r="A37" s="156" t="s">
        <v>299</v>
      </c>
      <c r="B37" s="165" t="s">
        <v>511</v>
      </c>
      <c r="C37" s="165" t="s">
        <v>572</v>
      </c>
      <c r="D37" s="165" t="s">
        <v>513</v>
      </c>
      <c r="E37" s="165" t="s">
        <v>173</v>
      </c>
      <c r="F37" s="165">
        <v>548</v>
      </c>
      <c r="G37" s="165">
        <v>17</v>
      </c>
      <c r="H37" s="165">
        <v>13</v>
      </c>
      <c r="I37" s="165">
        <v>3.1</v>
      </c>
      <c r="J37" s="165">
        <v>41</v>
      </c>
      <c r="K37" s="166" t="s">
        <v>514</v>
      </c>
      <c r="L37" s="165">
        <v>2024</v>
      </c>
      <c r="M37" s="165" t="s">
        <v>171</v>
      </c>
      <c r="N37" s="165">
        <v>13</v>
      </c>
      <c r="O37" s="181">
        <v>44</v>
      </c>
      <c r="P37" s="165" t="s">
        <v>571</v>
      </c>
      <c r="Q37" s="165">
        <v>-70.887</v>
      </c>
      <c r="R37" s="165">
        <v>41.027999999999999</v>
      </c>
      <c r="S37" s="165" t="s">
        <v>172</v>
      </c>
      <c r="T37" s="165">
        <v>25</v>
      </c>
      <c r="U37" s="166" t="s">
        <v>516</v>
      </c>
      <c r="V37" s="158">
        <v>1.8109999999999999</v>
      </c>
      <c r="W37" s="158">
        <v>5.5E-2</v>
      </c>
      <c r="X37" s="158">
        <v>0.27</v>
      </c>
      <c r="Y37" s="157">
        <v>6.0999999999999999E-2</v>
      </c>
      <c r="Z37" s="159">
        <v>0.01</v>
      </c>
      <c r="AA37" s="89">
        <v>7.0000000000000001E-3</v>
      </c>
      <c r="AB37" s="89">
        <v>2.1999999999999999E-2</v>
      </c>
      <c r="AC37" s="89">
        <v>0.11899999999999999</v>
      </c>
      <c r="AD37" s="89">
        <v>3.4000000000000002E-2</v>
      </c>
      <c r="AE37" s="89">
        <v>0.70299999999999996</v>
      </c>
      <c r="AF37" s="89">
        <v>7.0999999999999994E-2</v>
      </c>
      <c r="AG37" s="89">
        <v>1.0999999999999999E-2</v>
      </c>
      <c r="AH37" s="89">
        <v>1.6839999999999999</v>
      </c>
      <c r="AI37" s="89">
        <v>-8888</v>
      </c>
      <c r="AJ37" s="89">
        <v>0.127</v>
      </c>
      <c r="AK37" s="89">
        <v>5.5E-2</v>
      </c>
      <c r="AL37" s="89">
        <v>-8888</v>
      </c>
      <c r="AM37" s="89">
        <v>0.24099999999999999</v>
      </c>
      <c r="AN37" s="89">
        <v>2.9000000000000001E-2</v>
      </c>
      <c r="AO37" s="89">
        <v>4.0000000000000001E-3</v>
      </c>
      <c r="AP37" s="89">
        <v>8.0000000000000002E-3</v>
      </c>
      <c r="AQ37" s="89">
        <v>1.0999999999999999E-2</v>
      </c>
      <c r="AR37" s="89">
        <v>1.7999999999999999E-2</v>
      </c>
      <c r="AS37" s="89">
        <v>6.4000000000000001E-2</v>
      </c>
      <c r="AT37" s="89">
        <v>1.7999999999999999E-2</v>
      </c>
      <c r="AU37" s="89">
        <v>-8888</v>
      </c>
      <c r="AV37" s="89">
        <v>2.1360000000000001</v>
      </c>
      <c r="AW37" s="89">
        <v>0.247</v>
      </c>
      <c r="AX37" s="89">
        <v>0.79099999999999993</v>
      </c>
      <c r="AY37" s="89">
        <v>2.927</v>
      </c>
      <c r="AZ37" s="89">
        <v>1.0379999999999998</v>
      </c>
      <c r="BA37" s="89">
        <v>1.3629999999999998</v>
      </c>
      <c r="BB37" s="89">
        <v>3.1739999999999995</v>
      </c>
      <c r="BC37" s="89">
        <v>0.87899999999999989</v>
      </c>
      <c r="BD37" s="160">
        <v>0.75</v>
      </c>
      <c r="BE37" s="160">
        <v>0.76</v>
      </c>
      <c r="BF37" s="160">
        <v>0.24</v>
      </c>
      <c r="BG37" s="160">
        <v>2.06</v>
      </c>
      <c r="BH37" s="160">
        <v>0.08</v>
      </c>
      <c r="BI37" s="160">
        <v>0.92</v>
      </c>
      <c r="BJ37" s="160">
        <v>0.56999999999999995</v>
      </c>
      <c r="BL37" s="167"/>
    </row>
    <row r="38" spans="1:64" s="88" customFormat="1" ht="14.1" customHeight="1">
      <c r="A38" s="156" t="s">
        <v>300</v>
      </c>
      <c r="B38" s="165" t="s">
        <v>511</v>
      </c>
      <c r="C38" s="165" t="s">
        <v>573</v>
      </c>
      <c r="D38" s="165" t="s">
        <v>513</v>
      </c>
      <c r="E38" s="165" t="s">
        <v>170</v>
      </c>
      <c r="F38" s="165">
        <v>547</v>
      </c>
      <c r="G38" s="165">
        <v>20</v>
      </c>
      <c r="H38" s="165">
        <v>1</v>
      </c>
      <c r="I38" s="165">
        <v>16.100000000000001</v>
      </c>
      <c r="J38" s="165">
        <v>20</v>
      </c>
      <c r="K38" s="166" t="s">
        <v>514</v>
      </c>
      <c r="L38" s="165">
        <v>2024</v>
      </c>
      <c r="M38" s="165" t="s">
        <v>171</v>
      </c>
      <c r="N38" s="165">
        <v>13</v>
      </c>
      <c r="O38" s="181">
        <v>44</v>
      </c>
      <c r="P38" s="165" t="s">
        <v>574</v>
      </c>
      <c r="Q38" s="165">
        <v>-70.581999999999994</v>
      </c>
      <c r="R38" s="165">
        <v>41.314</v>
      </c>
      <c r="S38" s="165" t="s">
        <v>172</v>
      </c>
      <c r="T38" s="165">
        <v>25</v>
      </c>
      <c r="U38" s="166" t="s">
        <v>516</v>
      </c>
      <c r="V38" s="158">
        <v>15.098000000000001</v>
      </c>
      <c r="W38" s="158">
        <v>0.11799999999999999</v>
      </c>
      <c r="X38" s="158">
        <v>2.1379999999999999</v>
      </c>
      <c r="Y38" s="157">
        <v>0.435</v>
      </c>
      <c r="Z38" s="159">
        <v>-8888</v>
      </c>
      <c r="AA38" s="89">
        <v>6.3E-2</v>
      </c>
      <c r="AB38" s="89">
        <v>4.2999999999999997E-2</v>
      </c>
      <c r="AC38" s="89">
        <v>0.65200000000000002</v>
      </c>
      <c r="AD38" s="89">
        <v>0.108</v>
      </c>
      <c r="AE38" s="89">
        <v>6.01</v>
      </c>
      <c r="AF38" s="89">
        <v>4.1000000000000002E-2</v>
      </c>
      <c r="AG38" s="89">
        <v>3.9E-2</v>
      </c>
      <c r="AH38" s="89">
        <v>14.348000000000001</v>
      </c>
      <c r="AI38" s="89">
        <v>-8888</v>
      </c>
      <c r="AJ38" s="89">
        <v>0.75</v>
      </c>
      <c r="AK38" s="89">
        <v>0.11799999999999999</v>
      </c>
      <c r="AL38" s="89">
        <v>-8888</v>
      </c>
      <c r="AM38" s="89">
        <v>2.0569999999999999</v>
      </c>
      <c r="AN38" s="89">
        <v>8.1000000000000003E-2</v>
      </c>
      <c r="AO38" s="89">
        <v>8.0000000000000002E-3</v>
      </c>
      <c r="AP38" s="89">
        <v>2.9000000000000001E-2</v>
      </c>
      <c r="AQ38" s="89">
        <v>3.1E-2</v>
      </c>
      <c r="AR38" s="89">
        <v>0.27100000000000002</v>
      </c>
      <c r="AS38" s="89">
        <v>0.95799999999999996</v>
      </c>
      <c r="AT38" s="89">
        <v>3.5999999999999997E-2</v>
      </c>
      <c r="AU38" s="89">
        <v>-8888</v>
      </c>
      <c r="AV38" s="89">
        <v>17.353999999999999</v>
      </c>
      <c r="AW38" s="89">
        <v>1.2770000000000001</v>
      </c>
      <c r="AX38" s="89">
        <v>6.1139999999999999</v>
      </c>
      <c r="AY38" s="89">
        <v>23.468</v>
      </c>
      <c r="AZ38" s="89">
        <v>7.391</v>
      </c>
      <c r="BA38" s="89">
        <v>9.6470000000000002</v>
      </c>
      <c r="BB38" s="89">
        <v>24.745000000000001</v>
      </c>
      <c r="BC38" s="89">
        <v>6.3140000000000001</v>
      </c>
      <c r="BD38" s="160">
        <v>0.64</v>
      </c>
      <c r="BE38" s="160">
        <v>0.83</v>
      </c>
      <c r="BF38" s="160">
        <v>0.17</v>
      </c>
      <c r="BG38" s="160">
        <v>2.35</v>
      </c>
      <c r="BH38" s="160">
        <v>0.05</v>
      </c>
      <c r="BI38" s="160">
        <v>0.95</v>
      </c>
      <c r="BJ38" s="160">
        <v>0.61</v>
      </c>
      <c r="BL38" s="167"/>
    </row>
    <row r="39" spans="1:64" s="88" customFormat="1" ht="14.1" customHeight="1">
      <c r="A39" s="156" t="s">
        <v>301</v>
      </c>
      <c r="B39" s="165" t="s">
        <v>511</v>
      </c>
      <c r="C39" s="165" t="s">
        <v>575</v>
      </c>
      <c r="D39" s="165" t="s">
        <v>513</v>
      </c>
      <c r="E39" s="165" t="s">
        <v>170</v>
      </c>
      <c r="F39" s="165">
        <v>548</v>
      </c>
      <c r="G39" s="165">
        <v>20</v>
      </c>
      <c r="H39" s="165">
        <v>4</v>
      </c>
      <c r="I39" s="165">
        <v>3.1</v>
      </c>
      <c r="J39" s="165">
        <v>20</v>
      </c>
      <c r="K39" s="166" t="s">
        <v>514</v>
      </c>
      <c r="L39" s="165">
        <v>2024</v>
      </c>
      <c r="M39" s="165" t="s">
        <v>171</v>
      </c>
      <c r="N39" s="165">
        <v>13</v>
      </c>
      <c r="O39" s="181">
        <v>44</v>
      </c>
      <c r="P39" s="165" t="s">
        <v>576</v>
      </c>
      <c r="Q39" s="165">
        <v>-70.582999999999998</v>
      </c>
      <c r="R39" s="165">
        <v>41.314999999999998</v>
      </c>
      <c r="S39" s="165" t="s">
        <v>172</v>
      </c>
      <c r="T39" s="165">
        <v>25</v>
      </c>
      <c r="U39" s="166" t="s">
        <v>516</v>
      </c>
      <c r="V39" s="158">
        <v>14.893000000000001</v>
      </c>
      <c r="W39" s="158">
        <v>0.122</v>
      </c>
      <c r="X39" s="158">
        <v>2.1579999999999999</v>
      </c>
      <c r="Y39" s="157">
        <v>0.42899999999999999</v>
      </c>
      <c r="Z39" s="159">
        <v>-8888</v>
      </c>
      <c r="AA39" s="89">
        <v>0.06</v>
      </c>
      <c r="AB39" s="89">
        <v>4.1000000000000002E-2</v>
      </c>
      <c r="AC39" s="89">
        <v>0.59</v>
      </c>
      <c r="AD39" s="89">
        <v>0.153</v>
      </c>
      <c r="AE39" s="89">
        <v>5.9690000000000003</v>
      </c>
      <c r="AF39" s="89">
        <v>4.5999999999999999E-2</v>
      </c>
      <c r="AG39" s="89">
        <v>4.3999999999999997E-2</v>
      </c>
      <c r="AH39" s="89">
        <v>13.881</v>
      </c>
      <c r="AI39" s="89">
        <v>-8888</v>
      </c>
      <c r="AJ39" s="89">
        <v>1.012</v>
      </c>
      <c r="AK39" s="89">
        <v>0.122</v>
      </c>
      <c r="AL39" s="89">
        <v>-8888</v>
      </c>
      <c r="AM39" s="89">
        <v>2.073</v>
      </c>
      <c r="AN39" s="89">
        <v>8.5000000000000006E-2</v>
      </c>
      <c r="AO39" s="89">
        <v>8.9999999999999993E-3</v>
      </c>
      <c r="AP39" s="89">
        <v>2.4E-2</v>
      </c>
      <c r="AQ39" s="89">
        <v>2.5999999999999999E-2</v>
      </c>
      <c r="AR39" s="89">
        <v>0.249</v>
      </c>
      <c r="AS39" s="89">
        <v>0.90900000000000003</v>
      </c>
      <c r="AT39" s="89">
        <v>3.3000000000000002E-2</v>
      </c>
      <c r="AU39" s="89">
        <v>-8888</v>
      </c>
      <c r="AV39" s="89">
        <v>17.173000000000002</v>
      </c>
      <c r="AW39" s="89">
        <v>1.2570000000000001</v>
      </c>
      <c r="AX39" s="89">
        <v>6.0750000000000002</v>
      </c>
      <c r="AY39" s="89">
        <v>23.248000000000001</v>
      </c>
      <c r="AZ39" s="89">
        <v>7.3320000000000007</v>
      </c>
      <c r="BA39" s="89">
        <v>9.6120000000000001</v>
      </c>
      <c r="BB39" s="89">
        <v>24.505000000000003</v>
      </c>
      <c r="BC39" s="89">
        <v>6.282</v>
      </c>
      <c r="BD39" s="160">
        <v>0.65</v>
      </c>
      <c r="BE39" s="160">
        <v>0.83</v>
      </c>
      <c r="BF39" s="160">
        <v>0.17</v>
      </c>
      <c r="BG39" s="160">
        <v>2.34</v>
      </c>
      <c r="BH39" s="160">
        <v>0.05</v>
      </c>
      <c r="BI39" s="160">
        <v>0.95</v>
      </c>
      <c r="BJ39" s="160">
        <v>0.61</v>
      </c>
      <c r="BL39" s="167"/>
    </row>
    <row r="40" spans="1:64" s="88" customFormat="1" ht="14.1" customHeight="1">
      <c r="A40" s="156" t="s">
        <v>302</v>
      </c>
      <c r="B40" s="165" t="s">
        <v>511</v>
      </c>
      <c r="C40" s="165" t="s">
        <v>512</v>
      </c>
      <c r="D40" s="165" t="s">
        <v>513</v>
      </c>
      <c r="E40" s="165" t="s">
        <v>170</v>
      </c>
      <c r="F40" s="165">
        <v>549</v>
      </c>
      <c r="G40" s="165">
        <v>1</v>
      </c>
      <c r="H40" s="165">
        <v>4</v>
      </c>
      <c r="I40" s="165">
        <v>16.7</v>
      </c>
      <c r="J40" s="165">
        <v>22</v>
      </c>
      <c r="K40" s="166" t="s">
        <v>514</v>
      </c>
      <c r="L40" s="165">
        <v>2024</v>
      </c>
      <c r="M40" s="165" t="s">
        <v>171</v>
      </c>
      <c r="N40" s="165">
        <v>9</v>
      </c>
      <c r="O40" s="181">
        <v>40</v>
      </c>
      <c r="P40" s="165" t="s">
        <v>515</v>
      </c>
      <c r="Q40" s="165">
        <v>-70.885000000000005</v>
      </c>
      <c r="R40" s="165">
        <v>41.192999999999998</v>
      </c>
      <c r="S40" s="165" t="s">
        <v>172</v>
      </c>
      <c r="T40" s="165">
        <v>25</v>
      </c>
      <c r="U40" s="166" t="s">
        <v>516</v>
      </c>
      <c r="V40" s="158">
        <v>5.6550000000000002</v>
      </c>
      <c r="W40" s="158">
        <v>6.4000000000000001E-2</v>
      </c>
      <c r="X40" s="158">
        <v>0.72699999999999998</v>
      </c>
      <c r="Y40" s="157">
        <v>0.15</v>
      </c>
      <c r="Z40" s="159">
        <v>-8888</v>
      </c>
      <c r="AA40" s="89">
        <v>5.0000000000000001E-3</v>
      </c>
      <c r="AB40" s="89">
        <v>1.9E-2</v>
      </c>
      <c r="AC40" s="89">
        <v>0.17899999999999999</v>
      </c>
      <c r="AD40" s="89">
        <v>1.4999999999999999E-2</v>
      </c>
      <c r="AE40" s="89">
        <v>2.387</v>
      </c>
      <c r="AF40" s="89">
        <v>2.3E-2</v>
      </c>
      <c r="AG40" s="89">
        <v>8.0000000000000002E-3</v>
      </c>
      <c r="AH40" s="89">
        <v>5.3120000000000003</v>
      </c>
      <c r="AI40" s="89">
        <v>-8888</v>
      </c>
      <c r="AJ40" s="89">
        <v>0.34300000000000003</v>
      </c>
      <c r="AK40" s="89">
        <v>6.4000000000000001E-2</v>
      </c>
      <c r="AL40" s="89">
        <v>-8888</v>
      </c>
      <c r="AM40" s="89">
        <v>0.70399999999999996</v>
      </c>
      <c r="AN40" s="89">
        <v>2.3E-2</v>
      </c>
      <c r="AO40" s="89">
        <v>-8888</v>
      </c>
      <c r="AP40" s="89">
        <v>8.9999999999999993E-3</v>
      </c>
      <c r="AQ40" s="89">
        <v>0.01</v>
      </c>
      <c r="AR40" s="89">
        <v>7.4999999999999997E-2</v>
      </c>
      <c r="AS40" s="89">
        <v>0.28599999999999998</v>
      </c>
      <c r="AT40" s="89">
        <v>1.6E-2</v>
      </c>
      <c r="AU40" s="89">
        <v>-8888</v>
      </c>
      <c r="AV40" s="89">
        <v>6.4460000000000006</v>
      </c>
      <c r="AW40" s="89">
        <v>0.371</v>
      </c>
      <c r="AX40" s="89">
        <v>2.415</v>
      </c>
      <c r="AY40" s="89">
        <v>8.8610000000000007</v>
      </c>
      <c r="AZ40" s="89">
        <v>2.786</v>
      </c>
      <c r="BA40" s="89">
        <v>3.577</v>
      </c>
      <c r="BB40" s="89">
        <v>9.2319999999999993</v>
      </c>
      <c r="BC40" s="89">
        <v>2.5060000000000002</v>
      </c>
      <c r="BD40" s="160">
        <v>0.63</v>
      </c>
      <c r="BE40" s="160">
        <v>0.87</v>
      </c>
      <c r="BF40" s="160">
        <v>0.13</v>
      </c>
      <c r="BG40" s="160">
        <v>2.31</v>
      </c>
      <c r="BH40" s="160">
        <v>0.04</v>
      </c>
      <c r="BI40" s="160">
        <v>0.96</v>
      </c>
      <c r="BJ40" s="160">
        <v>0.61</v>
      </c>
      <c r="BL40" s="167"/>
    </row>
    <row r="41" spans="1:64" s="88" customFormat="1" ht="14.1" customHeight="1">
      <c r="A41" s="156" t="s">
        <v>303</v>
      </c>
      <c r="B41" s="165" t="s">
        <v>511</v>
      </c>
      <c r="C41" s="165" t="s">
        <v>517</v>
      </c>
      <c r="D41" s="165" t="s">
        <v>513</v>
      </c>
      <c r="E41" s="165" t="s">
        <v>170</v>
      </c>
      <c r="F41" s="165">
        <v>548</v>
      </c>
      <c r="G41" s="165">
        <v>1</v>
      </c>
      <c r="H41" s="165">
        <v>17</v>
      </c>
      <c r="I41" s="165">
        <v>3.2</v>
      </c>
      <c r="J41" s="165">
        <v>22</v>
      </c>
      <c r="K41" s="166" t="s">
        <v>514</v>
      </c>
      <c r="L41" s="165">
        <v>2024</v>
      </c>
      <c r="M41" s="165" t="s">
        <v>171</v>
      </c>
      <c r="N41" s="165">
        <v>9</v>
      </c>
      <c r="O41" s="181">
        <v>40</v>
      </c>
      <c r="P41" s="165" t="s">
        <v>518</v>
      </c>
      <c r="Q41" s="165">
        <v>-70.885000000000005</v>
      </c>
      <c r="R41" s="165">
        <v>41.192999999999998</v>
      </c>
      <c r="S41" s="165" t="s">
        <v>172</v>
      </c>
      <c r="T41" s="165">
        <v>25</v>
      </c>
      <c r="U41" s="166" t="s">
        <v>516</v>
      </c>
      <c r="V41" s="158">
        <v>6.4359999999999999</v>
      </c>
      <c r="W41" s="158">
        <v>0.113</v>
      </c>
      <c r="X41" s="158">
        <v>0.99</v>
      </c>
      <c r="Y41" s="157">
        <v>0.19</v>
      </c>
      <c r="Z41" s="159">
        <v>-8888</v>
      </c>
      <c r="AA41" s="89">
        <v>5.0000000000000001E-3</v>
      </c>
      <c r="AB41" s="89">
        <v>4.3999999999999997E-2</v>
      </c>
      <c r="AC41" s="89">
        <v>0.27800000000000002</v>
      </c>
      <c r="AD41" s="89">
        <v>3.9E-2</v>
      </c>
      <c r="AE41" s="89">
        <v>2.625</v>
      </c>
      <c r="AF41" s="89">
        <v>6.8000000000000005E-2</v>
      </c>
      <c r="AG41" s="89">
        <v>1.2E-2</v>
      </c>
      <c r="AH41" s="89">
        <v>5.6890000000000001</v>
      </c>
      <c r="AI41" s="89">
        <v>-8888</v>
      </c>
      <c r="AJ41" s="89">
        <v>0.747</v>
      </c>
      <c r="AK41" s="89">
        <v>0.113</v>
      </c>
      <c r="AL41" s="89">
        <v>-8888</v>
      </c>
      <c r="AM41" s="89">
        <v>0.96399999999999997</v>
      </c>
      <c r="AN41" s="89">
        <v>2.5999999999999999E-2</v>
      </c>
      <c r="AO41" s="89">
        <v>3.0000000000000001E-3</v>
      </c>
      <c r="AP41" s="89">
        <v>1.9E-2</v>
      </c>
      <c r="AQ41" s="89">
        <v>1.6E-2</v>
      </c>
      <c r="AR41" s="89">
        <v>6.6000000000000003E-2</v>
      </c>
      <c r="AS41" s="89">
        <v>0.27700000000000002</v>
      </c>
      <c r="AT41" s="89">
        <v>2.5000000000000001E-2</v>
      </c>
      <c r="AU41" s="89">
        <v>-8888</v>
      </c>
      <c r="AV41" s="89">
        <v>7.5390000000000006</v>
      </c>
      <c r="AW41" s="89">
        <v>0.56299999999999994</v>
      </c>
      <c r="AX41" s="89">
        <v>2.698</v>
      </c>
      <c r="AY41" s="89">
        <v>10.237</v>
      </c>
      <c r="AZ41" s="89">
        <v>3.2610000000000001</v>
      </c>
      <c r="BA41" s="89">
        <v>4.3639999999999999</v>
      </c>
      <c r="BB41" s="89">
        <v>10.8</v>
      </c>
      <c r="BC41" s="89">
        <v>2.867</v>
      </c>
      <c r="BD41" s="160">
        <v>0.68</v>
      </c>
      <c r="BE41" s="160">
        <v>0.83</v>
      </c>
      <c r="BF41" s="160">
        <v>0.17</v>
      </c>
      <c r="BG41" s="160">
        <v>2.31</v>
      </c>
      <c r="BH41" s="160">
        <v>0.05</v>
      </c>
      <c r="BI41" s="160">
        <v>0.95</v>
      </c>
      <c r="BJ41" s="160">
        <v>0.6</v>
      </c>
      <c r="BL41" s="167"/>
    </row>
    <row r="42" spans="1:64" s="88" customFormat="1" ht="14.1" customHeight="1">
      <c r="A42" s="156" t="s">
        <v>304</v>
      </c>
      <c r="B42" s="169" t="s">
        <v>511</v>
      </c>
      <c r="C42" s="169" t="s">
        <v>577</v>
      </c>
      <c r="D42" s="169" t="s">
        <v>578</v>
      </c>
      <c r="E42" s="169" t="s">
        <v>170</v>
      </c>
      <c r="F42" s="169">
        <v>532</v>
      </c>
      <c r="G42" s="169">
        <v>1</v>
      </c>
      <c r="H42" s="169">
        <v>2</v>
      </c>
      <c r="I42" s="165">
        <v>17.7</v>
      </c>
      <c r="J42" s="165">
        <v>21</v>
      </c>
      <c r="K42" s="166" t="s">
        <v>514</v>
      </c>
      <c r="L42" s="165">
        <v>2024</v>
      </c>
      <c r="M42" s="165" t="s">
        <v>579</v>
      </c>
      <c r="N42" s="165">
        <v>3</v>
      </c>
      <c r="O42" s="181">
        <v>124</v>
      </c>
      <c r="P42" s="165" t="s">
        <v>580</v>
      </c>
      <c r="Q42" s="165">
        <v>-70.891000000000005</v>
      </c>
      <c r="R42" s="165">
        <v>41.198999999999998</v>
      </c>
      <c r="S42" s="165" t="s">
        <v>172</v>
      </c>
      <c r="T42" s="165">
        <v>25</v>
      </c>
      <c r="U42" s="166" t="s">
        <v>516</v>
      </c>
      <c r="V42" s="158">
        <v>1.087</v>
      </c>
      <c r="W42" s="158">
        <v>5.3999999999999999E-2</v>
      </c>
      <c r="X42" s="158">
        <v>0.13700000000000001</v>
      </c>
      <c r="Y42" s="157">
        <v>5.2999999999999999E-2</v>
      </c>
      <c r="Z42" s="159">
        <v>-8888</v>
      </c>
      <c r="AA42" s="89">
        <v>8.9999999999999993E-3</v>
      </c>
      <c r="AB42" s="89">
        <v>0.112</v>
      </c>
      <c r="AC42" s="89">
        <v>4.4999999999999998E-2</v>
      </c>
      <c r="AD42" s="89">
        <v>7.0000000000000001E-3</v>
      </c>
      <c r="AE42" s="89">
        <v>0.224</v>
      </c>
      <c r="AF42" s="89">
        <v>2.7E-2</v>
      </c>
      <c r="AG42" s="89">
        <v>1.2999999999999999E-2</v>
      </c>
      <c r="AH42" s="89">
        <v>1.0629999999999999</v>
      </c>
      <c r="AI42" s="89">
        <v>-8888</v>
      </c>
      <c r="AJ42" s="89">
        <v>2.4E-2</v>
      </c>
      <c r="AK42" s="89">
        <v>5.3999999999999999E-2</v>
      </c>
      <c r="AL42" s="89">
        <v>-8888</v>
      </c>
      <c r="AM42" s="89">
        <v>0.122</v>
      </c>
      <c r="AN42" s="89">
        <v>1.4999999999999999E-2</v>
      </c>
      <c r="AO42" s="89">
        <v>2E-3</v>
      </c>
      <c r="AP42" s="89">
        <v>6.0000000000000001E-3</v>
      </c>
      <c r="AQ42" s="89">
        <v>8.9999999999999993E-3</v>
      </c>
      <c r="AR42" s="89">
        <v>1.2999999999999999E-2</v>
      </c>
      <c r="AS42" s="89">
        <v>4.4999999999999998E-2</v>
      </c>
      <c r="AT42" s="89">
        <v>1.7000000000000001E-2</v>
      </c>
      <c r="AU42" s="89">
        <v>-8888</v>
      </c>
      <c r="AV42" s="89">
        <v>1.278</v>
      </c>
      <c r="AW42" s="89">
        <v>0.23</v>
      </c>
      <c r="AX42" s="89">
        <v>0.26</v>
      </c>
      <c r="AY42" s="89">
        <v>1.538</v>
      </c>
      <c r="AZ42" s="89">
        <v>0.49</v>
      </c>
      <c r="BA42" s="89">
        <v>0.68100000000000005</v>
      </c>
      <c r="BB42" s="89">
        <v>1.768</v>
      </c>
      <c r="BC42" s="89">
        <v>0.43900000000000006</v>
      </c>
      <c r="BD42" s="160">
        <v>0.63</v>
      </c>
      <c r="BE42" s="160">
        <v>0.53</v>
      </c>
      <c r="BF42" s="160">
        <v>0.47</v>
      </c>
      <c r="BG42" s="160">
        <v>2.61</v>
      </c>
      <c r="BH42" s="160">
        <v>0.13</v>
      </c>
      <c r="BI42" s="160">
        <v>0.87</v>
      </c>
      <c r="BJ42" s="160">
        <v>0.61</v>
      </c>
      <c r="BL42" s="167"/>
    </row>
    <row r="43" spans="1:64" s="88" customFormat="1" ht="14.1" customHeight="1">
      <c r="A43" s="156" t="s">
        <v>305</v>
      </c>
      <c r="B43" s="169" t="s">
        <v>511</v>
      </c>
      <c r="C43" s="169" t="s">
        <v>581</v>
      </c>
      <c r="D43" s="169" t="s">
        <v>578</v>
      </c>
      <c r="E43" s="169" t="s">
        <v>170</v>
      </c>
      <c r="F43" s="169">
        <v>539</v>
      </c>
      <c r="G43" s="169">
        <v>1</v>
      </c>
      <c r="H43" s="169">
        <v>7</v>
      </c>
      <c r="I43" s="165">
        <v>11.3</v>
      </c>
      <c r="J43" s="165">
        <v>21</v>
      </c>
      <c r="K43" s="166" t="s">
        <v>514</v>
      </c>
      <c r="L43" s="165">
        <v>2024</v>
      </c>
      <c r="M43" s="165" t="s">
        <v>579</v>
      </c>
      <c r="N43" s="165">
        <v>3</v>
      </c>
      <c r="O43" s="181">
        <v>124</v>
      </c>
      <c r="P43" s="165" t="s">
        <v>582</v>
      </c>
      <c r="Q43" s="165">
        <v>-70.893000000000001</v>
      </c>
      <c r="R43" s="165">
        <v>41.198999999999998</v>
      </c>
      <c r="S43" s="165" t="s">
        <v>172</v>
      </c>
      <c r="T43" s="165">
        <v>25</v>
      </c>
      <c r="U43" s="166" t="s">
        <v>516</v>
      </c>
      <c r="V43" s="158">
        <v>1.6819999999999999</v>
      </c>
      <c r="W43" s="158">
        <v>0.104</v>
      </c>
      <c r="X43" s="158">
        <v>0.20499999999999999</v>
      </c>
      <c r="Y43" s="157">
        <v>0.09</v>
      </c>
      <c r="Z43" s="159">
        <v>-8888</v>
      </c>
      <c r="AA43" s="89">
        <v>2.1999999999999999E-2</v>
      </c>
      <c r="AB43" s="89">
        <v>0.187</v>
      </c>
      <c r="AC43" s="89">
        <v>7.9000000000000001E-2</v>
      </c>
      <c r="AD43" s="89">
        <v>1.0999999999999999E-2</v>
      </c>
      <c r="AE43" s="89">
        <v>0.30599999999999999</v>
      </c>
      <c r="AF43" s="89">
        <v>2.5999999999999999E-2</v>
      </c>
      <c r="AG43" s="89">
        <v>1.4E-2</v>
      </c>
      <c r="AH43" s="89">
        <v>1.6359999999999999</v>
      </c>
      <c r="AI43" s="89">
        <v>-8888</v>
      </c>
      <c r="AJ43" s="89">
        <v>4.5999999999999999E-2</v>
      </c>
      <c r="AK43" s="89">
        <v>0.104</v>
      </c>
      <c r="AL43" s="89">
        <v>-8888</v>
      </c>
      <c r="AM43" s="89">
        <v>0.17499999999999999</v>
      </c>
      <c r="AN43" s="89">
        <v>0.03</v>
      </c>
      <c r="AO43" s="89">
        <v>5.0000000000000001E-3</v>
      </c>
      <c r="AP43" s="89">
        <v>1.2999999999999999E-2</v>
      </c>
      <c r="AQ43" s="89">
        <v>1.6E-2</v>
      </c>
      <c r="AR43" s="89">
        <v>1.7999999999999999E-2</v>
      </c>
      <c r="AS43" s="89">
        <v>5.3999999999999999E-2</v>
      </c>
      <c r="AT43" s="89">
        <v>3.5000000000000003E-2</v>
      </c>
      <c r="AU43" s="89">
        <v>-8888</v>
      </c>
      <c r="AV43" s="89">
        <v>1.9910000000000001</v>
      </c>
      <c r="AW43" s="89">
        <v>0.38100000000000001</v>
      </c>
      <c r="AX43" s="89">
        <v>0.35400000000000004</v>
      </c>
      <c r="AY43" s="89">
        <v>2.3450000000000002</v>
      </c>
      <c r="AZ43" s="89">
        <v>0.7350000000000001</v>
      </c>
      <c r="BA43" s="89">
        <v>1.044</v>
      </c>
      <c r="BB43" s="89">
        <v>2.726</v>
      </c>
      <c r="BC43" s="89">
        <v>0.65900000000000003</v>
      </c>
      <c r="BD43" s="160">
        <v>0.62</v>
      </c>
      <c r="BE43" s="160">
        <v>0.48</v>
      </c>
      <c r="BF43" s="160">
        <v>0.52</v>
      </c>
      <c r="BG43" s="160">
        <v>2.71</v>
      </c>
      <c r="BH43" s="160">
        <v>0.14000000000000001</v>
      </c>
      <c r="BI43" s="160">
        <v>0.86</v>
      </c>
      <c r="BJ43" s="160">
        <v>0.62</v>
      </c>
      <c r="BL43" s="167"/>
    </row>
    <row r="44" spans="1:64" s="88" customFormat="1" ht="14.1" customHeight="1">
      <c r="A44" s="156" t="s">
        <v>306</v>
      </c>
      <c r="B44" s="169" t="s">
        <v>511</v>
      </c>
      <c r="C44" s="169" t="s">
        <v>583</v>
      </c>
      <c r="D44" s="169" t="s">
        <v>578</v>
      </c>
      <c r="E44" s="169" t="s">
        <v>170</v>
      </c>
      <c r="F44" s="169">
        <v>548</v>
      </c>
      <c r="G44" s="169">
        <v>1</v>
      </c>
      <c r="H44" s="169">
        <v>14</v>
      </c>
      <c r="I44" s="165">
        <v>3.9</v>
      </c>
      <c r="J44" s="165">
        <v>21</v>
      </c>
      <c r="K44" s="166" t="s">
        <v>514</v>
      </c>
      <c r="L44" s="165">
        <v>2024</v>
      </c>
      <c r="M44" s="165" t="s">
        <v>579</v>
      </c>
      <c r="N44" s="165">
        <v>3</v>
      </c>
      <c r="O44" s="181">
        <v>124</v>
      </c>
      <c r="P44" s="165" t="s">
        <v>584</v>
      </c>
      <c r="Q44" s="165">
        <v>-70.894999999999996</v>
      </c>
      <c r="R44" s="165">
        <v>41.2</v>
      </c>
      <c r="S44" s="165" t="s">
        <v>172</v>
      </c>
      <c r="T44" s="165">
        <v>25</v>
      </c>
      <c r="U44" s="166" t="s">
        <v>516</v>
      </c>
      <c r="V44" s="158">
        <v>1.798</v>
      </c>
      <c r="W44" s="158">
        <v>6.9000000000000006E-2</v>
      </c>
      <c r="X44" s="158">
        <v>0.19599999999999998</v>
      </c>
      <c r="Y44" s="157">
        <v>0.10199999999999999</v>
      </c>
      <c r="Z44" s="159">
        <v>-8888</v>
      </c>
      <c r="AA44" s="89">
        <v>1.2E-2</v>
      </c>
      <c r="AB44" s="89">
        <v>0.26100000000000001</v>
      </c>
      <c r="AC44" s="89">
        <v>5.1999999999999998E-2</v>
      </c>
      <c r="AD44" s="89">
        <v>0.01</v>
      </c>
      <c r="AE44" s="89">
        <v>0.22800000000000001</v>
      </c>
      <c r="AF44" s="89">
        <v>2.7E-2</v>
      </c>
      <c r="AG44" s="89">
        <v>1.4999999999999999E-2</v>
      </c>
      <c r="AH44" s="89">
        <v>1.77</v>
      </c>
      <c r="AI44" s="89">
        <v>-8888</v>
      </c>
      <c r="AJ44" s="89">
        <v>2.8000000000000001E-2</v>
      </c>
      <c r="AK44" s="89">
        <v>6.9000000000000006E-2</v>
      </c>
      <c r="AL44" s="89">
        <v>-8888</v>
      </c>
      <c r="AM44" s="89">
        <v>0.17699999999999999</v>
      </c>
      <c r="AN44" s="89">
        <v>1.9E-2</v>
      </c>
      <c r="AO44" s="89">
        <v>3.0000000000000001E-3</v>
      </c>
      <c r="AP44" s="89">
        <v>8.0000000000000002E-3</v>
      </c>
      <c r="AQ44" s="89">
        <v>0.01</v>
      </c>
      <c r="AR44" s="89">
        <v>1.9E-2</v>
      </c>
      <c r="AS44" s="89">
        <v>4.8000000000000001E-2</v>
      </c>
      <c r="AT44" s="89">
        <v>2.1000000000000001E-2</v>
      </c>
      <c r="AU44" s="89">
        <v>-8888</v>
      </c>
      <c r="AV44" s="89">
        <v>2.0630000000000002</v>
      </c>
      <c r="AW44" s="89">
        <v>0.44</v>
      </c>
      <c r="AX44" s="89">
        <v>0.26700000000000002</v>
      </c>
      <c r="AY44" s="89">
        <v>2.33</v>
      </c>
      <c r="AZ44" s="89">
        <v>0.70700000000000007</v>
      </c>
      <c r="BA44" s="89">
        <v>0.97199999999999998</v>
      </c>
      <c r="BB44" s="89">
        <v>2.77</v>
      </c>
      <c r="BC44" s="89">
        <v>0.6120000000000001</v>
      </c>
      <c r="BD44" s="160">
        <v>0.54</v>
      </c>
      <c r="BE44" s="160">
        <v>0.38</v>
      </c>
      <c r="BF44" s="160">
        <v>0.62</v>
      </c>
      <c r="BG44" s="160">
        <v>2.92</v>
      </c>
      <c r="BH44" s="160">
        <v>0.16</v>
      </c>
      <c r="BI44" s="160">
        <v>0.84</v>
      </c>
      <c r="BJ44" s="160">
        <v>0.65</v>
      </c>
      <c r="BL44" s="167"/>
    </row>
    <row r="45" spans="1:64" s="88" customFormat="1" ht="14.1" customHeight="1">
      <c r="A45" s="156" t="s">
        <v>307</v>
      </c>
      <c r="B45" s="169" t="s">
        <v>511</v>
      </c>
      <c r="C45" s="169" t="s">
        <v>585</v>
      </c>
      <c r="D45" s="169" t="s">
        <v>578</v>
      </c>
      <c r="E45" s="169" t="s">
        <v>170</v>
      </c>
      <c r="F45" s="169">
        <v>532</v>
      </c>
      <c r="G45" s="169">
        <v>2</v>
      </c>
      <c r="H45" s="169">
        <v>1</v>
      </c>
      <c r="I45" s="165">
        <v>42.9</v>
      </c>
      <c r="J45" s="165">
        <v>46</v>
      </c>
      <c r="K45" s="166" t="s">
        <v>514</v>
      </c>
      <c r="L45" s="165">
        <v>2024</v>
      </c>
      <c r="M45" s="165" t="s">
        <v>579</v>
      </c>
      <c r="N45" s="165">
        <v>4</v>
      </c>
      <c r="O45" s="181">
        <v>125</v>
      </c>
      <c r="P45" s="165" t="s">
        <v>586</v>
      </c>
      <c r="Q45" s="165">
        <v>-70.885000000000005</v>
      </c>
      <c r="R45" s="165">
        <v>41.033000000000001</v>
      </c>
      <c r="S45" s="165" t="s">
        <v>172</v>
      </c>
      <c r="T45" s="165">
        <v>25</v>
      </c>
      <c r="U45" s="166" t="s">
        <v>516</v>
      </c>
      <c r="V45" s="158">
        <v>1.508</v>
      </c>
      <c r="W45" s="158">
        <v>4.0000000000000001E-3</v>
      </c>
      <c r="X45" s="158">
        <v>0.21200000000000002</v>
      </c>
      <c r="Y45" s="157">
        <v>6.4000000000000001E-2</v>
      </c>
      <c r="Z45" s="159">
        <v>-8888</v>
      </c>
      <c r="AA45" s="89">
        <v>-8888</v>
      </c>
      <c r="AB45" s="89">
        <v>0.108</v>
      </c>
      <c r="AC45" s="89">
        <v>3.5999999999999997E-2</v>
      </c>
      <c r="AD45" s="89">
        <v>5.0000000000000001E-3</v>
      </c>
      <c r="AE45" s="89">
        <v>0.44400000000000001</v>
      </c>
      <c r="AF45" s="89">
        <v>8.0000000000000002E-3</v>
      </c>
      <c r="AG45" s="89">
        <v>1.4999999999999999E-2</v>
      </c>
      <c r="AH45" s="89">
        <v>1.496</v>
      </c>
      <c r="AI45" s="89">
        <v>-8888</v>
      </c>
      <c r="AJ45" s="89">
        <v>1.2E-2</v>
      </c>
      <c r="AK45" s="89">
        <v>4.0000000000000001E-3</v>
      </c>
      <c r="AL45" s="89">
        <v>-8888</v>
      </c>
      <c r="AM45" s="89">
        <v>0.2</v>
      </c>
      <c r="AN45" s="89">
        <v>1.2E-2</v>
      </c>
      <c r="AO45" s="89">
        <v>-8888</v>
      </c>
      <c r="AP45" s="89">
        <v>5.0000000000000001E-3</v>
      </c>
      <c r="AQ45" s="89">
        <v>-8888</v>
      </c>
      <c r="AR45" s="89">
        <v>0.04</v>
      </c>
      <c r="AS45" s="89">
        <v>0.13200000000000001</v>
      </c>
      <c r="AT45" s="89">
        <v>2E-3</v>
      </c>
      <c r="AU45" s="89">
        <v>-8888</v>
      </c>
      <c r="AV45" s="89">
        <v>1.724</v>
      </c>
      <c r="AW45" s="89">
        <v>0.22799999999999998</v>
      </c>
      <c r="AX45" s="89">
        <v>0.45200000000000001</v>
      </c>
      <c r="AY45" s="89">
        <v>2.1760000000000002</v>
      </c>
      <c r="AZ45" s="89">
        <v>0.67999999999999994</v>
      </c>
      <c r="BA45" s="89">
        <v>0.89599999999999991</v>
      </c>
      <c r="BB45" s="89">
        <v>2.4039999999999999</v>
      </c>
      <c r="BC45" s="89">
        <v>0.57899999999999996</v>
      </c>
      <c r="BD45" s="160">
        <v>0.59</v>
      </c>
      <c r="BE45" s="160">
        <v>0.66</v>
      </c>
      <c r="BF45" s="160">
        <v>0.34</v>
      </c>
      <c r="BG45" s="160">
        <v>2.54</v>
      </c>
      <c r="BH45" s="160">
        <v>0.09</v>
      </c>
      <c r="BI45" s="160">
        <v>0.91</v>
      </c>
      <c r="BJ45" s="160">
        <v>0.63</v>
      </c>
      <c r="BL45" s="167"/>
    </row>
    <row r="46" spans="1:64" s="88" customFormat="1" ht="14.1" customHeight="1">
      <c r="A46" s="156" t="s">
        <v>308</v>
      </c>
      <c r="B46" s="169" t="s">
        <v>511</v>
      </c>
      <c r="C46" s="169" t="s">
        <v>587</v>
      </c>
      <c r="D46" s="169" t="s">
        <v>578</v>
      </c>
      <c r="E46" s="169" t="s">
        <v>170</v>
      </c>
      <c r="F46" s="169">
        <v>539</v>
      </c>
      <c r="G46" s="169">
        <v>2</v>
      </c>
      <c r="H46" s="169">
        <v>8</v>
      </c>
      <c r="I46" s="165">
        <v>23.2</v>
      </c>
      <c r="J46" s="165">
        <v>46</v>
      </c>
      <c r="K46" s="166" t="s">
        <v>514</v>
      </c>
      <c r="L46" s="165">
        <v>2024</v>
      </c>
      <c r="M46" s="165" t="s">
        <v>579</v>
      </c>
      <c r="N46" s="165">
        <v>4</v>
      </c>
      <c r="O46" s="181">
        <v>125</v>
      </c>
      <c r="P46" s="165" t="s">
        <v>588</v>
      </c>
      <c r="Q46" s="165">
        <v>-70.885000000000005</v>
      </c>
      <c r="R46" s="165">
        <v>41.033000000000001</v>
      </c>
      <c r="S46" s="165" t="s">
        <v>172</v>
      </c>
      <c r="T46" s="165">
        <v>25</v>
      </c>
      <c r="U46" s="166" t="s">
        <v>516</v>
      </c>
      <c r="V46" s="158">
        <v>1.0309999999999999</v>
      </c>
      <c r="W46" s="158">
        <v>4.5999999999999999E-2</v>
      </c>
      <c r="X46" s="158">
        <v>0.151</v>
      </c>
      <c r="Y46" s="157">
        <v>4.2999999999999997E-2</v>
      </c>
      <c r="Z46" s="159">
        <v>-8888</v>
      </c>
      <c r="AA46" s="89">
        <v>1.2999999999999999E-2</v>
      </c>
      <c r="AB46" s="89">
        <v>7.2999999999999995E-2</v>
      </c>
      <c r="AC46" s="89">
        <v>4.8000000000000001E-2</v>
      </c>
      <c r="AD46" s="89">
        <v>4.0000000000000001E-3</v>
      </c>
      <c r="AE46" s="89">
        <v>0.30299999999999999</v>
      </c>
      <c r="AF46" s="89">
        <v>0.01</v>
      </c>
      <c r="AG46" s="89">
        <v>5.0000000000000001E-3</v>
      </c>
      <c r="AH46" s="89">
        <v>1.008</v>
      </c>
      <c r="AI46" s="89">
        <v>-8888</v>
      </c>
      <c r="AJ46" s="89">
        <v>2.3E-2</v>
      </c>
      <c r="AK46" s="89">
        <v>4.5999999999999999E-2</v>
      </c>
      <c r="AL46" s="89">
        <v>-8888</v>
      </c>
      <c r="AM46" s="89">
        <v>0.13200000000000001</v>
      </c>
      <c r="AN46" s="89">
        <v>1.9E-2</v>
      </c>
      <c r="AO46" s="89">
        <v>2E-3</v>
      </c>
      <c r="AP46" s="89">
        <v>5.0000000000000001E-3</v>
      </c>
      <c r="AQ46" s="89">
        <v>5.0000000000000001E-3</v>
      </c>
      <c r="AR46" s="89">
        <v>0.01</v>
      </c>
      <c r="AS46" s="89">
        <v>2.5999999999999999E-2</v>
      </c>
      <c r="AT46" s="89">
        <v>1.4999999999999999E-2</v>
      </c>
      <c r="AU46" s="89">
        <v>-8888</v>
      </c>
      <c r="AV46" s="89">
        <v>1.228</v>
      </c>
      <c r="AW46" s="89">
        <v>0.17299999999999999</v>
      </c>
      <c r="AX46" s="89">
        <v>0.32600000000000001</v>
      </c>
      <c r="AY46" s="89">
        <v>1.554</v>
      </c>
      <c r="AZ46" s="89">
        <v>0.499</v>
      </c>
      <c r="BA46" s="89">
        <v>0.69600000000000006</v>
      </c>
      <c r="BB46" s="89">
        <v>1.7269999999999999</v>
      </c>
      <c r="BC46" s="89">
        <v>0.45</v>
      </c>
      <c r="BD46" s="160">
        <v>0.68</v>
      </c>
      <c r="BE46" s="160">
        <v>0.65</v>
      </c>
      <c r="BF46" s="160">
        <v>0.35</v>
      </c>
      <c r="BG46" s="160">
        <v>2.46</v>
      </c>
      <c r="BH46" s="160">
        <v>0.1</v>
      </c>
      <c r="BI46" s="160">
        <v>0.9</v>
      </c>
      <c r="BJ46" s="160">
        <v>0.6</v>
      </c>
      <c r="BL46" s="167"/>
    </row>
    <row r="47" spans="1:64" s="88" customFormat="1" ht="14.1" customHeight="1">
      <c r="A47" s="156" t="s">
        <v>309</v>
      </c>
      <c r="B47" s="169" t="s">
        <v>511</v>
      </c>
      <c r="C47" s="169" t="s">
        <v>589</v>
      </c>
      <c r="D47" s="169" t="s">
        <v>578</v>
      </c>
      <c r="E47" s="169" t="s">
        <v>170</v>
      </c>
      <c r="F47" s="169">
        <v>541</v>
      </c>
      <c r="G47" s="169">
        <v>2</v>
      </c>
      <c r="H47" s="169">
        <v>18</v>
      </c>
      <c r="I47" s="165">
        <v>3.5</v>
      </c>
      <c r="J47" s="165">
        <v>46</v>
      </c>
      <c r="K47" s="166" t="s">
        <v>514</v>
      </c>
      <c r="L47" s="165">
        <v>2024</v>
      </c>
      <c r="M47" s="165" t="s">
        <v>579</v>
      </c>
      <c r="N47" s="165">
        <v>4</v>
      </c>
      <c r="O47" s="181">
        <v>125</v>
      </c>
      <c r="P47" s="165" t="s">
        <v>590</v>
      </c>
      <c r="Q47" s="165">
        <v>-70.884</v>
      </c>
      <c r="R47" s="165">
        <v>41.033000000000001</v>
      </c>
      <c r="S47" s="165" t="s">
        <v>172</v>
      </c>
      <c r="T47" s="165">
        <v>25</v>
      </c>
      <c r="U47" s="166" t="s">
        <v>516</v>
      </c>
      <c r="V47" s="158">
        <v>1.1529999999999998</v>
      </c>
      <c r="W47" s="158">
        <v>4.1000000000000002E-2</v>
      </c>
      <c r="X47" s="158">
        <v>0.16</v>
      </c>
      <c r="Y47" s="157">
        <v>3.7999999999999999E-2</v>
      </c>
      <c r="Z47" s="159">
        <v>-8888</v>
      </c>
      <c r="AA47" s="89">
        <v>1.2E-2</v>
      </c>
      <c r="AB47" s="89">
        <v>6.8000000000000005E-2</v>
      </c>
      <c r="AC47" s="89">
        <v>6.9000000000000006E-2</v>
      </c>
      <c r="AD47" s="89">
        <v>4.0000000000000001E-3</v>
      </c>
      <c r="AE47" s="89">
        <v>0.36399999999999999</v>
      </c>
      <c r="AF47" s="89">
        <v>1.2999999999999999E-2</v>
      </c>
      <c r="AG47" s="89">
        <v>3.0000000000000001E-3</v>
      </c>
      <c r="AH47" s="89">
        <v>1.1439999999999999</v>
      </c>
      <c r="AI47" s="89">
        <v>-8888</v>
      </c>
      <c r="AJ47" s="89">
        <v>8.9999999999999993E-3</v>
      </c>
      <c r="AK47" s="89">
        <v>4.1000000000000002E-2</v>
      </c>
      <c r="AL47" s="89">
        <v>-8888</v>
      </c>
      <c r="AM47" s="89">
        <v>0.14799999999999999</v>
      </c>
      <c r="AN47" s="89">
        <v>1.2E-2</v>
      </c>
      <c r="AO47" s="89">
        <v>2E-3</v>
      </c>
      <c r="AP47" s="89">
        <v>5.0000000000000001E-3</v>
      </c>
      <c r="AQ47" s="89">
        <v>6.0000000000000001E-3</v>
      </c>
      <c r="AR47" s="89">
        <v>8.9999999999999993E-3</v>
      </c>
      <c r="AS47" s="89">
        <v>0.01</v>
      </c>
      <c r="AT47" s="89">
        <v>1.2999999999999999E-2</v>
      </c>
      <c r="AU47" s="89">
        <v>-8888</v>
      </c>
      <c r="AV47" s="89">
        <v>1.3539999999999996</v>
      </c>
      <c r="AW47" s="89">
        <v>0.18200000000000002</v>
      </c>
      <c r="AX47" s="89">
        <v>0.38900000000000001</v>
      </c>
      <c r="AY47" s="89">
        <v>1.7429999999999997</v>
      </c>
      <c r="AZ47" s="89">
        <v>0.57100000000000006</v>
      </c>
      <c r="BA47" s="89">
        <v>0.77200000000000013</v>
      </c>
      <c r="BB47" s="89">
        <v>1.9249999999999998</v>
      </c>
      <c r="BC47" s="89">
        <v>0.501</v>
      </c>
      <c r="BD47" s="160">
        <v>0.67</v>
      </c>
      <c r="BE47" s="160">
        <v>0.68</v>
      </c>
      <c r="BF47" s="160">
        <v>0.32</v>
      </c>
      <c r="BG47" s="160">
        <v>2.37</v>
      </c>
      <c r="BH47" s="160">
        <v>0.09</v>
      </c>
      <c r="BI47" s="160">
        <v>0.91</v>
      </c>
      <c r="BJ47" s="160">
        <v>0.6</v>
      </c>
      <c r="BL47" s="167"/>
    </row>
    <row r="48" spans="1:64" s="88" customFormat="1" ht="14.1" customHeight="1">
      <c r="A48" s="156" t="s">
        <v>310</v>
      </c>
      <c r="B48" s="169" t="s">
        <v>511</v>
      </c>
      <c r="C48" s="169" t="s">
        <v>591</v>
      </c>
      <c r="D48" s="169" t="s">
        <v>578</v>
      </c>
      <c r="E48" s="169" t="s">
        <v>170</v>
      </c>
      <c r="F48" s="169">
        <v>532</v>
      </c>
      <c r="G48" s="169">
        <v>5</v>
      </c>
      <c r="H48" s="169">
        <v>7</v>
      </c>
      <c r="I48" s="165">
        <v>33.799999999999997</v>
      </c>
      <c r="J48" s="165">
        <v>67</v>
      </c>
      <c r="K48" s="166" t="s">
        <v>514</v>
      </c>
      <c r="L48" s="165">
        <v>2024</v>
      </c>
      <c r="M48" s="165" t="s">
        <v>579</v>
      </c>
      <c r="N48" s="165">
        <v>4</v>
      </c>
      <c r="O48" s="181">
        <v>125</v>
      </c>
      <c r="P48" s="165" t="s">
        <v>592</v>
      </c>
      <c r="Q48" s="165">
        <v>-70.882999999999996</v>
      </c>
      <c r="R48" s="165">
        <v>40.695999999999998</v>
      </c>
      <c r="S48" s="165" t="s">
        <v>172</v>
      </c>
      <c r="T48" s="165">
        <v>25</v>
      </c>
      <c r="U48" s="166" t="s">
        <v>516</v>
      </c>
      <c r="V48" s="158">
        <v>0.63400000000000001</v>
      </c>
      <c r="W48" s="158">
        <v>6.3E-2</v>
      </c>
      <c r="X48" s="158">
        <v>0.154</v>
      </c>
      <c r="Y48" s="157">
        <v>3.1E-2</v>
      </c>
      <c r="Z48" s="159">
        <v>-8888</v>
      </c>
      <c r="AA48" s="89">
        <v>1.2E-2</v>
      </c>
      <c r="AB48" s="89">
        <v>2.1000000000000001E-2</v>
      </c>
      <c r="AC48" s="89">
        <v>0.02</v>
      </c>
      <c r="AD48" s="89">
        <v>3.0000000000000001E-3</v>
      </c>
      <c r="AE48" s="89">
        <v>0.30099999999999999</v>
      </c>
      <c r="AF48" s="89">
        <v>5.0000000000000001E-3</v>
      </c>
      <c r="AG48" s="89">
        <v>7.0000000000000001E-3</v>
      </c>
      <c r="AH48" s="89">
        <v>0.622</v>
      </c>
      <c r="AI48" s="89">
        <v>-8888</v>
      </c>
      <c r="AJ48" s="89">
        <v>1.2E-2</v>
      </c>
      <c r="AK48" s="89">
        <v>6.3E-2</v>
      </c>
      <c r="AL48" s="89">
        <v>-8888</v>
      </c>
      <c r="AM48" s="89">
        <v>9.7000000000000003E-2</v>
      </c>
      <c r="AN48" s="89">
        <v>5.7000000000000002E-2</v>
      </c>
      <c r="AO48" s="89">
        <v>-8888</v>
      </c>
      <c r="AP48" s="89">
        <v>7.0000000000000001E-3</v>
      </c>
      <c r="AQ48" s="89">
        <v>3.0000000000000001E-3</v>
      </c>
      <c r="AR48" s="89">
        <v>3.5000000000000003E-2</v>
      </c>
      <c r="AS48" s="89">
        <v>0.17</v>
      </c>
      <c r="AT48" s="89">
        <v>0.03</v>
      </c>
      <c r="AU48" s="89">
        <v>-8888</v>
      </c>
      <c r="AV48" s="89">
        <v>0.85100000000000009</v>
      </c>
      <c r="AW48" s="89">
        <v>8.2000000000000003E-2</v>
      </c>
      <c r="AX48" s="89">
        <v>0.318</v>
      </c>
      <c r="AY48" s="89">
        <v>1.169</v>
      </c>
      <c r="AZ48" s="89">
        <v>0.4</v>
      </c>
      <c r="BA48" s="89">
        <v>0.61699999999999999</v>
      </c>
      <c r="BB48" s="89">
        <v>1.2509999999999999</v>
      </c>
      <c r="BC48" s="89">
        <v>0.40900000000000003</v>
      </c>
      <c r="BD48" s="160">
        <v>0.97</v>
      </c>
      <c r="BE48" s="160">
        <v>0.8</v>
      </c>
      <c r="BF48" s="160">
        <v>0.21</v>
      </c>
      <c r="BG48" s="160">
        <v>2.13</v>
      </c>
      <c r="BH48" s="160">
        <v>7.0000000000000007E-2</v>
      </c>
      <c r="BI48" s="160">
        <v>0.93</v>
      </c>
      <c r="BJ48" s="160">
        <v>0.51</v>
      </c>
      <c r="BL48" s="167"/>
    </row>
    <row r="49" spans="1:64" s="88" customFormat="1" ht="14.1" customHeight="1">
      <c r="A49" s="156" t="s">
        <v>312</v>
      </c>
      <c r="B49" s="169" t="s">
        <v>511</v>
      </c>
      <c r="C49" s="169" t="s">
        <v>593</v>
      </c>
      <c r="D49" s="169" t="s">
        <v>578</v>
      </c>
      <c r="E49" s="169" t="s">
        <v>170</v>
      </c>
      <c r="F49" s="169">
        <v>539</v>
      </c>
      <c r="G49" s="169">
        <v>5</v>
      </c>
      <c r="H49" s="169">
        <v>13</v>
      </c>
      <c r="I49" s="165">
        <v>10.1</v>
      </c>
      <c r="J49" s="165">
        <v>67</v>
      </c>
      <c r="K49" s="166" t="s">
        <v>514</v>
      </c>
      <c r="L49" s="165">
        <v>2024</v>
      </c>
      <c r="M49" s="165" t="s">
        <v>579</v>
      </c>
      <c r="N49" s="165">
        <v>4</v>
      </c>
      <c r="O49" s="181">
        <v>125</v>
      </c>
      <c r="P49" s="165" t="s">
        <v>594</v>
      </c>
      <c r="Q49" s="165">
        <v>-70.882999999999996</v>
      </c>
      <c r="R49" s="165">
        <v>40.695999999999998</v>
      </c>
      <c r="S49" s="165" t="s">
        <v>172</v>
      </c>
      <c r="T49" s="165">
        <v>25</v>
      </c>
      <c r="U49" s="166" t="s">
        <v>516</v>
      </c>
      <c r="V49" s="158">
        <v>4.9450000000000003</v>
      </c>
      <c r="W49" s="158">
        <v>0.23200000000000001</v>
      </c>
      <c r="X49" s="158">
        <v>0.92999999999999994</v>
      </c>
      <c r="Y49" s="157">
        <v>0.221</v>
      </c>
      <c r="Z49" s="159">
        <v>-8888</v>
      </c>
      <c r="AA49" s="89">
        <v>0.23100000000000001</v>
      </c>
      <c r="AB49" s="89">
        <v>0.40899999999999997</v>
      </c>
      <c r="AC49" s="89">
        <v>0.251</v>
      </c>
      <c r="AD49" s="89">
        <v>3.2000000000000001E-2</v>
      </c>
      <c r="AE49" s="89">
        <v>1.6659999999999999</v>
      </c>
      <c r="AF49" s="89">
        <v>7.3999999999999996E-2</v>
      </c>
      <c r="AG49" s="89">
        <v>2.1000000000000001E-2</v>
      </c>
      <c r="AH49" s="89">
        <v>4.4790000000000001</v>
      </c>
      <c r="AI49" s="89">
        <v>-8888</v>
      </c>
      <c r="AJ49" s="89">
        <v>0.46600000000000003</v>
      </c>
      <c r="AK49" s="89">
        <v>0.23200000000000001</v>
      </c>
      <c r="AL49" s="89">
        <v>-8888</v>
      </c>
      <c r="AM49" s="89">
        <v>0.71799999999999997</v>
      </c>
      <c r="AN49" s="89">
        <v>0.21199999999999999</v>
      </c>
      <c r="AO49" s="89">
        <v>1.0999999999999999E-2</v>
      </c>
      <c r="AP49" s="89">
        <v>2.5999999999999999E-2</v>
      </c>
      <c r="AQ49" s="89">
        <v>3.3000000000000002E-2</v>
      </c>
      <c r="AR49" s="89">
        <v>3.9E-2</v>
      </c>
      <c r="AS49" s="89">
        <v>0.128</v>
      </c>
      <c r="AT49" s="89">
        <v>0.10199999999999999</v>
      </c>
      <c r="AU49" s="89">
        <v>-8888</v>
      </c>
      <c r="AV49" s="89">
        <v>6.1070000000000002</v>
      </c>
      <c r="AW49" s="89">
        <v>0.93399999999999994</v>
      </c>
      <c r="AX49" s="89">
        <v>1.9710000000000001</v>
      </c>
      <c r="AY49" s="89">
        <v>8.0779999999999994</v>
      </c>
      <c r="AZ49" s="89">
        <v>2.9050000000000002</v>
      </c>
      <c r="BA49" s="89">
        <v>4.0670000000000002</v>
      </c>
      <c r="BB49" s="89">
        <v>9.0120000000000005</v>
      </c>
      <c r="BC49" s="89">
        <v>2.633</v>
      </c>
      <c r="BD49" s="160">
        <v>0.82</v>
      </c>
      <c r="BE49" s="160">
        <v>0.68</v>
      </c>
      <c r="BF49" s="160">
        <v>0.32</v>
      </c>
      <c r="BG49" s="160">
        <v>2.1</v>
      </c>
      <c r="BH49" s="160">
        <v>0.1</v>
      </c>
      <c r="BI49" s="160">
        <v>0.9</v>
      </c>
      <c r="BJ49" s="160">
        <v>0.55000000000000004</v>
      </c>
      <c r="BL49" s="167"/>
    </row>
    <row r="50" spans="1:64" s="88" customFormat="1" ht="14.1" customHeight="1">
      <c r="A50" s="156" t="s">
        <v>313</v>
      </c>
      <c r="B50" s="169" t="s">
        <v>511</v>
      </c>
      <c r="C50" s="169" t="s">
        <v>595</v>
      </c>
      <c r="D50" s="169" t="s">
        <v>578</v>
      </c>
      <c r="E50" s="169" t="s">
        <v>170</v>
      </c>
      <c r="F50" s="169">
        <v>548</v>
      </c>
      <c r="G50" s="169">
        <v>5</v>
      </c>
      <c r="H50" s="169">
        <v>18</v>
      </c>
      <c r="I50" s="165">
        <v>3.1</v>
      </c>
      <c r="J50" s="165">
        <v>67</v>
      </c>
      <c r="K50" s="166" t="s">
        <v>514</v>
      </c>
      <c r="L50" s="165">
        <v>2024</v>
      </c>
      <c r="M50" s="165" t="s">
        <v>579</v>
      </c>
      <c r="N50" s="165">
        <v>4</v>
      </c>
      <c r="O50" s="181">
        <v>125</v>
      </c>
      <c r="P50" s="165" t="s">
        <v>596</v>
      </c>
      <c r="Q50" s="165">
        <v>-70.884</v>
      </c>
      <c r="R50" s="165">
        <v>40.695999999999998</v>
      </c>
      <c r="S50" s="165" t="s">
        <v>172</v>
      </c>
      <c r="T50" s="165">
        <v>25</v>
      </c>
      <c r="U50" s="166" t="s">
        <v>516</v>
      </c>
      <c r="V50" s="158">
        <v>4.8600000000000003</v>
      </c>
      <c r="W50" s="158">
        <v>0.216</v>
      </c>
      <c r="X50" s="158">
        <v>0.90799999999999992</v>
      </c>
      <c r="Y50" s="157">
        <v>0.21099999999999999</v>
      </c>
      <c r="Z50" s="159">
        <v>-8888</v>
      </c>
      <c r="AA50" s="89">
        <v>0.222</v>
      </c>
      <c r="AB50" s="89">
        <v>0.38800000000000001</v>
      </c>
      <c r="AC50" s="89">
        <v>0.253</v>
      </c>
      <c r="AD50" s="89">
        <v>3.5999999999999997E-2</v>
      </c>
      <c r="AE50" s="89">
        <v>1.6619999999999999</v>
      </c>
      <c r="AF50" s="89">
        <v>6.6000000000000003E-2</v>
      </c>
      <c r="AG50" s="89">
        <v>0.02</v>
      </c>
      <c r="AH50" s="89">
        <v>4.5170000000000003</v>
      </c>
      <c r="AI50" s="89">
        <v>-8888</v>
      </c>
      <c r="AJ50" s="89">
        <v>0.34300000000000003</v>
      </c>
      <c r="AK50" s="89">
        <v>0.216</v>
      </c>
      <c r="AL50" s="89">
        <v>-8888</v>
      </c>
      <c r="AM50" s="89">
        <v>0.70199999999999996</v>
      </c>
      <c r="AN50" s="89">
        <v>0.20599999999999999</v>
      </c>
      <c r="AO50" s="89">
        <v>8.9999999999999993E-3</v>
      </c>
      <c r="AP50" s="89">
        <v>2.5000000000000001E-2</v>
      </c>
      <c r="AQ50" s="89">
        <v>3.2000000000000001E-2</v>
      </c>
      <c r="AR50" s="89">
        <v>3.6999999999999998E-2</v>
      </c>
      <c r="AS50" s="89">
        <v>9.9000000000000005E-2</v>
      </c>
      <c r="AT50" s="89">
        <v>9.6000000000000002E-2</v>
      </c>
      <c r="AU50" s="89">
        <v>-8888</v>
      </c>
      <c r="AV50" s="89">
        <v>5.984</v>
      </c>
      <c r="AW50" s="89">
        <v>0.90800000000000003</v>
      </c>
      <c r="AX50" s="89">
        <v>1.95</v>
      </c>
      <c r="AY50" s="89">
        <v>7.9340000000000002</v>
      </c>
      <c r="AZ50" s="89">
        <v>2.8580000000000001</v>
      </c>
      <c r="BA50" s="89">
        <v>3.9820000000000002</v>
      </c>
      <c r="BB50" s="89">
        <v>8.8420000000000005</v>
      </c>
      <c r="BC50" s="89">
        <v>2.5739999999999998</v>
      </c>
      <c r="BD50" s="160">
        <v>0.82</v>
      </c>
      <c r="BE50" s="160">
        <v>0.68</v>
      </c>
      <c r="BF50" s="160">
        <v>0.32</v>
      </c>
      <c r="BG50" s="160">
        <v>2.09</v>
      </c>
      <c r="BH50" s="160">
        <v>0.1</v>
      </c>
      <c r="BI50" s="160">
        <v>0.9</v>
      </c>
      <c r="BJ50" s="160">
        <v>0.55000000000000004</v>
      </c>
      <c r="BL50" s="167"/>
    </row>
    <row r="51" spans="1:64" s="88" customFormat="1" ht="14.1" customHeight="1">
      <c r="A51" s="156" t="s">
        <v>314</v>
      </c>
      <c r="B51" s="169" t="s">
        <v>511</v>
      </c>
      <c r="C51" s="169" t="s">
        <v>597</v>
      </c>
      <c r="D51" s="169" t="s">
        <v>578</v>
      </c>
      <c r="E51" s="169" t="s">
        <v>170</v>
      </c>
      <c r="F51" s="169">
        <v>539</v>
      </c>
      <c r="G51" s="169">
        <v>6</v>
      </c>
      <c r="H51" s="169">
        <v>12</v>
      </c>
      <c r="I51" s="165">
        <v>23.2</v>
      </c>
      <c r="J51" s="165">
        <v>76</v>
      </c>
      <c r="K51" s="166" t="s">
        <v>514</v>
      </c>
      <c r="L51" s="165">
        <v>2024</v>
      </c>
      <c r="M51" s="165" t="s">
        <v>579</v>
      </c>
      <c r="N51" s="165">
        <v>4</v>
      </c>
      <c r="O51" s="181">
        <v>125</v>
      </c>
      <c r="P51" s="165" t="s">
        <v>598</v>
      </c>
      <c r="Q51" s="165">
        <v>-70.884</v>
      </c>
      <c r="R51" s="165">
        <v>40.515999999999998</v>
      </c>
      <c r="S51" s="165" t="s">
        <v>172</v>
      </c>
      <c r="T51" s="165">
        <v>25</v>
      </c>
      <c r="U51" s="166" t="s">
        <v>516</v>
      </c>
      <c r="V51" s="158">
        <v>1.7000000000000002</v>
      </c>
      <c r="W51" s="158">
        <v>0.11600000000000001</v>
      </c>
      <c r="X51" s="158">
        <v>0.35899999999999999</v>
      </c>
      <c r="Y51" s="157">
        <v>6.7000000000000004E-2</v>
      </c>
      <c r="Z51" s="159">
        <v>0.02</v>
      </c>
      <c r="AA51" s="89">
        <v>5.8000000000000003E-2</v>
      </c>
      <c r="AB51" s="89">
        <v>6.7000000000000004E-2</v>
      </c>
      <c r="AC51" s="89">
        <v>6.7000000000000004E-2</v>
      </c>
      <c r="AD51" s="89">
        <v>1.0999999999999999E-2</v>
      </c>
      <c r="AE51" s="89">
        <v>0.67200000000000004</v>
      </c>
      <c r="AF51" s="89">
        <v>7.5999999999999998E-2</v>
      </c>
      <c r="AG51" s="89">
        <v>0.01</v>
      </c>
      <c r="AH51" s="89">
        <v>1.6160000000000001</v>
      </c>
      <c r="AI51" s="89">
        <v>-8888</v>
      </c>
      <c r="AJ51" s="89">
        <v>8.4000000000000005E-2</v>
      </c>
      <c r="AK51" s="89">
        <v>0.11600000000000001</v>
      </c>
      <c r="AL51" s="89">
        <v>-8888</v>
      </c>
      <c r="AM51" s="89">
        <v>0.251</v>
      </c>
      <c r="AN51" s="89">
        <v>0.108</v>
      </c>
      <c r="AO51" s="89">
        <v>3.0000000000000001E-3</v>
      </c>
      <c r="AP51" s="89">
        <v>1.2999999999999999E-2</v>
      </c>
      <c r="AQ51" s="89">
        <v>1.2999999999999999E-2</v>
      </c>
      <c r="AR51" s="89">
        <v>1.2999999999999999E-2</v>
      </c>
      <c r="AS51" s="89">
        <v>4.2000000000000003E-2</v>
      </c>
      <c r="AT51" s="89">
        <v>0.05</v>
      </c>
      <c r="AU51" s="89">
        <v>-8888</v>
      </c>
      <c r="AV51" s="89">
        <v>2.1750000000000003</v>
      </c>
      <c r="AW51" s="89">
        <v>0.22200000000000003</v>
      </c>
      <c r="AX51" s="89">
        <v>0.82600000000000007</v>
      </c>
      <c r="AY51" s="89">
        <v>3.0010000000000003</v>
      </c>
      <c r="AZ51" s="89">
        <v>1.048</v>
      </c>
      <c r="BA51" s="89">
        <v>1.5230000000000001</v>
      </c>
      <c r="BB51" s="89">
        <v>3.2230000000000003</v>
      </c>
      <c r="BC51" s="89">
        <v>1.0190000000000001</v>
      </c>
      <c r="BD51" s="160">
        <v>0.9</v>
      </c>
      <c r="BE51" s="160">
        <v>0.79</v>
      </c>
      <c r="BF51" s="160">
        <v>0.21</v>
      </c>
      <c r="BG51" s="160">
        <v>2.08</v>
      </c>
      <c r="BH51" s="160">
        <v>7.0000000000000007E-2</v>
      </c>
      <c r="BI51" s="160">
        <v>0.93</v>
      </c>
      <c r="BJ51" s="160">
        <v>0.53</v>
      </c>
      <c r="BL51" s="167"/>
    </row>
    <row r="52" spans="1:64" s="88" customFormat="1" ht="14.1" customHeight="1">
      <c r="A52" s="156" t="s">
        <v>315</v>
      </c>
      <c r="B52" s="169" t="s">
        <v>511</v>
      </c>
      <c r="C52" s="169" t="s">
        <v>599</v>
      </c>
      <c r="D52" s="169" t="s">
        <v>578</v>
      </c>
      <c r="E52" s="169" t="s">
        <v>173</v>
      </c>
      <c r="F52" s="169">
        <v>548</v>
      </c>
      <c r="G52" s="169">
        <v>6</v>
      </c>
      <c r="H52" s="169">
        <v>18</v>
      </c>
      <c r="I52" s="165">
        <v>3.4</v>
      </c>
      <c r="J52" s="165">
        <v>76</v>
      </c>
      <c r="K52" s="166" t="s">
        <v>514</v>
      </c>
      <c r="L52" s="165">
        <v>2024</v>
      </c>
      <c r="M52" s="165" t="s">
        <v>579</v>
      </c>
      <c r="N52" s="165">
        <v>4</v>
      </c>
      <c r="O52" s="181">
        <v>125</v>
      </c>
      <c r="P52" s="165" t="s">
        <v>600</v>
      </c>
      <c r="Q52" s="165">
        <v>-70.884</v>
      </c>
      <c r="R52" s="165">
        <v>40.515999999999998</v>
      </c>
      <c r="S52" s="165" t="s">
        <v>172</v>
      </c>
      <c r="T52" s="165">
        <v>25</v>
      </c>
      <c r="U52" s="166" t="s">
        <v>516</v>
      </c>
      <c r="V52" s="158">
        <v>1.224</v>
      </c>
      <c r="W52" s="158">
        <v>8.6999999999999994E-2</v>
      </c>
      <c r="X52" s="158">
        <v>0.215</v>
      </c>
      <c r="Y52" s="157">
        <v>5.7000000000000002E-2</v>
      </c>
      <c r="Z52" s="159">
        <v>1.4999999999999999E-2</v>
      </c>
      <c r="AA52" s="89">
        <v>5.5E-2</v>
      </c>
      <c r="AB52" s="89">
        <v>0.10100000000000001</v>
      </c>
      <c r="AC52" s="89">
        <v>0.16300000000000001</v>
      </c>
      <c r="AD52" s="89">
        <v>3.2000000000000001E-2</v>
      </c>
      <c r="AE52" s="89">
        <v>0.29299999999999998</v>
      </c>
      <c r="AF52" s="89">
        <v>0.11600000000000001</v>
      </c>
      <c r="AG52" s="89">
        <v>1.4999999999999999E-2</v>
      </c>
      <c r="AH52" s="89">
        <v>1.075</v>
      </c>
      <c r="AI52" s="89">
        <v>-8888</v>
      </c>
      <c r="AJ52" s="89">
        <v>0.14899999999999999</v>
      </c>
      <c r="AK52" s="89">
        <v>8.6999999999999994E-2</v>
      </c>
      <c r="AL52" s="89">
        <v>-8888</v>
      </c>
      <c r="AM52" s="89">
        <v>0.16300000000000001</v>
      </c>
      <c r="AN52" s="89">
        <v>5.1999999999999998E-2</v>
      </c>
      <c r="AO52" s="89">
        <v>8.0000000000000002E-3</v>
      </c>
      <c r="AP52" s="89">
        <v>0.01</v>
      </c>
      <c r="AQ52" s="89">
        <v>1.2999999999999999E-2</v>
      </c>
      <c r="AR52" s="89">
        <v>7.0000000000000001E-3</v>
      </c>
      <c r="AS52" s="89">
        <v>1.2E-2</v>
      </c>
      <c r="AT52" s="89">
        <v>1.4999999999999999E-2</v>
      </c>
      <c r="AU52" s="89">
        <v>-8888</v>
      </c>
      <c r="AV52" s="89">
        <v>1.526</v>
      </c>
      <c r="AW52" s="89">
        <v>0.36800000000000005</v>
      </c>
      <c r="AX52" s="89">
        <v>0.47899999999999998</v>
      </c>
      <c r="AY52" s="89">
        <v>2.0049999999999999</v>
      </c>
      <c r="AZ52" s="89">
        <v>0.84699999999999998</v>
      </c>
      <c r="BA52" s="89">
        <v>1.149</v>
      </c>
      <c r="BB52" s="89">
        <v>2.3730000000000002</v>
      </c>
      <c r="BC52" s="89">
        <v>0.68199999999999994</v>
      </c>
      <c r="BD52" s="160">
        <v>0.94</v>
      </c>
      <c r="BE52" s="160">
        <v>0.56999999999999995</v>
      </c>
      <c r="BF52" s="160">
        <v>0.43</v>
      </c>
      <c r="BG52" s="160">
        <v>1.8</v>
      </c>
      <c r="BH52" s="160">
        <v>0.16</v>
      </c>
      <c r="BI52" s="160">
        <v>0.84</v>
      </c>
      <c r="BJ52" s="160">
        <v>0.52</v>
      </c>
      <c r="BL52" s="167"/>
    </row>
    <row r="53" spans="1:64" s="88" customFormat="1" ht="14.1" customHeight="1">
      <c r="A53" s="156" t="s">
        <v>316</v>
      </c>
      <c r="B53" s="169" t="s">
        <v>511</v>
      </c>
      <c r="C53" s="169" t="s">
        <v>601</v>
      </c>
      <c r="D53" s="169" t="s">
        <v>578</v>
      </c>
      <c r="E53" s="169" t="s">
        <v>173</v>
      </c>
      <c r="F53" s="169">
        <v>548</v>
      </c>
      <c r="G53" s="169">
        <v>6</v>
      </c>
      <c r="H53" s="169">
        <v>18</v>
      </c>
      <c r="I53" s="165">
        <v>3.4</v>
      </c>
      <c r="J53" s="165">
        <v>76</v>
      </c>
      <c r="K53" s="166" t="s">
        <v>514</v>
      </c>
      <c r="L53" s="165">
        <v>2024</v>
      </c>
      <c r="M53" s="165" t="s">
        <v>579</v>
      </c>
      <c r="N53" s="165">
        <v>4</v>
      </c>
      <c r="O53" s="181">
        <v>125</v>
      </c>
      <c r="P53" s="165" t="s">
        <v>600</v>
      </c>
      <c r="Q53" s="165">
        <v>-70.884</v>
      </c>
      <c r="R53" s="165">
        <v>40.515999999999998</v>
      </c>
      <c r="S53" s="165" t="s">
        <v>172</v>
      </c>
      <c r="T53" s="165">
        <v>25</v>
      </c>
      <c r="U53" s="166" t="s">
        <v>516</v>
      </c>
      <c r="V53" s="158">
        <v>1.3199999999999998</v>
      </c>
      <c r="W53" s="158">
        <v>9.4E-2</v>
      </c>
      <c r="X53" s="158">
        <v>0.22799999999999998</v>
      </c>
      <c r="Y53" s="157">
        <v>6.0999999999999999E-2</v>
      </c>
      <c r="Z53" s="159">
        <v>1.7000000000000001E-2</v>
      </c>
      <c r="AA53" s="89">
        <v>5.8000000000000003E-2</v>
      </c>
      <c r="AB53" s="89">
        <v>0.106</v>
      </c>
      <c r="AC53" s="89">
        <v>0.17</v>
      </c>
      <c r="AD53" s="89">
        <v>3.3000000000000002E-2</v>
      </c>
      <c r="AE53" s="89">
        <v>0.30599999999999999</v>
      </c>
      <c r="AF53" s="89">
        <v>0.125</v>
      </c>
      <c r="AG53" s="89">
        <v>1.4999999999999999E-2</v>
      </c>
      <c r="AH53" s="89">
        <v>1.202</v>
      </c>
      <c r="AI53" s="89">
        <v>-8888</v>
      </c>
      <c r="AJ53" s="89">
        <v>0.11799999999999999</v>
      </c>
      <c r="AK53" s="89">
        <v>9.4E-2</v>
      </c>
      <c r="AL53" s="89">
        <v>-8888</v>
      </c>
      <c r="AM53" s="89">
        <v>0.17299999999999999</v>
      </c>
      <c r="AN53" s="89">
        <v>5.5E-2</v>
      </c>
      <c r="AO53" s="89">
        <v>8.0000000000000002E-3</v>
      </c>
      <c r="AP53" s="89">
        <v>1.0999999999999999E-2</v>
      </c>
      <c r="AQ53" s="89">
        <v>1.4E-2</v>
      </c>
      <c r="AR53" s="89">
        <v>8.0000000000000002E-3</v>
      </c>
      <c r="AS53" s="89">
        <v>1.0999999999999999E-2</v>
      </c>
      <c r="AT53" s="89">
        <v>1.6E-2</v>
      </c>
      <c r="AU53" s="89">
        <v>-8888</v>
      </c>
      <c r="AV53" s="89">
        <v>1.6419999999999999</v>
      </c>
      <c r="AW53" s="89">
        <v>0.38500000000000006</v>
      </c>
      <c r="AX53" s="89">
        <v>0.50600000000000001</v>
      </c>
      <c r="AY53" s="89">
        <v>2.1479999999999997</v>
      </c>
      <c r="AZ53" s="89">
        <v>0.89100000000000001</v>
      </c>
      <c r="BA53" s="89">
        <v>1.2130000000000001</v>
      </c>
      <c r="BB53" s="89">
        <v>2.5329999999999999</v>
      </c>
      <c r="BC53" s="89">
        <v>0.72100000000000009</v>
      </c>
      <c r="BD53" s="160">
        <v>0.92</v>
      </c>
      <c r="BE53" s="160">
        <v>0.56999999999999995</v>
      </c>
      <c r="BF53" s="160">
        <v>0.43</v>
      </c>
      <c r="BG53" s="160">
        <v>1.84</v>
      </c>
      <c r="BH53" s="160">
        <v>0.15</v>
      </c>
      <c r="BI53" s="160">
        <v>0.85</v>
      </c>
      <c r="BJ53" s="160">
        <v>0.52</v>
      </c>
      <c r="BL53" s="167"/>
    </row>
    <row r="54" spans="1:64" s="88" customFormat="1" ht="14.1" customHeight="1">
      <c r="A54" s="156" t="s">
        <v>317</v>
      </c>
      <c r="B54" s="169" t="s">
        <v>511</v>
      </c>
      <c r="C54" s="169" t="s">
        <v>602</v>
      </c>
      <c r="D54" s="169" t="s">
        <v>578</v>
      </c>
      <c r="E54" s="169" t="s">
        <v>170</v>
      </c>
      <c r="F54" s="169">
        <v>532</v>
      </c>
      <c r="G54" s="169">
        <v>7</v>
      </c>
      <c r="H54" s="169">
        <v>7</v>
      </c>
      <c r="I54" s="165">
        <v>36.299999999999997</v>
      </c>
      <c r="J54" s="165">
        <v>440</v>
      </c>
      <c r="K54" s="166" t="s">
        <v>514</v>
      </c>
      <c r="L54" s="165">
        <v>2024</v>
      </c>
      <c r="M54" s="165" t="s">
        <v>579</v>
      </c>
      <c r="N54" s="165">
        <v>5</v>
      </c>
      <c r="O54" s="181">
        <v>126</v>
      </c>
      <c r="P54" s="165" t="s">
        <v>603</v>
      </c>
      <c r="Q54" s="165">
        <v>-70.878</v>
      </c>
      <c r="R54" s="165">
        <v>39.950000000000003</v>
      </c>
      <c r="S54" s="165" t="s">
        <v>172</v>
      </c>
      <c r="T54" s="165">
        <v>25</v>
      </c>
      <c r="U54" s="166" t="s">
        <v>516</v>
      </c>
      <c r="V54" s="158">
        <v>0.42199999999999999</v>
      </c>
      <c r="W54" s="158">
        <v>0.14000000000000001</v>
      </c>
      <c r="X54" s="158">
        <v>8.4999999999999992E-2</v>
      </c>
      <c r="Y54" s="157">
        <v>1.9E-2</v>
      </c>
      <c r="Z54" s="159">
        <v>1.2E-2</v>
      </c>
      <c r="AA54" s="89">
        <v>4.5999999999999999E-2</v>
      </c>
      <c r="AB54" s="89">
        <v>5.0000000000000001E-3</v>
      </c>
      <c r="AC54" s="89">
        <v>1.2E-2</v>
      </c>
      <c r="AD54" s="89">
        <v>1E-3</v>
      </c>
      <c r="AE54" s="89">
        <v>7.5999999999999998E-2</v>
      </c>
      <c r="AF54" s="89">
        <v>2.7E-2</v>
      </c>
      <c r="AG54" s="89">
        <v>8.0000000000000002E-3</v>
      </c>
      <c r="AH54" s="89">
        <v>0.41899999999999998</v>
      </c>
      <c r="AI54" s="89">
        <v>-8888</v>
      </c>
      <c r="AJ54" s="89">
        <v>3.0000000000000001E-3</v>
      </c>
      <c r="AK54" s="89">
        <v>0.14000000000000001</v>
      </c>
      <c r="AL54" s="89">
        <v>-8888</v>
      </c>
      <c r="AM54" s="89">
        <v>4.2999999999999997E-2</v>
      </c>
      <c r="AN54" s="89">
        <v>4.2000000000000003E-2</v>
      </c>
      <c r="AO54" s="89">
        <v>2E-3</v>
      </c>
      <c r="AP54" s="89">
        <v>1.4E-2</v>
      </c>
      <c r="AQ54" s="89">
        <v>4.0000000000000001E-3</v>
      </c>
      <c r="AR54" s="89">
        <v>8.0000000000000002E-3</v>
      </c>
      <c r="AS54" s="89">
        <v>3.5000000000000003E-2</v>
      </c>
      <c r="AT54" s="89">
        <v>4.7E-2</v>
      </c>
      <c r="AU54" s="89">
        <v>-8888</v>
      </c>
      <c r="AV54" s="89">
        <v>0.64700000000000002</v>
      </c>
      <c r="AW54" s="89">
        <v>4.4999999999999998E-2</v>
      </c>
      <c r="AX54" s="89">
        <v>0.161</v>
      </c>
      <c r="AY54" s="89">
        <v>0.80800000000000005</v>
      </c>
      <c r="AZ54" s="89">
        <v>0.20600000000000002</v>
      </c>
      <c r="BA54" s="89">
        <v>0.43100000000000005</v>
      </c>
      <c r="BB54" s="89">
        <v>0.85299999999999998</v>
      </c>
      <c r="BC54" s="89">
        <v>0.31400000000000006</v>
      </c>
      <c r="BD54" s="160">
        <v>1.02</v>
      </c>
      <c r="BE54" s="160">
        <v>0.78</v>
      </c>
      <c r="BF54" s="160">
        <v>0.22</v>
      </c>
      <c r="BG54" s="160">
        <v>3.14</v>
      </c>
      <c r="BH54" s="160">
        <v>0.05</v>
      </c>
      <c r="BI54" s="160">
        <v>0.95</v>
      </c>
      <c r="BJ54" s="160">
        <v>0.49</v>
      </c>
      <c r="BL54" s="167"/>
    </row>
    <row r="55" spans="1:64" s="88" customFormat="1" ht="14.1" customHeight="1">
      <c r="A55" s="156" t="s">
        <v>318</v>
      </c>
      <c r="B55" s="169" t="s">
        <v>511</v>
      </c>
      <c r="C55" s="169" t="s">
        <v>604</v>
      </c>
      <c r="D55" s="169" t="s">
        <v>578</v>
      </c>
      <c r="E55" s="169" t="s">
        <v>170</v>
      </c>
      <c r="F55" s="169">
        <v>539</v>
      </c>
      <c r="G55" s="169">
        <v>7</v>
      </c>
      <c r="H55" s="169">
        <v>12</v>
      </c>
      <c r="I55" s="165">
        <v>27.3</v>
      </c>
      <c r="J55" s="165">
        <v>440</v>
      </c>
      <c r="K55" s="166" t="s">
        <v>514</v>
      </c>
      <c r="L55" s="165">
        <v>2024</v>
      </c>
      <c r="M55" s="165" t="s">
        <v>579</v>
      </c>
      <c r="N55" s="165">
        <v>5</v>
      </c>
      <c r="O55" s="181">
        <v>126</v>
      </c>
      <c r="P55" s="165" t="s">
        <v>605</v>
      </c>
      <c r="Q55" s="165">
        <v>-70.878</v>
      </c>
      <c r="R55" s="165">
        <v>39.950000000000003</v>
      </c>
      <c r="S55" s="165" t="s">
        <v>172</v>
      </c>
      <c r="T55" s="165">
        <v>25</v>
      </c>
      <c r="U55" s="166" t="s">
        <v>516</v>
      </c>
      <c r="V55" s="158">
        <v>1.631</v>
      </c>
      <c r="W55" s="158">
        <v>0.38500000000000001</v>
      </c>
      <c r="X55" s="158">
        <v>0.32799999999999996</v>
      </c>
      <c r="Y55" s="157">
        <v>7.6999999999999999E-2</v>
      </c>
      <c r="Z55" s="159">
        <v>2.5000000000000001E-2</v>
      </c>
      <c r="AA55" s="89">
        <v>0.13800000000000001</v>
      </c>
      <c r="AB55" s="89">
        <v>1.9E-2</v>
      </c>
      <c r="AC55" s="89">
        <v>7.3999999999999996E-2</v>
      </c>
      <c r="AD55" s="89">
        <v>6.0000000000000001E-3</v>
      </c>
      <c r="AE55" s="89">
        <v>0.23599999999999999</v>
      </c>
      <c r="AF55" s="89">
        <v>0.371</v>
      </c>
      <c r="AG55" s="89">
        <v>3.4000000000000002E-2</v>
      </c>
      <c r="AH55" s="89">
        <v>1.599</v>
      </c>
      <c r="AI55" s="89">
        <v>-8888</v>
      </c>
      <c r="AJ55" s="89">
        <v>3.2000000000000001E-2</v>
      </c>
      <c r="AK55" s="89">
        <v>0.38500000000000001</v>
      </c>
      <c r="AL55" s="89">
        <v>-8888</v>
      </c>
      <c r="AM55" s="89">
        <v>0.20799999999999999</v>
      </c>
      <c r="AN55" s="89">
        <v>0.12</v>
      </c>
      <c r="AO55" s="89">
        <v>4.0000000000000001E-3</v>
      </c>
      <c r="AP55" s="89">
        <v>3.7999999999999999E-2</v>
      </c>
      <c r="AQ55" s="89">
        <v>1.7999999999999999E-2</v>
      </c>
      <c r="AR55" s="89">
        <v>2.5999999999999999E-2</v>
      </c>
      <c r="AS55" s="89">
        <v>6.5000000000000002E-2</v>
      </c>
      <c r="AT55" s="89">
        <v>9.2999999999999999E-2</v>
      </c>
      <c r="AU55" s="89">
        <v>-8888</v>
      </c>
      <c r="AV55" s="89">
        <v>2.3439999999999999</v>
      </c>
      <c r="AW55" s="89">
        <v>0.21000000000000002</v>
      </c>
      <c r="AX55" s="89">
        <v>0.77</v>
      </c>
      <c r="AY55" s="89">
        <v>3.1139999999999999</v>
      </c>
      <c r="AZ55" s="89">
        <v>0.98</v>
      </c>
      <c r="BA55" s="89">
        <v>1.6930000000000001</v>
      </c>
      <c r="BB55" s="89">
        <v>3.3239999999999998</v>
      </c>
      <c r="BC55" s="89">
        <v>1.2080000000000002</v>
      </c>
      <c r="BD55" s="160">
        <v>1.04</v>
      </c>
      <c r="BE55" s="160">
        <v>0.79</v>
      </c>
      <c r="BF55" s="160">
        <v>0.21</v>
      </c>
      <c r="BG55" s="160">
        <v>2.39</v>
      </c>
      <c r="BH55" s="160">
        <v>0.06</v>
      </c>
      <c r="BI55" s="160">
        <v>0.94</v>
      </c>
      <c r="BJ55" s="160">
        <v>0.49</v>
      </c>
      <c r="BL55" s="167"/>
    </row>
    <row r="56" spans="1:64" s="88" customFormat="1" ht="14.1" customHeight="1">
      <c r="A56" s="156" t="s">
        <v>319</v>
      </c>
      <c r="B56" s="169" t="s">
        <v>511</v>
      </c>
      <c r="C56" s="169" t="s">
        <v>606</v>
      </c>
      <c r="D56" s="169" t="s">
        <v>578</v>
      </c>
      <c r="E56" s="169" t="s">
        <v>170</v>
      </c>
      <c r="F56" s="169">
        <v>548</v>
      </c>
      <c r="G56" s="169">
        <v>7</v>
      </c>
      <c r="H56" s="169">
        <v>20</v>
      </c>
      <c r="I56" s="165">
        <v>3.2</v>
      </c>
      <c r="J56" s="165">
        <v>440</v>
      </c>
      <c r="K56" s="166" t="s">
        <v>514</v>
      </c>
      <c r="L56" s="165">
        <v>2024</v>
      </c>
      <c r="M56" s="165" t="s">
        <v>579</v>
      </c>
      <c r="N56" s="165">
        <v>5</v>
      </c>
      <c r="O56" s="181">
        <v>126</v>
      </c>
      <c r="P56" s="165" t="s">
        <v>607</v>
      </c>
      <c r="Q56" s="165">
        <v>-70.878</v>
      </c>
      <c r="R56" s="165">
        <v>39.951000000000001</v>
      </c>
      <c r="S56" s="165" t="s">
        <v>172</v>
      </c>
      <c r="T56" s="165">
        <v>25</v>
      </c>
      <c r="U56" s="166" t="s">
        <v>516</v>
      </c>
      <c r="V56" s="158">
        <v>0.60100000000000009</v>
      </c>
      <c r="W56" s="158">
        <v>0.11700000000000001</v>
      </c>
      <c r="X56" s="158">
        <v>0.11799999999999999</v>
      </c>
      <c r="Y56" s="157">
        <v>3.2000000000000001E-2</v>
      </c>
      <c r="Z56" s="159">
        <v>0.01</v>
      </c>
      <c r="AA56" s="89">
        <v>6.4000000000000001E-2</v>
      </c>
      <c r="AB56" s="89">
        <v>6.0000000000000001E-3</v>
      </c>
      <c r="AC56" s="89">
        <v>3.6999999999999998E-2</v>
      </c>
      <c r="AD56" s="89">
        <v>4.0000000000000001E-3</v>
      </c>
      <c r="AE56" s="89">
        <v>0.126</v>
      </c>
      <c r="AF56" s="89">
        <v>4.2000000000000003E-2</v>
      </c>
      <c r="AG56" s="89">
        <v>1.4E-2</v>
      </c>
      <c r="AH56" s="89">
        <v>0.55600000000000005</v>
      </c>
      <c r="AI56" s="89">
        <v>-8888</v>
      </c>
      <c r="AJ56" s="89">
        <v>4.4999999999999998E-2</v>
      </c>
      <c r="AK56" s="89">
        <v>0.11700000000000001</v>
      </c>
      <c r="AL56" s="89">
        <v>-8888</v>
      </c>
      <c r="AM56" s="89">
        <v>7.3999999999999996E-2</v>
      </c>
      <c r="AN56" s="89">
        <v>4.3999999999999997E-2</v>
      </c>
      <c r="AO56" s="89">
        <v>2E-3</v>
      </c>
      <c r="AP56" s="89">
        <v>1.2999999999999999E-2</v>
      </c>
      <c r="AQ56" s="89">
        <v>1.4E-2</v>
      </c>
      <c r="AR56" s="89">
        <v>1.2999999999999999E-2</v>
      </c>
      <c r="AS56" s="89">
        <v>3.5999999999999997E-2</v>
      </c>
      <c r="AT56" s="89">
        <v>3.5000000000000003E-2</v>
      </c>
      <c r="AU56" s="89">
        <v>-8888</v>
      </c>
      <c r="AV56" s="89">
        <v>0.83600000000000008</v>
      </c>
      <c r="AW56" s="89">
        <v>9.2999999999999999E-2</v>
      </c>
      <c r="AX56" s="89">
        <v>0.24200000000000002</v>
      </c>
      <c r="AY56" s="89">
        <v>1.0780000000000001</v>
      </c>
      <c r="AZ56" s="89">
        <v>0.33500000000000002</v>
      </c>
      <c r="BA56" s="89">
        <v>0.57000000000000006</v>
      </c>
      <c r="BB56" s="89">
        <v>1.1710000000000003</v>
      </c>
      <c r="BC56" s="89">
        <v>0.379</v>
      </c>
      <c r="BD56" s="160">
        <v>0.95</v>
      </c>
      <c r="BE56" s="160">
        <v>0.72</v>
      </c>
      <c r="BF56" s="160">
        <v>0.28000000000000003</v>
      </c>
      <c r="BG56" s="160">
        <v>2.5</v>
      </c>
      <c r="BH56" s="160">
        <v>0.08</v>
      </c>
      <c r="BI56" s="160">
        <v>0.92</v>
      </c>
      <c r="BJ56" s="160">
        <v>0.51</v>
      </c>
      <c r="BL56" s="167"/>
    </row>
    <row r="57" spans="1:64" s="88" customFormat="1" ht="14.1" customHeight="1">
      <c r="A57" s="156" t="s">
        <v>320</v>
      </c>
      <c r="B57" s="169" t="s">
        <v>511</v>
      </c>
      <c r="C57" s="169" t="s">
        <v>608</v>
      </c>
      <c r="D57" s="169" t="s">
        <v>578</v>
      </c>
      <c r="E57" s="169" t="s">
        <v>170</v>
      </c>
      <c r="F57" s="169">
        <v>532</v>
      </c>
      <c r="G57" s="169">
        <v>10</v>
      </c>
      <c r="H57" s="169">
        <v>6</v>
      </c>
      <c r="I57" s="165">
        <v>79.900000000000006</v>
      </c>
      <c r="J57" s="165">
        <v>1601</v>
      </c>
      <c r="K57" s="166" t="s">
        <v>514</v>
      </c>
      <c r="L57" s="165">
        <v>2024</v>
      </c>
      <c r="M57" s="165" t="s">
        <v>579</v>
      </c>
      <c r="N57" s="165">
        <v>5</v>
      </c>
      <c r="O57" s="181">
        <v>126</v>
      </c>
      <c r="P57" s="165" t="s">
        <v>609</v>
      </c>
      <c r="Q57" s="165">
        <v>-70.887</v>
      </c>
      <c r="R57" s="165">
        <v>39.776000000000003</v>
      </c>
      <c r="S57" s="165" t="s">
        <v>172</v>
      </c>
      <c r="T57" s="165">
        <v>25</v>
      </c>
      <c r="U57" s="166" t="s">
        <v>516</v>
      </c>
      <c r="V57" s="158">
        <v>0.105</v>
      </c>
      <c r="W57" s="158">
        <v>2E-3</v>
      </c>
      <c r="X57" s="158">
        <v>2.4E-2</v>
      </c>
      <c r="Y57" s="157">
        <v>3.0000000000000001E-3</v>
      </c>
      <c r="Z57" s="159">
        <v>-8888</v>
      </c>
      <c r="AA57" s="89">
        <v>-8888</v>
      </c>
      <c r="AB57" s="89">
        <v>-8888</v>
      </c>
      <c r="AC57" s="89">
        <v>8.9999999999999993E-3</v>
      </c>
      <c r="AD57" s="89">
        <v>-8888</v>
      </c>
      <c r="AE57" s="89">
        <v>6.0000000000000001E-3</v>
      </c>
      <c r="AF57" s="89">
        <v>7.8E-2</v>
      </c>
      <c r="AG57" s="89">
        <v>-8888</v>
      </c>
      <c r="AH57" s="89">
        <v>0.104</v>
      </c>
      <c r="AI57" s="89">
        <v>-8888</v>
      </c>
      <c r="AJ57" s="89">
        <v>1E-3</v>
      </c>
      <c r="AK57" s="89">
        <v>2E-3</v>
      </c>
      <c r="AL57" s="89">
        <v>-8888</v>
      </c>
      <c r="AM57" s="89">
        <v>2.1999999999999999E-2</v>
      </c>
      <c r="AN57" s="89">
        <v>2E-3</v>
      </c>
      <c r="AO57" s="89">
        <v>-8888</v>
      </c>
      <c r="AP57" s="89">
        <v>-8888</v>
      </c>
      <c r="AQ57" s="89">
        <v>-8888</v>
      </c>
      <c r="AR57" s="89">
        <v>3.0000000000000001E-3</v>
      </c>
      <c r="AS57" s="89">
        <v>1.4999999999999999E-2</v>
      </c>
      <c r="AT57" s="89">
        <v>-8888</v>
      </c>
      <c r="AU57" s="89">
        <v>-8888</v>
      </c>
      <c r="AV57" s="89">
        <v>0.13100000000000001</v>
      </c>
      <c r="AW57" s="89">
        <v>1.2E-2</v>
      </c>
      <c r="AX57" s="89">
        <v>8.4000000000000005E-2</v>
      </c>
      <c r="AY57" s="89">
        <v>0.21500000000000002</v>
      </c>
      <c r="AZ57" s="89">
        <v>9.6000000000000002E-2</v>
      </c>
      <c r="BA57" s="89">
        <v>0.122</v>
      </c>
      <c r="BB57" s="89">
        <v>0.22699999999999998</v>
      </c>
      <c r="BC57" s="89">
        <v>8.6000000000000007E-2</v>
      </c>
      <c r="BD57" s="160">
        <v>1.1599999999999999</v>
      </c>
      <c r="BE57" s="160">
        <v>0.88</v>
      </c>
      <c r="BF57" s="160">
        <v>0.13</v>
      </c>
      <c r="BG57" s="160">
        <v>1.36</v>
      </c>
      <c r="BH57" s="160">
        <v>0.05</v>
      </c>
      <c r="BI57" s="160">
        <v>0.95</v>
      </c>
      <c r="BJ57" s="160">
        <v>0.46</v>
      </c>
      <c r="BL57" s="167"/>
    </row>
    <row r="58" spans="1:64" s="88" customFormat="1" ht="14.1" customHeight="1">
      <c r="A58" s="156" t="s">
        <v>321</v>
      </c>
      <c r="B58" s="169" t="s">
        <v>511</v>
      </c>
      <c r="C58" s="169" t="s">
        <v>610</v>
      </c>
      <c r="D58" s="169" t="s">
        <v>578</v>
      </c>
      <c r="E58" s="169" t="s">
        <v>173</v>
      </c>
      <c r="F58" s="169">
        <v>539</v>
      </c>
      <c r="G58" s="169">
        <v>10</v>
      </c>
      <c r="H58" s="169">
        <v>10</v>
      </c>
      <c r="I58" s="165">
        <v>38.4</v>
      </c>
      <c r="J58" s="165">
        <v>1601</v>
      </c>
      <c r="K58" s="166" t="s">
        <v>514</v>
      </c>
      <c r="L58" s="165">
        <v>2024</v>
      </c>
      <c r="M58" s="165" t="s">
        <v>579</v>
      </c>
      <c r="N58" s="165">
        <v>5</v>
      </c>
      <c r="O58" s="181">
        <v>126</v>
      </c>
      <c r="P58" s="165" t="s">
        <v>611</v>
      </c>
      <c r="Q58" s="165">
        <v>-70.888000000000005</v>
      </c>
      <c r="R58" s="165">
        <v>39.776000000000003</v>
      </c>
      <c r="S58" s="165" t="s">
        <v>172</v>
      </c>
      <c r="T58" s="165">
        <v>25</v>
      </c>
      <c r="U58" s="166" t="s">
        <v>516</v>
      </c>
      <c r="V58" s="158">
        <v>2.222</v>
      </c>
      <c r="W58" s="158">
        <v>4.9000000000000002E-2</v>
      </c>
      <c r="X58" s="158">
        <v>0.94299999999999995</v>
      </c>
      <c r="Y58" s="157">
        <v>7.2999999999999995E-2</v>
      </c>
      <c r="Z58" s="159">
        <v>-8888</v>
      </c>
      <c r="AA58" s="89">
        <v>5.8000000000000003E-2</v>
      </c>
      <c r="AB58" s="89">
        <v>8.0000000000000002E-3</v>
      </c>
      <c r="AC58" s="89">
        <v>7.9000000000000001E-2</v>
      </c>
      <c r="AD58" s="89">
        <v>3.0000000000000001E-3</v>
      </c>
      <c r="AE58" s="89">
        <v>0.97199999999999998</v>
      </c>
      <c r="AF58" s="89">
        <v>0.42799999999999999</v>
      </c>
      <c r="AG58" s="89">
        <v>4.0000000000000001E-3</v>
      </c>
      <c r="AH58" s="89">
        <v>1.677</v>
      </c>
      <c r="AI58" s="89">
        <v>-8888</v>
      </c>
      <c r="AJ58" s="89">
        <v>0.54500000000000004</v>
      </c>
      <c r="AK58" s="89">
        <v>4.9000000000000002E-2</v>
      </c>
      <c r="AL58" s="89">
        <v>-8888</v>
      </c>
      <c r="AM58" s="89">
        <v>0.47399999999999998</v>
      </c>
      <c r="AN58" s="89">
        <v>0.46899999999999997</v>
      </c>
      <c r="AO58" s="89">
        <v>-8888</v>
      </c>
      <c r="AP58" s="89">
        <v>6.0000000000000001E-3</v>
      </c>
      <c r="AQ58" s="89">
        <v>5.0000000000000001E-3</v>
      </c>
      <c r="AR58" s="89">
        <v>2.1000000000000001E-2</v>
      </c>
      <c r="AS58" s="89">
        <v>0.121</v>
      </c>
      <c r="AT58" s="89">
        <v>-8888</v>
      </c>
      <c r="AU58" s="89">
        <v>-8888</v>
      </c>
      <c r="AV58" s="89">
        <v>3.214</v>
      </c>
      <c r="AW58" s="89">
        <v>0.16699999999999998</v>
      </c>
      <c r="AX58" s="89">
        <v>1.458</v>
      </c>
      <c r="AY58" s="89">
        <v>4.6719999999999997</v>
      </c>
      <c r="AZ58" s="89">
        <v>1.625</v>
      </c>
      <c r="BA58" s="89">
        <v>2.617</v>
      </c>
      <c r="BB58" s="89">
        <v>4.8390000000000004</v>
      </c>
      <c r="BC58" s="89">
        <v>1.5189999999999999</v>
      </c>
      <c r="BD58" s="160">
        <v>1.18</v>
      </c>
      <c r="BE58" s="160">
        <v>0.9</v>
      </c>
      <c r="BF58" s="160">
        <v>0.1</v>
      </c>
      <c r="BG58" s="160">
        <v>1.98</v>
      </c>
      <c r="BH58" s="160">
        <v>0.03</v>
      </c>
      <c r="BI58" s="160">
        <v>0.97</v>
      </c>
      <c r="BJ58" s="160">
        <v>0.46</v>
      </c>
      <c r="BL58" s="167"/>
    </row>
    <row r="59" spans="1:64" s="88" customFormat="1" ht="14.1" customHeight="1">
      <c r="A59" s="156" t="s">
        <v>322</v>
      </c>
      <c r="B59" s="169" t="s">
        <v>511</v>
      </c>
      <c r="C59" s="169" t="s">
        <v>612</v>
      </c>
      <c r="D59" s="169" t="s">
        <v>578</v>
      </c>
      <c r="E59" s="169" t="s">
        <v>173</v>
      </c>
      <c r="F59" s="169">
        <v>539</v>
      </c>
      <c r="G59" s="169">
        <v>10</v>
      </c>
      <c r="H59" s="169">
        <v>10</v>
      </c>
      <c r="I59" s="165">
        <v>38.4</v>
      </c>
      <c r="J59" s="165">
        <v>1601</v>
      </c>
      <c r="K59" s="166" t="s">
        <v>514</v>
      </c>
      <c r="L59" s="165">
        <v>2024</v>
      </c>
      <c r="M59" s="165" t="s">
        <v>579</v>
      </c>
      <c r="N59" s="165">
        <v>5</v>
      </c>
      <c r="O59" s="181">
        <v>126</v>
      </c>
      <c r="P59" s="165" t="s">
        <v>611</v>
      </c>
      <c r="Q59" s="165">
        <v>-70.888000000000005</v>
      </c>
      <c r="R59" s="165">
        <v>39.776000000000003</v>
      </c>
      <c r="S59" s="165" t="s">
        <v>172</v>
      </c>
      <c r="T59" s="165">
        <v>25</v>
      </c>
      <c r="U59" s="166" t="s">
        <v>516</v>
      </c>
      <c r="V59" s="158">
        <v>2.2949999999999999</v>
      </c>
      <c r="W59" s="158">
        <v>5.0999999999999997E-2</v>
      </c>
      <c r="X59" s="158">
        <v>0.98899999999999999</v>
      </c>
      <c r="Y59" s="157">
        <v>7.5999999999999998E-2</v>
      </c>
      <c r="Z59" s="159">
        <v>-8888</v>
      </c>
      <c r="AA59" s="89">
        <v>6.9000000000000006E-2</v>
      </c>
      <c r="AB59" s="89">
        <v>0.01</v>
      </c>
      <c r="AC59" s="89">
        <v>8.5999999999999993E-2</v>
      </c>
      <c r="AD59" s="89">
        <v>3.0000000000000001E-3</v>
      </c>
      <c r="AE59" s="89">
        <v>0.98599999999999999</v>
      </c>
      <c r="AF59" s="89">
        <v>0.47099999999999997</v>
      </c>
      <c r="AG59" s="89">
        <v>4.0000000000000001E-3</v>
      </c>
      <c r="AH59" s="89">
        <v>1.625</v>
      </c>
      <c r="AI59" s="89">
        <v>-8888</v>
      </c>
      <c r="AJ59" s="89">
        <v>0.67</v>
      </c>
      <c r="AK59" s="89">
        <v>5.0999999999999997E-2</v>
      </c>
      <c r="AL59" s="89">
        <v>-8888</v>
      </c>
      <c r="AM59" s="89">
        <v>0.501</v>
      </c>
      <c r="AN59" s="89">
        <v>0.48799999999999999</v>
      </c>
      <c r="AO59" s="89">
        <v>-8888</v>
      </c>
      <c r="AP59" s="89">
        <v>6.0000000000000001E-3</v>
      </c>
      <c r="AQ59" s="89">
        <v>5.0000000000000001E-3</v>
      </c>
      <c r="AR59" s="89">
        <v>1.7999999999999999E-2</v>
      </c>
      <c r="AS59" s="89">
        <v>0.128</v>
      </c>
      <c r="AT59" s="89">
        <v>-8888</v>
      </c>
      <c r="AU59" s="89">
        <v>-8888</v>
      </c>
      <c r="AV59" s="89">
        <v>3.335</v>
      </c>
      <c r="AW59" s="89">
        <v>0.17899999999999999</v>
      </c>
      <c r="AX59" s="89">
        <v>1.5259999999999998</v>
      </c>
      <c r="AY59" s="89">
        <v>4.8609999999999998</v>
      </c>
      <c r="AZ59" s="89">
        <v>1.7049999999999998</v>
      </c>
      <c r="BA59" s="89">
        <v>2.7449999999999997</v>
      </c>
      <c r="BB59" s="89">
        <v>5.0399999999999991</v>
      </c>
      <c r="BC59" s="89">
        <v>1.5909999999999997</v>
      </c>
      <c r="BD59" s="160">
        <v>1.2</v>
      </c>
      <c r="BE59" s="160">
        <v>0.9</v>
      </c>
      <c r="BF59" s="160">
        <v>0.1</v>
      </c>
      <c r="BG59" s="160">
        <v>1.96</v>
      </c>
      <c r="BH59" s="160">
        <v>0.04</v>
      </c>
      <c r="BI59" s="160">
        <v>0.96</v>
      </c>
      <c r="BJ59" s="160">
        <v>0.46</v>
      </c>
      <c r="BL59" s="167"/>
    </row>
    <row r="60" spans="1:64" s="88" customFormat="1" ht="14.1" customHeight="1">
      <c r="A60" s="156" t="s">
        <v>323</v>
      </c>
      <c r="B60" s="169" t="s">
        <v>511</v>
      </c>
      <c r="C60" s="169" t="s">
        <v>613</v>
      </c>
      <c r="D60" s="169" t="s">
        <v>578</v>
      </c>
      <c r="E60" s="169" t="s">
        <v>170</v>
      </c>
      <c r="F60" s="169">
        <v>548</v>
      </c>
      <c r="G60" s="169">
        <v>10</v>
      </c>
      <c r="H60" s="169">
        <v>19</v>
      </c>
      <c r="I60" s="165">
        <v>3.5</v>
      </c>
      <c r="J60" s="165">
        <v>1601</v>
      </c>
      <c r="K60" s="166" t="s">
        <v>514</v>
      </c>
      <c r="L60" s="165">
        <v>2024</v>
      </c>
      <c r="M60" s="165" t="s">
        <v>579</v>
      </c>
      <c r="N60" s="165">
        <v>5</v>
      </c>
      <c r="O60" s="181">
        <v>126</v>
      </c>
      <c r="P60" s="165" t="s">
        <v>614</v>
      </c>
      <c r="Q60" s="165">
        <v>-70.888000000000005</v>
      </c>
      <c r="R60" s="165">
        <v>39.777000000000001</v>
      </c>
      <c r="S60" s="165" t="s">
        <v>172</v>
      </c>
      <c r="T60" s="165">
        <v>25</v>
      </c>
      <c r="U60" s="166" t="s">
        <v>516</v>
      </c>
      <c r="V60" s="158">
        <v>0.83099999999999996</v>
      </c>
      <c r="W60" s="158">
        <v>7.0999999999999994E-2</v>
      </c>
      <c r="X60" s="158">
        <v>0.17399999999999999</v>
      </c>
      <c r="Y60" s="157">
        <v>4.5999999999999999E-2</v>
      </c>
      <c r="Z60" s="159">
        <v>2.4E-2</v>
      </c>
      <c r="AA60" s="89">
        <v>0.13900000000000001</v>
      </c>
      <c r="AB60" s="89">
        <v>1.2999999999999999E-2</v>
      </c>
      <c r="AC60" s="89">
        <v>0.13</v>
      </c>
      <c r="AD60" s="89">
        <v>2.1000000000000001E-2</v>
      </c>
      <c r="AE60" s="89">
        <v>0.09</v>
      </c>
      <c r="AF60" s="89">
        <v>0.13500000000000001</v>
      </c>
      <c r="AG60" s="89">
        <v>2.7E-2</v>
      </c>
      <c r="AH60" s="89">
        <v>0.81799999999999995</v>
      </c>
      <c r="AI60" s="89">
        <v>-8888</v>
      </c>
      <c r="AJ60" s="89">
        <v>1.2999999999999999E-2</v>
      </c>
      <c r="AK60" s="89">
        <v>7.0999999999999994E-2</v>
      </c>
      <c r="AL60" s="89">
        <v>-8888</v>
      </c>
      <c r="AM60" s="89">
        <v>0.11799999999999999</v>
      </c>
      <c r="AN60" s="89">
        <v>5.6000000000000001E-2</v>
      </c>
      <c r="AO60" s="89">
        <v>4.0000000000000001E-3</v>
      </c>
      <c r="AP60" s="89">
        <v>8.9999999999999993E-3</v>
      </c>
      <c r="AQ60" s="89">
        <v>1.2999999999999999E-2</v>
      </c>
      <c r="AR60" s="89">
        <v>7.0000000000000001E-3</v>
      </c>
      <c r="AS60" s="89">
        <v>7.0000000000000001E-3</v>
      </c>
      <c r="AT60" s="89">
        <v>2.4E-2</v>
      </c>
      <c r="AU60" s="89">
        <v>-8888</v>
      </c>
      <c r="AV60" s="89">
        <v>1.0759999999999998</v>
      </c>
      <c r="AW60" s="89">
        <v>0.23699999999999999</v>
      </c>
      <c r="AX60" s="89">
        <v>0.38800000000000001</v>
      </c>
      <c r="AY60" s="89">
        <v>1.464</v>
      </c>
      <c r="AZ60" s="89">
        <v>0.625</v>
      </c>
      <c r="BA60" s="89">
        <v>0.86999999999999988</v>
      </c>
      <c r="BB60" s="89">
        <v>1.7009999999999998</v>
      </c>
      <c r="BC60" s="89">
        <v>0.499</v>
      </c>
      <c r="BD60" s="160">
        <v>1.05</v>
      </c>
      <c r="BE60" s="160">
        <v>0.62</v>
      </c>
      <c r="BF60" s="160">
        <v>0.38</v>
      </c>
      <c r="BG60" s="160">
        <v>1.72</v>
      </c>
      <c r="BH60" s="160">
        <v>0.14000000000000001</v>
      </c>
      <c r="BI60" s="160">
        <v>0.86</v>
      </c>
      <c r="BJ60" s="160">
        <v>0.49</v>
      </c>
      <c r="BL60" s="167"/>
    </row>
    <row r="61" spans="1:64" s="88" customFormat="1" ht="14.1" customHeight="1">
      <c r="A61" s="156" t="s">
        <v>324</v>
      </c>
      <c r="B61" s="169" t="s">
        <v>511</v>
      </c>
      <c r="C61" s="169" t="s">
        <v>615</v>
      </c>
      <c r="D61" s="169" t="s">
        <v>578</v>
      </c>
      <c r="E61" s="169" t="s">
        <v>170</v>
      </c>
      <c r="F61" s="169">
        <v>547</v>
      </c>
      <c r="G61" s="169">
        <v>13</v>
      </c>
      <c r="H61" s="169">
        <v>5</v>
      </c>
      <c r="I61" s="165">
        <v>59.8</v>
      </c>
      <c r="J61" s="165">
        <v>94</v>
      </c>
      <c r="K61" s="166" t="s">
        <v>514</v>
      </c>
      <c r="L61" s="165">
        <v>2024</v>
      </c>
      <c r="M61" s="165" t="s">
        <v>579</v>
      </c>
      <c r="N61" s="165">
        <v>6</v>
      </c>
      <c r="O61" s="181">
        <v>127</v>
      </c>
      <c r="P61" s="165" t="s">
        <v>616</v>
      </c>
      <c r="Q61" s="165">
        <v>-70.884</v>
      </c>
      <c r="R61" s="165">
        <v>40.363</v>
      </c>
      <c r="S61" s="165" t="s">
        <v>172</v>
      </c>
      <c r="T61" s="165">
        <v>25</v>
      </c>
      <c r="U61" s="166" t="s">
        <v>516</v>
      </c>
      <c r="V61" s="158">
        <v>2.8959999999999999</v>
      </c>
      <c r="W61" s="158">
        <v>7.0000000000000001E-3</v>
      </c>
      <c r="X61" s="158">
        <v>0.78499999999999992</v>
      </c>
      <c r="Y61" s="157">
        <v>0.113</v>
      </c>
      <c r="Z61" s="159">
        <v>-8888</v>
      </c>
      <c r="AA61" s="89">
        <v>4.0000000000000001E-3</v>
      </c>
      <c r="AB61" s="89">
        <v>6.0000000000000001E-3</v>
      </c>
      <c r="AC61" s="89">
        <v>0.11600000000000001</v>
      </c>
      <c r="AD61" s="89">
        <v>4.0000000000000001E-3</v>
      </c>
      <c r="AE61" s="89">
        <v>1.5089999999999999</v>
      </c>
      <c r="AF61" s="89">
        <v>8.0000000000000002E-3</v>
      </c>
      <c r="AG61" s="89">
        <v>8.0000000000000002E-3</v>
      </c>
      <c r="AH61" s="89">
        <v>1.9810000000000001</v>
      </c>
      <c r="AI61" s="89">
        <v>-8888</v>
      </c>
      <c r="AJ61" s="89">
        <v>0.91500000000000004</v>
      </c>
      <c r="AK61" s="89">
        <v>7.0000000000000001E-3</v>
      </c>
      <c r="AL61" s="89">
        <v>-8888</v>
      </c>
      <c r="AM61" s="89">
        <v>0.71699999999999997</v>
      </c>
      <c r="AN61" s="89">
        <v>6.8000000000000005E-2</v>
      </c>
      <c r="AO61" s="89">
        <v>-8888</v>
      </c>
      <c r="AP61" s="89">
        <v>2E-3</v>
      </c>
      <c r="AQ61" s="89">
        <v>3.0000000000000001E-3</v>
      </c>
      <c r="AR61" s="89">
        <v>0.03</v>
      </c>
      <c r="AS61" s="89">
        <v>1.0449999999999999</v>
      </c>
      <c r="AT61" s="89">
        <v>-8888</v>
      </c>
      <c r="AU61" s="89">
        <v>-8888</v>
      </c>
      <c r="AV61" s="89">
        <v>3.6879999999999997</v>
      </c>
      <c r="AW61" s="89">
        <v>0.247</v>
      </c>
      <c r="AX61" s="89">
        <v>1.5209999999999999</v>
      </c>
      <c r="AY61" s="89">
        <v>5.2089999999999996</v>
      </c>
      <c r="AZ61" s="89">
        <v>1.7679999999999998</v>
      </c>
      <c r="BA61" s="89">
        <v>2.5599999999999996</v>
      </c>
      <c r="BB61" s="89">
        <v>5.4559999999999995</v>
      </c>
      <c r="BC61" s="89">
        <v>1.5419999999999998</v>
      </c>
      <c r="BD61" s="160">
        <v>0.88</v>
      </c>
      <c r="BE61" s="160">
        <v>0.86</v>
      </c>
      <c r="BF61" s="160">
        <v>0.14000000000000001</v>
      </c>
      <c r="BG61" s="160">
        <v>2.09</v>
      </c>
      <c r="BH61" s="160">
        <v>0.05</v>
      </c>
      <c r="BI61" s="160">
        <v>0.95</v>
      </c>
      <c r="BJ61" s="160">
        <v>0.53</v>
      </c>
      <c r="BL61" s="167"/>
    </row>
    <row r="62" spans="1:64" s="88" customFormat="1" ht="14.1" customHeight="1">
      <c r="A62" s="156" t="s">
        <v>325</v>
      </c>
      <c r="B62" s="169" t="s">
        <v>511</v>
      </c>
      <c r="C62" s="169" t="s">
        <v>617</v>
      </c>
      <c r="D62" s="169" t="s">
        <v>578</v>
      </c>
      <c r="E62" s="169" t="s">
        <v>170</v>
      </c>
      <c r="F62" s="169">
        <v>532</v>
      </c>
      <c r="G62" s="169">
        <v>13</v>
      </c>
      <c r="H62" s="169">
        <v>12</v>
      </c>
      <c r="I62" s="165">
        <v>30.2</v>
      </c>
      <c r="J62" s="165">
        <v>94</v>
      </c>
      <c r="K62" s="166" t="s">
        <v>514</v>
      </c>
      <c r="L62" s="165">
        <v>2024</v>
      </c>
      <c r="M62" s="165" t="s">
        <v>579</v>
      </c>
      <c r="N62" s="165">
        <v>6</v>
      </c>
      <c r="O62" s="181">
        <v>127</v>
      </c>
      <c r="P62" s="165" t="s">
        <v>618</v>
      </c>
      <c r="Q62" s="165">
        <v>-70.884</v>
      </c>
      <c r="R62" s="165">
        <v>40.363</v>
      </c>
      <c r="S62" s="165" t="s">
        <v>172</v>
      </c>
      <c r="T62" s="165">
        <v>25</v>
      </c>
      <c r="U62" s="166" t="s">
        <v>516</v>
      </c>
      <c r="V62" s="158">
        <v>0.85</v>
      </c>
      <c r="W62" s="158">
        <v>4.4999999999999998E-2</v>
      </c>
      <c r="X62" s="158">
        <v>0.17399999999999999</v>
      </c>
      <c r="Y62" s="157">
        <v>3.6999999999999998E-2</v>
      </c>
      <c r="Z62" s="159">
        <v>8.9999999999999993E-3</v>
      </c>
      <c r="AA62" s="89">
        <v>3.3000000000000002E-2</v>
      </c>
      <c r="AB62" s="89">
        <v>5.7000000000000002E-2</v>
      </c>
      <c r="AC62" s="89">
        <v>6.4000000000000001E-2</v>
      </c>
      <c r="AD62" s="89">
        <v>5.0000000000000001E-3</v>
      </c>
      <c r="AE62" s="89">
        <v>0.13400000000000001</v>
      </c>
      <c r="AF62" s="89">
        <v>0.222</v>
      </c>
      <c r="AG62" s="89">
        <v>5.0000000000000001E-3</v>
      </c>
      <c r="AH62" s="89">
        <v>0.82599999999999996</v>
      </c>
      <c r="AI62" s="89">
        <v>-8888</v>
      </c>
      <c r="AJ62" s="89">
        <v>2.4E-2</v>
      </c>
      <c r="AK62" s="89">
        <v>4.4999999999999998E-2</v>
      </c>
      <c r="AL62" s="89">
        <v>-8888</v>
      </c>
      <c r="AM62" s="89">
        <v>0.13100000000000001</v>
      </c>
      <c r="AN62" s="89">
        <v>4.2999999999999997E-2</v>
      </c>
      <c r="AO62" s="89">
        <v>1E-3</v>
      </c>
      <c r="AP62" s="89">
        <v>5.0000000000000001E-3</v>
      </c>
      <c r="AQ62" s="89">
        <v>4.0000000000000001E-3</v>
      </c>
      <c r="AR62" s="89">
        <v>8.9999999999999993E-3</v>
      </c>
      <c r="AS62" s="89">
        <v>0.06</v>
      </c>
      <c r="AT62" s="89">
        <v>6.0000000000000001E-3</v>
      </c>
      <c r="AU62" s="89">
        <v>-8888</v>
      </c>
      <c r="AV62" s="89">
        <v>1.069</v>
      </c>
      <c r="AW62" s="89">
        <v>0.16800000000000001</v>
      </c>
      <c r="AX62" s="89">
        <v>0.39800000000000002</v>
      </c>
      <c r="AY62" s="89">
        <v>1.4670000000000001</v>
      </c>
      <c r="AZ62" s="89">
        <v>0.56600000000000006</v>
      </c>
      <c r="BA62" s="89">
        <v>0.78500000000000014</v>
      </c>
      <c r="BB62" s="89">
        <v>1.6350000000000002</v>
      </c>
      <c r="BC62" s="89">
        <v>0.505</v>
      </c>
      <c r="BD62" s="160">
        <v>0.92</v>
      </c>
      <c r="BE62" s="160">
        <v>0.7</v>
      </c>
      <c r="BF62" s="160">
        <v>0.3</v>
      </c>
      <c r="BG62" s="160">
        <v>1.89</v>
      </c>
      <c r="BH62" s="160">
        <v>0.1</v>
      </c>
      <c r="BI62" s="160">
        <v>0.9</v>
      </c>
      <c r="BJ62" s="160">
        <v>0.52</v>
      </c>
      <c r="BL62" s="167"/>
    </row>
    <row r="63" spans="1:64" s="88" customFormat="1" ht="14.1" customHeight="1">
      <c r="A63" s="156" t="s">
        <v>326</v>
      </c>
      <c r="B63" s="169" t="s">
        <v>511</v>
      </c>
      <c r="C63" s="169" t="s">
        <v>619</v>
      </c>
      <c r="D63" s="169" t="s">
        <v>578</v>
      </c>
      <c r="E63" s="169" t="s">
        <v>170</v>
      </c>
      <c r="F63" s="169">
        <v>548</v>
      </c>
      <c r="G63" s="169">
        <v>13</v>
      </c>
      <c r="H63" s="169">
        <v>19</v>
      </c>
      <c r="I63" s="165">
        <v>4.5</v>
      </c>
      <c r="J63" s="165">
        <v>94</v>
      </c>
      <c r="K63" s="166" t="s">
        <v>514</v>
      </c>
      <c r="L63" s="165">
        <v>2024</v>
      </c>
      <c r="M63" s="165" t="s">
        <v>579</v>
      </c>
      <c r="N63" s="165">
        <v>6</v>
      </c>
      <c r="O63" s="181">
        <v>127</v>
      </c>
      <c r="P63" s="165" t="s">
        <v>620</v>
      </c>
      <c r="Q63" s="165">
        <v>-70.885000000000005</v>
      </c>
      <c r="R63" s="165">
        <v>40.363999999999997</v>
      </c>
      <c r="S63" s="165" t="s">
        <v>172</v>
      </c>
      <c r="T63" s="165">
        <v>25</v>
      </c>
      <c r="U63" s="166" t="s">
        <v>516</v>
      </c>
      <c r="V63" s="158">
        <v>0.58600000000000008</v>
      </c>
      <c r="W63" s="158">
        <v>5.8999999999999997E-2</v>
      </c>
      <c r="X63" s="158">
        <v>0.1</v>
      </c>
      <c r="Y63" s="157">
        <v>3.2000000000000001E-2</v>
      </c>
      <c r="Z63" s="159">
        <v>6.0000000000000001E-3</v>
      </c>
      <c r="AA63" s="89">
        <v>3.1E-2</v>
      </c>
      <c r="AB63" s="89">
        <v>3.6999999999999998E-2</v>
      </c>
      <c r="AC63" s="89">
        <v>8.5000000000000006E-2</v>
      </c>
      <c r="AD63" s="89">
        <v>8.9999999999999993E-3</v>
      </c>
      <c r="AE63" s="89">
        <v>6.2E-2</v>
      </c>
      <c r="AF63" s="89">
        <v>0.128</v>
      </c>
      <c r="AG63" s="89">
        <v>1.2999999999999999E-2</v>
      </c>
      <c r="AH63" s="89">
        <v>0.55200000000000005</v>
      </c>
      <c r="AI63" s="89">
        <v>-8888</v>
      </c>
      <c r="AJ63" s="89">
        <v>3.4000000000000002E-2</v>
      </c>
      <c r="AK63" s="89">
        <v>5.8999999999999997E-2</v>
      </c>
      <c r="AL63" s="89">
        <v>-8888</v>
      </c>
      <c r="AM63" s="89">
        <v>8.1000000000000003E-2</v>
      </c>
      <c r="AN63" s="89">
        <v>1.9E-2</v>
      </c>
      <c r="AO63" s="89">
        <v>2E-3</v>
      </c>
      <c r="AP63" s="89">
        <v>8.0000000000000002E-3</v>
      </c>
      <c r="AQ63" s="89">
        <v>1.4E-2</v>
      </c>
      <c r="AR63" s="89">
        <v>5.0000000000000001E-3</v>
      </c>
      <c r="AS63" s="89">
        <v>8.0000000000000002E-3</v>
      </c>
      <c r="AT63" s="89">
        <v>1.7999999999999999E-2</v>
      </c>
      <c r="AU63" s="89">
        <v>-8888</v>
      </c>
      <c r="AV63" s="89">
        <v>0.745</v>
      </c>
      <c r="AW63" s="89">
        <v>0.17600000000000002</v>
      </c>
      <c r="AX63" s="89">
        <v>0.22700000000000001</v>
      </c>
      <c r="AY63" s="89">
        <v>0.97199999999999998</v>
      </c>
      <c r="AZ63" s="89">
        <v>0.40300000000000002</v>
      </c>
      <c r="BA63" s="89">
        <v>0.56200000000000006</v>
      </c>
      <c r="BB63" s="89">
        <v>1.1480000000000001</v>
      </c>
      <c r="BC63" s="89">
        <v>0.33600000000000002</v>
      </c>
      <c r="BD63" s="160">
        <v>0.96</v>
      </c>
      <c r="BE63" s="160">
        <v>0.56000000000000005</v>
      </c>
      <c r="BF63" s="160">
        <v>0.44</v>
      </c>
      <c r="BG63" s="160">
        <v>1.85</v>
      </c>
      <c r="BH63" s="160">
        <v>0.15</v>
      </c>
      <c r="BI63" s="160">
        <v>0.85</v>
      </c>
      <c r="BJ63" s="160">
        <v>0.51</v>
      </c>
      <c r="BL63" s="167"/>
    </row>
    <row r="64" spans="1:64" s="88" customFormat="1" ht="14.1" customHeight="1">
      <c r="A64" s="156" t="s">
        <v>327</v>
      </c>
      <c r="B64" s="169" t="s">
        <v>511</v>
      </c>
      <c r="C64" s="169" t="s">
        <v>621</v>
      </c>
      <c r="D64" s="169" t="s">
        <v>578</v>
      </c>
      <c r="E64" s="169" t="s">
        <v>173</v>
      </c>
      <c r="F64" s="169">
        <v>547</v>
      </c>
      <c r="G64" s="169">
        <v>14</v>
      </c>
      <c r="H64" s="169">
        <v>6</v>
      </c>
      <c r="I64" s="165">
        <v>46.2</v>
      </c>
      <c r="J64" s="165">
        <v>140</v>
      </c>
      <c r="K64" s="166" t="s">
        <v>514</v>
      </c>
      <c r="L64" s="165">
        <v>2024</v>
      </c>
      <c r="M64" s="165" t="s">
        <v>579</v>
      </c>
      <c r="N64" s="165">
        <v>6</v>
      </c>
      <c r="O64" s="181">
        <v>127</v>
      </c>
      <c r="P64" s="165" t="s">
        <v>622</v>
      </c>
      <c r="Q64" s="165">
        <v>-70.881</v>
      </c>
      <c r="R64" s="165">
        <v>40.151000000000003</v>
      </c>
      <c r="S64" s="165" t="s">
        <v>172</v>
      </c>
      <c r="T64" s="165">
        <v>25</v>
      </c>
      <c r="U64" s="166" t="s">
        <v>516</v>
      </c>
      <c r="V64" s="158">
        <v>0.86299999999999999</v>
      </c>
      <c r="W64" s="158">
        <v>1.9E-2</v>
      </c>
      <c r="X64" s="158">
        <v>0.23699999999999999</v>
      </c>
      <c r="Y64" s="157">
        <v>3.5000000000000003E-2</v>
      </c>
      <c r="Z64" s="159">
        <v>-8888</v>
      </c>
      <c r="AA64" s="89">
        <v>8.9999999999999993E-3</v>
      </c>
      <c r="AB64" s="89">
        <v>1.0999999999999999E-2</v>
      </c>
      <c r="AC64" s="89">
        <v>3.2000000000000001E-2</v>
      </c>
      <c r="AD64" s="89">
        <v>1E-3</v>
      </c>
      <c r="AE64" s="89">
        <v>0.41099999999999998</v>
      </c>
      <c r="AF64" s="89">
        <v>1.0999999999999999E-2</v>
      </c>
      <c r="AG64" s="89">
        <v>1.0999999999999999E-2</v>
      </c>
      <c r="AH64" s="89">
        <v>0.63100000000000001</v>
      </c>
      <c r="AI64" s="89">
        <v>-8888</v>
      </c>
      <c r="AJ64" s="89">
        <v>0.23200000000000001</v>
      </c>
      <c r="AK64" s="89">
        <v>1.9E-2</v>
      </c>
      <c r="AL64" s="89">
        <v>-8888</v>
      </c>
      <c r="AM64" s="89">
        <v>0.19</v>
      </c>
      <c r="AN64" s="89">
        <v>4.7E-2</v>
      </c>
      <c r="AO64" s="89">
        <v>-8888</v>
      </c>
      <c r="AP64" s="89">
        <v>2E-3</v>
      </c>
      <c r="AQ64" s="89">
        <v>3.0000000000000001E-3</v>
      </c>
      <c r="AR64" s="89">
        <v>1.4999999999999999E-2</v>
      </c>
      <c r="AS64" s="89">
        <v>0.29499999999999998</v>
      </c>
      <c r="AT64" s="89">
        <v>-8888</v>
      </c>
      <c r="AU64" s="89">
        <v>-8888</v>
      </c>
      <c r="AV64" s="89">
        <v>1.119</v>
      </c>
      <c r="AW64" s="89">
        <v>0.09</v>
      </c>
      <c r="AX64" s="89">
        <v>0.43099999999999999</v>
      </c>
      <c r="AY64" s="89">
        <v>1.55</v>
      </c>
      <c r="AZ64" s="89">
        <v>0.52100000000000002</v>
      </c>
      <c r="BA64" s="89">
        <v>0.77700000000000002</v>
      </c>
      <c r="BB64" s="89">
        <v>1.6400000000000001</v>
      </c>
      <c r="BC64" s="89">
        <v>0.47199999999999998</v>
      </c>
      <c r="BD64" s="160">
        <v>0.9</v>
      </c>
      <c r="BE64" s="160">
        <v>0.83</v>
      </c>
      <c r="BF64" s="160">
        <v>0.17</v>
      </c>
      <c r="BG64" s="160">
        <v>2.15</v>
      </c>
      <c r="BH64" s="160">
        <v>0.05</v>
      </c>
      <c r="BI64" s="160">
        <v>0.95</v>
      </c>
      <c r="BJ64" s="160">
        <v>0.53</v>
      </c>
      <c r="BL64" s="167"/>
    </row>
    <row r="65" spans="1:64" s="88" customFormat="1" ht="14.1" customHeight="1">
      <c r="A65" s="156" t="s">
        <v>328</v>
      </c>
      <c r="B65" s="169" t="s">
        <v>511</v>
      </c>
      <c r="C65" s="169" t="s">
        <v>623</v>
      </c>
      <c r="D65" s="169" t="s">
        <v>578</v>
      </c>
      <c r="E65" s="169" t="s">
        <v>173</v>
      </c>
      <c r="F65" s="169">
        <v>539</v>
      </c>
      <c r="G65" s="169">
        <v>14</v>
      </c>
      <c r="H65" s="169">
        <v>6</v>
      </c>
      <c r="I65" s="165">
        <v>46.2</v>
      </c>
      <c r="J65" s="165">
        <v>140</v>
      </c>
      <c r="K65" s="166" t="s">
        <v>514</v>
      </c>
      <c r="L65" s="165">
        <v>2024</v>
      </c>
      <c r="M65" s="165" t="s">
        <v>579</v>
      </c>
      <c r="N65" s="165">
        <v>6</v>
      </c>
      <c r="O65" s="181">
        <v>127</v>
      </c>
      <c r="P65" s="165" t="s">
        <v>622</v>
      </c>
      <c r="Q65" s="165">
        <v>-70.881</v>
      </c>
      <c r="R65" s="165">
        <v>40.151000000000003</v>
      </c>
      <c r="S65" s="165" t="s">
        <v>172</v>
      </c>
      <c r="T65" s="165">
        <v>25</v>
      </c>
      <c r="U65" s="166" t="s">
        <v>516</v>
      </c>
      <c r="V65" s="158">
        <v>0.92699999999999994</v>
      </c>
      <c r="W65" s="158">
        <v>2.1999999999999999E-2</v>
      </c>
      <c r="X65" s="158">
        <v>0.24299999999999999</v>
      </c>
      <c r="Y65" s="157">
        <v>3.5999999999999997E-2</v>
      </c>
      <c r="Z65" s="159">
        <v>-8888</v>
      </c>
      <c r="AA65" s="89">
        <v>8.9999999999999993E-3</v>
      </c>
      <c r="AB65" s="89">
        <v>1.4999999999999999E-2</v>
      </c>
      <c r="AC65" s="89">
        <v>3.4000000000000002E-2</v>
      </c>
      <c r="AD65" s="89">
        <v>2E-3</v>
      </c>
      <c r="AE65" s="89">
        <v>0.42499999999999999</v>
      </c>
      <c r="AF65" s="89">
        <v>1.7999999999999999E-2</v>
      </c>
      <c r="AG65" s="89">
        <v>1.0999999999999999E-2</v>
      </c>
      <c r="AH65" s="89">
        <v>0.70399999999999996</v>
      </c>
      <c r="AI65" s="89">
        <v>-8888</v>
      </c>
      <c r="AJ65" s="89">
        <v>0.223</v>
      </c>
      <c r="AK65" s="89">
        <v>2.1999999999999999E-2</v>
      </c>
      <c r="AL65" s="89">
        <v>-8888</v>
      </c>
      <c r="AM65" s="89">
        <v>0.19800000000000001</v>
      </c>
      <c r="AN65" s="89">
        <v>4.4999999999999998E-2</v>
      </c>
      <c r="AO65" s="89">
        <v>-8888</v>
      </c>
      <c r="AP65" s="89">
        <v>3.0000000000000001E-3</v>
      </c>
      <c r="AQ65" s="89">
        <v>3.0000000000000001E-3</v>
      </c>
      <c r="AR65" s="89">
        <v>1.6E-2</v>
      </c>
      <c r="AS65" s="89">
        <v>0.32400000000000001</v>
      </c>
      <c r="AT65" s="89">
        <v>-8888</v>
      </c>
      <c r="AU65" s="89">
        <v>-8888</v>
      </c>
      <c r="AV65" s="89">
        <v>1.1919999999999999</v>
      </c>
      <c r="AW65" s="89">
        <v>9.8000000000000004E-2</v>
      </c>
      <c r="AX65" s="89">
        <v>0.45200000000000001</v>
      </c>
      <c r="AY65" s="89">
        <v>1.6439999999999999</v>
      </c>
      <c r="AZ65" s="89">
        <v>0.55000000000000004</v>
      </c>
      <c r="BA65" s="89">
        <v>0.81500000000000006</v>
      </c>
      <c r="BB65" s="89">
        <v>1.742</v>
      </c>
      <c r="BC65" s="89">
        <v>0.5</v>
      </c>
      <c r="BD65" s="160">
        <v>0.88</v>
      </c>
      <c r="BE65" s="160">
        <v>0.82</v>
      </c>
      <c r="BF65" s="160">
        <v>0.18</v>
      </c>
      <c r="BG65" s="160">
        <v>2.17</v>
      </c>
      <c r="BH65" s="160">
        <v>0.06</v>
      </c>
      <c r="BI65" s="160">
        <v>0.94</v>
      </c>
      <c r="BJ65" s="160">
        <v>0.53</v>
      </c>
      <c r="BL65" s="167"/>
    </row>
    <row r="66" spans="1:64" s="88" customFormat="1" ht="14.1" customHeight="1">
      <c r="A66" s="156" t="s">
        <v>329</v>
      </c>
      <c r="B66" s="169" t="s">
        <v>511</v>
      </c>
      <c r="C66" s="169" t="s">
        <v>624</v>
      </c>
      <c r="D66" s="169" t="s">
        <v>578</v>
      </c>
      <c r="E66" s="169" t="s">
        <v>170</v>
      </c>
      <c r="F66" s="169">
        <v>532</v>
      </c>
      <c r="G66" s="169">
        <v>14</v>
      </c>
      <c r="H66" s="169">
        <v>14</v>
      </c>
      <c r="I66" s="165">
        <v>28</v>
      </c>
      <c r="J66" s="165">
        <v>140</v>
      </c>
      <c r="K66" s="166" t="s">
        <v>514</v>
      </c>
      <c r="L66" s="165">
        <v>2024</v>
      </c>
      <c r="M66" s="165" t="s">
        <v>579</v>
      </c>
      <c r="N66" s="165">
        <v>6</v>
      </c>
      <c r="O66" s="181">
        <v>127</v>
      </c>
      <c r="P66" s="165" t="s">
        <v>625</v>
      </c>
      <c r="Q66" s="165">
        <v>-70.881</v>
      </c>
      <c r="R66" s="165">
        <v>40.151000000000003</v>
      </c>
      <c r="S66" s="165" t="s">
        <v>172</v>
      </c>
      <c r="T66" s="165">
        <v>25</v>
      </c>
      <c r="U66" s="166" t="s">
        <v>516</v>
      </c>
      <c r="V66" s="158">
        <v>0.66500000000000004</v>
      </c>
      <c r="W66" s="158">
        <v>6.5000000000000002E-2</v>
      </c>
      <c r="X66" s="158">
        <v>0.127</v>
      </c>
      <c r="Y66" s="157">
        <v>3.2000000000000001E-2</v>
      </c>
      <c r="Z66" s="159">
        <v>8.0000000000000002E-3</v>
      </c>
      <c r="AA66" s="89">
        <v>2.5999999999999999E-2</v>
      </c>
      <c r="AB66" s="89">
        <v>4.8000000000000001E-2</v>
      </c>
      <c r="AC66" s="89">
        <v>3.7999999999999999E-2</v>
      </c>
      <c r="AD66" s="89">
        <v>5.0000000000000001E-3</v>
      </c>
      <c r="AE66" s="89">
        <v>0.111</v>
      </c>
      <c r="AF66" s="89">
        <v>0.114</v>
      </c>
      <c r="AG66" s="89">
        <v>8.9999999999999993E-3</v>
      </c>
      <c r="AH66" s="89">
        <v>0.624</v>
      </c>
      <c r="AI66" s="89">
        <v>-8888</v>
      </c>
      <c r="AJ66" s="89">
        <v>4.1000000000000002E-2</v>
      </c>
      <c r="AK66" s="89">
        <v>6.5000000000000002E-2</v>
      </c>
      <c r="AL66" s="89">
        <v>-8888</v>
      </c>
      <c r="AM66" s="89">
        <v>9.8000000000000004E-2</v>
      </c>
      <c r="AN66" s="89">
        <v>2.9000000000000001E-2</v>
      </c>
      <c r="AO66" s="89">
        <v>1E-3</v>
      </c>
      <c r="AP66" s="89">
        <v>8.0000000000000002E-3</v>
      </c>
      <c r="AQ66" s="89">
        <v>6.0000000000000001E-3</v>
      </c>
      <c r="AR66" s="89">
        <v>6.0000000000000001E-3</v>
      </c>
      <c r="AS66" s="89">
        <v>2.9000000000000001E-2</v>
      </c>
      <c r="AT66" s="89">
        <v>2.1999999999999999E-2</v>
      </c>
      <c r="AU66" s="89">
        <v>-8888</v>
      </c>
      <c r="AV66" s="89">
        <v>0.85699999999999998</v>
      </c>
      <c r="AW66" s="89">
        <v>0.13200000000000001</v>
      </c>
      <c r="AX66" s="89">
        <v>0.25900000000000001</v>
      </c>
      <c r="AY66" s="89">
        <v>1.1160000000000001</v>
      </c>
      <c r="AZ66" s="89">
        <v>0.39100000000000001</v>
      </c>
      <c r="BA66" s="89">
        <v>0.58299999999999996</v>
      </c>
      <c r="BB66" s="89">
        <v>1.248</v>
      </c>
      <c r="BC66" s="89">
        <v>0.38100000000000001</v>
      </c>
      <c r="BD66" s="160">
        <v>0.88</v>
      </c>
      <c r="BE66" s="160">
        <v>0.66</v>
      </c>
      <c r="BF66" s="160">
        <v>0.34</v>
      </c>
      <c r="BG66" s="160">
        <v>2.19</v>
      </c>
      <c r="BH66" s="160">
        <v>0.11</v>
      </c>
      <c r="BI66" s="160">
        <v>0.89</v>
      </c>
      <c r="BJ66" s="160">
        <v>0.53</v>
      </c>
      <c r="BL66" s="167"/>
    </row>
    <row r="67" spans="1:64" s="88" customFormat="1" ht="14.1" customHeight="1">
      <c r="A67" s="156" t="s">
        <v>330</v>
      </c>
      <c r="B67" s="169" t="s">
        <v>511</v>
      </c>
      <c r="C67" s="169" t="s">
        <v>626</v>
      </c>
      <c r="D67" s="169" t="s">
        <v>578</v>
      </c>
      <c r="E67" s="169" t="s">
        <v>170</v>
      </c>
      <c r="F67" s="169">
        <v>548</v>
      </c>
      <c r="G67" s="169">
        <v>14</v>
      </c>
      <c r="H67" s="169">
        <v>18</v>
      </c>
      <c r="I67" s="165">
        <v>4</v>
      </c>
      <c r="J67" s="165">
        <v>140</v>
      </c>
      <c r="K67" s="166" t="s">
        <v>514</v>
      </c>
      <c r="L67" s="165">
        <v>2024</v>
      </c>
      <c r="M67" s="165" t="s">
        <v>579</v>
      </c>
      <c r="N67" s="165">
        <v>6</v>
      </c>
      <c r="O67" s="181">
        <v>127</v>
      </c>
      <c r="P67" s="165" t="s">
        <v>627</v>
      </c>
      <c r="Q67" s="165">
        <v>-70.881</v>
      </c>
      <c r="R67" s="165">
        <v>40.15</v>
      </c>
      <c r="S67" s="165" t="s">
        <v>172</v>
      </c>
      <c r="T67" s="165">
        <v>25</v>
      </c>
      <c r="U67" s="166" t="s">
        <v>516</v>
      </c>
      <c r="V67" s="158">
        <v>0.499</v>
      </c>
      <c r="W67" s="158">
        <v>3.5999999999999997E-2</v>
      </c>
      <c r="X67" s="158">
        <v>8.6999999999999994E-2</v>
      </c>
      <c r="Y67" s="157">
        <v>2.7E-2</v>
      </c>
      <c r="Z67" s="159">
        <v>5.0000000000000001E-3</v>
      </c>
      <c r="AA67" s="89">
        <v>2.5000000000000001E-2</v>
      </c>
      <c r="AB67" s="89">
        <v>3.3000000000000002E-2</v>
      </c>
      <c r="AC67" s="89">
        <v>5.7000000000000002E-2</v>
      </c>
      <c r="AD67" s="89">
        <v>8.9999999999999993E-3</v>
      </c>
      <c r="AE67" s="89">
        <v>7.8E-2</v>
      </c>
      <c r="AF67" s="89">
        <v>0.09</v>
      </c>
      <c r="AG67" s="89">
        <v>8.0000000000000002E-3</v>
      </c>
      <c r="AH67" s="89">
        <v>0.46100000000000002</v>
      </c>
      <c r="AI67" s="89">
        <v>-8888</v>
      </c>
      <c r="AJ67" s="89">
        <v>3.7999999999999999E-2</v>
      </c>
      <c r="AK67" s="89">
        <v>3.5999999999999997E-2</v>
      </c>
      <c r="AL67" s="89">
        <v>-8888</v>
      </c>
      <c r="AM67" s="89">
        <v>7.0999999999999994E-2</v>
      </c>
      <c r="AN67" s="89">
        <v>1.6E-2</v>
      </c>
      <c r="AO67" s="89">
        <v>2E-3</v>
      </c>
      <c r="AP67" s="89">
        <v>5.0000000000000001E-3</v>
      </c>
      <c r="AQ67" s="89">
        <v>8.0000000000000002E-3</v>
      </c>
      <c r="AR67" s="89">
        <v>4.0000000000000001E-3</v>
      </c>
      <c r="AS67" s="89">
        <v>1.2E-2</v>
      </c>
      <c r="AT67" s="89">
        <v>8.9999999999999993E-3</v>
      </c>
      <c r="AU67" s="89">
        <v>-8888</v>
      </c>
      <c r="AV67" s="89">
        <v>0.622</v>
      </c>
      <c r="AW67" s="89">
        <v>0.13399999999999998</v>
      </c>
      <c r="AX67" s="89">
        <v>0.19800000000000001</v>
      </c>
      <c r="AY67" s="89">
        <v>0.82000000000000006</v>
      </c>
      <c r="AZ67" s="89">
        <v>0.33199999999999996</v>
      </c>
      <c r="BA67" s="89">
        <v>0.45499999999999996</v>
      </c>
      <c r="BB67" s="89">
        <v>0.95399999999999996</v>
      </c>
      <c r="BC67" s="89">
        <v>0.27500000000000002</v>
      </c>
      <c r="BD67" s="160">
        <v>0.91</v>
      </c>
      <c r="BE67" s="160">
        <v>0.6</v>
      </c>
      <c r="BF67" s="160">
        <v>0.4</v>
      </c>
      <c r="BG67" s="160">
        <v>1.87</v>
      </c>
      <c r="BH67" s="160">
        <v>0.14000000000000001</v>
      </c>
      <c r="BI67" s="160">
        <v>0.86</v>
      </c>
      <c r="BJ67" s="160">
        <v>0.52</v>
      </c>
      <c r="BL67" s="167"/>
    </row>
    <row r="68" spans="1:64" s="88" customFormat="1" ht="14.1" customHeight="1">
      <c r="A68" s="156" t="s">
        <v>331</v>
      </c>
      <c r="B68" s="169" t="s">
        <v>511</v>
      </c>
      <c r="C68" s="169" t="s">
        <v>628</v>
      </c>
      <c r="D68" s="169" t="s">
        <v>578</v>
      </c>
      <c r="E68" s="169" t="s">
        <v>170</v>
      </c>
      <c r="F68" s="169">
        <v>547</v>
      </c>
      <c r="G68" s="169">
        <v>15</v>
      </c>
      <c r="H68" s="169">
        <v>12</v>
      </c>
      <c r="I68" s="165">
        <v>17.899999999999999</v>
      </c>
      <c r="J68" s="165">
        <v>55</v>
      </c>
      <c r="K68" s="166" t="s">
        <v>514</v>
      </c>
      <c r="L68" s="165">
        <v>2024</v>
      </c>
      <c r="M68" s="165" t="s">
        <v>579</v>
      </c>
      <c r="N68" s="165">
        <v>6</v>
      </c>
      <c r="O68" s="181">
        <v>127</v>
      </c>
      <c r="P68" s="165" t="s">
        <v>629</v>
      </c>
      <c r="Q68" s="165">
        <v>-70.887</v>
      </c>
      <c r="R68" s="165">
        <v>40.871000000000002</v>
      </c>
      <c r="S68" s="165" t="s">
        <v>172</v>
      </c>
      <c r="T68" s="165">
        <v>25</v>
      </c>
      <c r="U68" s="166" t="s">
        <v>516</v>
      </c>
      <c r="V68" s="158">
        <v>3.9889999999999999</v>
      </c>
      <c r="W68" s="158">
        <v>0.14499999999999999</v>
      </c>
      <c r="X68" s="158">
        <v>0.79200000000000004</v>
      </c>
      <c r="Y68" s="157">
        <v>0.187</v>
      </c>
      <c r="Z68" s="159">
        <v>-8888</v>
      </c>
      <c r="AA68" s="89">
        <v>9.0999999999999998E-2</v>
      </c>
      <c r="AB68" s="89">
        <v>0.42799999999999999</v>
      </c>
      <c r="AC68" s="89">
        <v>0.14299999999999999</v>
      </c>
      <c r="AD68" s="89">
        <v>8.0000000000000002E-3</v>
      </c>
      <c r="AE68" s="89">
        <v>1.504</v>
      </c>
      <c r="AF68" s="89">
        <v>2.8000000000000001E-2</v>
      </c>
      <c r="AG68" s="89">
        <v>8.9999999999999993E-3</v>
      </c>
      <c r="AH68" s="89">
        <v>3.32</v>
      </c>
      <c r="AI68" s="89">
        <v>-8888</v>
      </c>
      <c r="AJ68" s="89">
        <v>0.66900000000000004</v>
      </c>
      <c r="AK68" s="89">
        <v>0.14499999999999999</v>
      </c>
      <c r="AL68" s="89">
        <v>-8888</v>
      </c>
      <c r="AM68" s="89">
        <v>0.65600000000000003</v>
      </c>
      <c r="AN68" s="89">
        <v>0.13600000000000001</v>
      </c>
      <c r="AO68" s="89">
        <v>-8888</v>
      </c>
      <c r="AP68" s="89">
        <v>1.7999999999999999E-2</v>
      </c>
      <c r="AQ68" s="89">
        <v>1.7000000000000001E-2</v>
      </c>
      <c r="AR68" s="89">
        <v>2.3E-2</v>
      </c>
      <c r="AS68" s="89">
        <v>0.10299999999999999</v>
      </c>
      <c r="AT68" s="89">
        <v>7.1999999999999995E-2</v>
      </c>
      <c r="AU68" s="89">
        <v>-8888</v>
      </c>
      <c r="AV68" s="89">
        <v>4.9259999999999993</v>
      </c>
      <c r="AW68" s="89">
        <v>0.77499999999999991</v>
      </c>
      <c r="AX68" s="89">
        <v>1.623</v>
      </c>
      <c r="AY68" s="89">
        <v>6.5489999999999995</v>
      </c>
      <c r="AZ68" s="89">
        <v>2.3979999999999997</v>
      </c>
      <c r="BA68" s="89">
        <v>3.335</v>
      </c>
      <c r="BB68" s="89">
        <v>7.3239999999999998</v>
      </c>
      <c r="BC68" s="89">
        <v>2.2050000000000001</v>
      </c>
      <c r="BD68" s="160">
        <v>0.84</v>
      </c>
      <c r="BE68" s="160">
        <v>0.68</v>
      </c>
      <c r="BF68" s="160">
        <v>0.32</v>
      </c>
      <c r="BG68" s="160">
        <v>2.0499999999999998</v>
      </c>
      <c r="BH68" s="160">
        <v>0.11</v>
      </c>
      <c r="BI68" s="160">
        <v>0.89</v>
      </c>
      <c r="BJ68" s="160">
        <v>0.54</v>
      </c>
      <c r="BL68" s="167"/>
    </row>
    <row r="69" spans="1:64" s="88" customFormat="1" ht="14.1" customHeight="1">
      <c r="A69" s="156" t="s">
        <v>332</v>
      </c>
      <c r="B69" s="169" t="s">
        <v>511</v>
      </c>
      <c r="C69" s="169" t="s">
        <v>630</v>
      </c>
      <c r="D69" s="169" t="s">
        <v>578</v>
      </c>
      <c r="E69" s="169" t="s">
        <v>170</v>
      </c>
      <c r="F69" s="169">
        <v>548</v>
      </c>
      <c r="G69" s="169">
        <v>15</v>
      </c>
      <c r="H69" s="169">
        <v>20</v>
      </c>
      <c r="I69" s="165">
        <v>4.3</v>
      </c>
      <c r="J69" s="165">
        <v>55</v>
      </c>
      <c r="K69" s="166" t="s">
        <v>514</v>
      </c>
      <c r="L69" s="165">
        <v>2024</v>
      </c>
      <c r="M69" s="165" t="s">
        <v>579</v>
      </c>
      <c r="N69" s="165">
        <v>6</v>
      </c>
      <c r="O69" s="181">
        <v>127</v>
      </c>
      <c r="P69" s="165" t="s">
        <v>631</v>
      </c>
      <c r="Q69" s="165">
        <v>-70.885999999999996</v>
      </c>
      <c r="R69" s="165">
        <v>40.871000000000002</v>
      </c>
      <c r="S69" s="165" t="s">
        <v>172</v>
      </c>
      <c r="T69" s="165">
        <v>25</v>
      </c>
      <c r="U69" s="166" t="s">
        <v>516</v>
      </c>
      <c r="V69" s="158">
        <v>1.8659999999999999</v>
      </c>
      <c r="W69" s="158">
        <v>0.16500000000000001</v>
      </c>
      <c r="X69" s="158">
        <v>0.36299999999999999</v>
      </c>
      <c r="Y69" s="157">
        <v>9.8000000000000004E-2</v>
      </c>
      <c r="Z69" s="159">
        <v>3.1E-2</v>
      </c>
      <c r="AA69" s="89">
        <v>0.112</v>
      </c>
      <c r="AB69" s="89">
        <v>0.13800000000000001</v>
      </c>
      <c r="AC69" s="89">
        <v>0.22600000000000001</v>
      </c>
      <c r="AD69" s="89">
        <v>3.4000000000000002E-2</v>
      </c>
      <c r="AE69" s="89">
        <v>0.70499999999999996</v>
      </c>
      <c r="AF69" s="89">
        <v>2.3E-2</v>
      </c>
      <c r="AG69" s="89">
        <v>1.9E-2</v>
      </c>
      <c r="AH69" s="89">
        <v>1.5329999999999999</v>
      </c>
      <c r="AI69" s="89">
        <v>-8888</v>
      </c>
      <c r="AJ69" s="89">
        <v>0.33300000000000002</v>
      </c>
      <c r="AK69" s="89">
        <v>0.16500000000000001</v>
      </c>
      <c r="AL69" s="89">
        <v>-8888</v>
      </c>
      <c r="AM69" s="89">
        <v>0.26600000000000001</v>
      </c>
      <c r="AN69" s="89">
        <v>9.7000000000000003E-2</v>
      </c>
      <c r="AO69" s="89">
        <v>1.2999999999999999E-2</v>
      </c>
      <c r="AP69" s="89">
        <v>0.02</v>
      </c>
      <c r="AQ69" s="89">
        <v>2.7E-2</v>
      </c>
      <c r="AR69" s="89">
        <v>0.01</v>
      </c>
      <c r="AS69" s="89">
        <v>3.4000000000000002E-2</v>
      </c>
      <c r="AT69" s="89">
        <v>0.06</v>
      </c>
      <c r="AU69" s="89">
        <v>-8888</v>
      </c>
      <c r="AV69" s="89">
        <v>2.3939999999999997</v>
      </c>
      <c r="AW69" s="89">
        <v>0.51500000000000001</v>
      </c>
      <c r="AX69" s="89">
        <v>0.871</v>
      </c>
      <c r="AY69" s="89">
        <v>3.2649999999999997</v>
      </c>
      <c r="AZ69" s="89">
        <v>1.3860000000000001</v>
      </c>
      <c r="BA69" s="89">
        <v>1.9140000000000001</v>
      </c>
      <c r="BB69" s="89">
        <v>3.7800000000000002</v>
      </c>
      <c r="BC69" s="89">
        <v>1.1930000000000001</v>
      </c>
      <c r="BD69" s="160">
        <v>1.03</v>
      </c>
      <c r="BE69" s="160">
        <v>0.63</v>
      </c>
      <c r="BF69" s="160">
        <v>0.37</v>
      </c>
      <c r="BG69" s="160">
        <v>1.73</v>
      </c>
      <c r="BH69" s="160">
        <v>0.14000000000000001</v>
      </c>
      <c r="BI69" s="160">
        <v>0.86</v>
      </c>
      <c r="BJ69" s="160">
        <v>0.49</v>
      </c>
      <c r="BL69" s="167"/>
    </row>
    <row r="70" spans="1:64" s="88" customFormat="1" ht="14.1" customHeight="1">
      <c r="A70" s="156" t="s">
        <v>333</v>
      </c>
      <c r="B70" s="169" t="s">
        <v>511</v>
      </c>
      <c r="C70" s="169" t="s">
        <v>632</v>
      </c>
      <c r="D70" s="169" t="s">
        <v>578</v>
      </c>
      <c r="E70" s="169" t="s">
        <v>170</v>
      </c>
      <c r="F70" s="169">
        <v>547</v>
      </c>
      <c r="G70" s="169">
        <v>18</v>
      </c>
      <c r="H70" s="169">
        <v>9</v>
      </c>
      <c r="I70" s="165">
        <v>38.200000000000003</v>
      </c>
      <c r="J70" s="165">
        <v>214</v>
      </c>
      <c r="K70" s="166" t="s">
        <v>514</v>
      </c>
      <c r="L70" s="165">
        <v>2024</v>
      </c>
      <c r="M70" s="165" t="s">
        <v>579</v>
      </c>
      <c r="N70" s="165">
        <v>7</v>
      </c>
      <c r="O70" s="181">
        <v>128</v>
      </c>
      <c r="P70" s="165" t="s">
        <v>633</v>
      </c>
      <c r="Q70" s="165">
        <v>-70.888999999999996</v>
      </c>
      <c r="R70" s="165">
        <v>40.046999999999997</v>
      </c>
      <c r="S70" s="165" t="s">
        <v>172</v>
      </c>
      <c r="T70" s="165">
        <v>25</v>
      </c>
      <c r="U70" s="166" t="s">
        <v>516</v>
      </c>
      <c r="V70" s="158">
        <v>1.246</v>
      </c>
      <c r="W70" s="158">
        <v>0.19</v>
      </c>
      <c r="X70" s="158">
        <v>0.34899999999999998</v>
      </c>
      <c r="Y70" s="157">
        <v>5.3999999999999999E-2</v>
      </c>
      <c r="Z70" s="159">
        <v>2.7E-2</v>
      </c>
      <c r="AA70" s="89">
        <v>0.27300000000000002</v>
      </c>
      <c r="AB70" s="89">
        <v>2.1999999999999999E-2</v>
      </c>
      <c r="AC70" s="89">
        <v>6.4000000000000001E-2</v>
      </c>
      <c r="AD70" s="89">
        <v>5.0000000000000001E-3</v>
      </c>
      <c r="AE70" s="89">
        <v>0.23599999999999999</v>
      </c>
      <c r="AF70" s="89">
        <v>0.16200000000000001</v>
      </c>
      <c r="AG70" s="89">
        <v>1.6E-2</v>
      </c>
      <c r="AH70" s="89">
        <v>1.1499999999999999</v>
      </c>
      <c r="AI70" s="89">
        <v>-8888</v>
      </c>
      <c r="AJ70" s="89">
        <v>9.6000000000000002E-2</v>
      </c>
      <c r="AK70" s="89">
        <v>0.19</v>
      </c>
      <c r="AL70" s="89">
        <v>-8888</v>
      </c>
      <c r="AM70" s="89">
        <v>0.186</v>
      </c>
      <c r="AN70" s="89">
        <v>0.16300000000000001</v>
      </c>
      <c r="AO70" s="89">
        <v>-8888</v>
      </c>
      <c r="AP70" s="89">
        <v>0.02</v>
      </c>
      <c r="AQ70" s="89">
        <v>8.0000000000000002E-3</v>
      </c>
      <c r="AR70" s="89">
        <v>1.2999999999999999E-2</v>
      </c>
      <c r="AS70" s="89">
        <v>8.2000000000000003E-2</v>
      </c>
      <c r="AT70" s="89">
        <v>7.5999999999999998E-2</v>
      </c>
      <c r="AU70" s="89">
        <v>-8888</v>
      </c>
      <c r="AV70" s="89">
        <v>1.7849999999999999</v>
      </c>
      <c r="AW70" s="89">
        <v>0.161</v>
      </c>
      <c r="AX70" s="89">
        <v>0.69800000000000006</v>
      </c>
      <c r="AY70" s="89">
        <v>2.4830000000000001</v>
      </c>
      <c r="AZ70" s="89">
        <v>0.8590000000000001</v>
      </c>
      <c r="BA70" s="89">
        <v>1.3980000000000001</v>
      </c>
      <c r="BB70" s="89">
        <v>2.6440000000000001</v>
      </c>
      <c r="BC70" s="89">
        <v>0.92600000000000005</v>
      </c>
      <c r="BD70" s="160">
        <v>1.1200000000000001</v>
      </c>
      <c r="BE70" s="160">
        <v>0.81</v>
      </c>
      <c r="BF70" s="160">
        <v>0.19</v>
      </c>
      <c r="BG70" s="160">
        <v>2.08</v>
      </c>
      <c r="BH70" s="160">
        <v>0.06</v>
      </c>
      <c r="BI70" s="160">
        <v>0.94</v>
      </c>
      <c r="BJ70" s="160">
        <v>0.47</v>
      </c>
      <c r="BL70" s="167"/>
    </row>
    <row r="71" spans="1:64" s="88" customFormat="1" ht="14.1" customHeight="1">
      <c r="A71" s="156" t="s">
        <v>334</v>
      </c>
      <c r="B71" s="169" t="s">
        <v>511</v>
      </c>
      <c r="C71" s="169" t="s">
        <v>634</v>
      </c>
      <c r="D71" s="169" t="s">
        <v>578</v>
      </c>
      <c r="E71" s="169" t="s">
        <v>170</v>
      </c>
      <c r="F71" s="169">
        <v>548</v>
      </c>
      <c r="G71" s="169">
        <v>18</v>
      </c>
      <c r="H71" s="169">
        <v>22</v>
      </c>
      <c r="I71" s="165">
        <v>3.4</v>
      </c>
      <c r="J71" s="165">
        <v>214</v>
      </c>
      <c r="K71" s="166" t="s">
        <v>514</v>
      </c>
      <c r="L71" s="165">
        <v>2024</v>
      </c>
      <c r="M71" s="165" t="s">
        <v>579</v>
      </c>
      <c r="N71" s="165">
        <v>7</v>
      </c>
      <c r="O71" s="181">
        <v>128</v>
      </c>
      <c r="P71" s="165" t="s">
        <v>635</v>
      </c>
      <c r="Q71" s="165">
        <v>-70.89</v>
      </c>
      <c r="R71" s="165">
        <v>40.048999999999999</v>
      </c>
      <c r="S71" s="165" t="s">
        <v>172</v>
      </c>
      <c r="T71" s="165">
        <v>25</v>
      </c>
      <c r="U71" s="166" t="s">
        <v>516</v>
      </c>
      <c r="V71" s="158">
        <v>0.49199999999999999</v>
      </c>
      <c r="W71" s="158">
        <v>4.2000000000000003E-2</v>
      </c>
      <c r="X71" s="158">
        <v>9.4E-2</v>
      </c>
      <c r="Y71" s="157">
        <v>2.8000000000000001E-2</v>
      </c>
      <c r="Z71" s="159">
        <v>0.01</v>
      </c>
      <c r="AA71" s="89">
        <v>4.7E-2</v>
      </c>
      <c r="AB71" s="89">
        <v>0.02</v>
      </c>
      <c r="AC71" s="89">
        <v>6.7000000000000004E-2</v>
      </c>
      <c r="AD71" s="89">
        <v>7.0000000000000001E-3</v>
      </c>
      <c r="AE71" s="89">
        <v>8.3000000000000004E-2</v>
      </c>
      <c r="AF71" s="89">
        <v>6.3E-2</v>
      </c>
      <c r="AG71" s="89">
        <v>0.01</v>
      </c>
      <c r="AH71" s="89">
        <v>0.44</v>
      </c>
      <c r="AI71" s="89">
        <v>-8888</v>
      </c>
      <c r="AJ71" s="89">
        <v>5.1999999999999998E-2</v>
      </c>
      <c r="AK71" s="89">
        <v>4.2000000000000003E-2</v>
      </c>
      <c r="AL71" s="89">
        <v>-8888</v>
      </c>
      <c r="AM71" s="89">
        <v>7.1999999999999995E-2</v>
      </c>
      <c r="AN71" s="89">
        <v>2.1999999999999999E-2</v>
      </c>
      <c r="AO71" s="89">
        <v>3.0000000000000001E-3</v>
      </c>
      <c r="AP71" s="89">
        <v>5.0000000000000001E-3</v>
      </c>
      <c r="AQ71" s="89">
        <v>0.01</v>
      </c>
      <c r="AR71" s="89">
        <v>5.0000000000000001E-3</v>
      </c>
      <c r="AS71" s="89">
        <v>8.0000000000000002E-3</v>
      </c>
      <c r="AT71" s="89">
        <v>1.0999999999999999E-2</v>
      </c>
      <c r="AU71" s="89">
        <v>-8888</v>
      </c>
      <c r="AV71" s="89">
        <v>0.628</v>
      </c>
      <c r="AW71" s="89">
        <v>0.13200000000000001</v>
      </c>
      <c r="AX71" s="89">
        <v>0.20300000000000001</v>
      </c>
      <c r="AY71" s="89">
        <v>0.83099999999999996</v>
      </c>
      <c r="AZ71" s="89">
        <v>0.33500000000000002</v>
      </c>
      <c r="BA71" s="89">
        <v>0.47099999999999997</v>
      </c>
      <c r="BB71" s="89">
        <v>0.96299999999999997</v>
      </c>
      <c r="BC71" s="89">
        <v>0.27500000000000002</v>
      </c>
      <c r="BD71" s="160">
        <v>0.96</v>
      </c>
      <c r="BE71" s="160">
        <v>0.61</v>
      </c>
      <c r="BF71" s="160">
        <v>0.39</v>
      </c>
      <c r="BG71" s="160">
        <v>1.87</v>
      </c>
      <c r="BH71" s="160">
        <v>0.14000000000000001</v>
      </c>
      <c r="BI71" s="160">
        <v>0.86</v>
      </c>
      <c r="BJ71" s="160">
        <v>0.51</v>
      </c>
      <c r="BL71" s="167"/>
    </row>
    <row r="72" spans="1:64" s="88" customFormat="1" ht="14.1" customHeight="1">
      <c r="A72" s="156" t="s">
        <v>335</v>
      </c>
      <c r="B72" s="169" t="s">
        <v>511</v>
      </c>
      <c r="C72" s="169" t="s">
        <v>636</v>
      </c>
      <c r="D72" s="169" t="s">
        <v>578</v>
      </c>
      <c r="E72" s="169" t="s">
        <v>170</v>
      </c>
      <c r="F72" s="169">
        <v>547</v>
      </c>
      <c r="G72" s="169">
        <v>19</v>
      </c>
      <c r="H72" s="169">
        <v>9</v>
      </c>
      <c r="I72" s="165">
        <v>49.9</v>
      </c>
      <c r="J72" s="165">
        <v>123</v>
      </c>
      <c r="K72" s="166" t="s">
        <v>514</v>
      </c>
      <c r="L72" s="165">
        <v>2024</v>
      </c>
      <c r="M72" s="165" t="s">
        <v>579</v>
      </c>
      <c r="N72" s="165">
        <v>7</v>
      </c>
      <c r="O72" s="181">
        <v>128</v>
      </c>
      <c r="P72" s="165" t="s">
        <v>637</v>
      </c>
      <c r="Q72" s="165">
        <v>-70.885000000000005</v>
      </c>
      <c r="R72" s="165">
        <v>40.259</v>
      </c>
      <c r="S72" s="165" t="s">
        <v>172</v>
      </c>
      <c r="T72" s="165">
        <v>25</v>
      </c>
      <c r="U72" s="166" t="s">
        <v>516</v>
      </c>
      <c r="V72" s="158">
        <v>5.3319999999999999</v>
      </c>
      <c r="W72" s="158">
        <v>8.9999999999999993E-3</v>
      </c>
      <c r="X72" s="158">
        <v>1.4580000000000002</v>
      </c>
      <c r="Y72" s="157">
        <v>0.192</v>
      </c>
      <c r="Z72" s="159">
        <v>-8888</v>
      </c>
      <c r="AA72" s="89">
        <v>-8888</v>
      </c>
      <c r="AB72" s="89">
        <v>5.0000000000000001E-3</v>
      </c>
      <c r="AC72" s="89">
        <v>0.2</v>
      </c>
      <c r="AD72" s="89">
        <v>7.0000000000000001E-3</v>
      </c>
      <c r="AE72" s="89">
        <v>3.1070000000000002</v>
      </c>
      <c r="AF72" s="89">
        <v>8.0000000000000002E-3</v>
      </c>
      <c r="AG72" s="89">
        <v>6.0000000000000001E-3</v>
      </c>
      <c r="AH72" s="89">
        <v>2.9359999999999999</v>
      </c>
      <c r="AI72" s="89">
        <v>-8888</v>
      </c>
      <c r="AJ72" s="89">
        <v>2.3959999999999999</v>
      </c>
      <c r="AK72" s="89">
        <v>8.9999999999999993E-3</v>
      </c>
      <c r="AL72" s="89">
        <v>-8888</v>
      </c>
      <c r="AM72" s="89">
        <v>1.3240000000000001</v>
      </c>
      <c r="AN72" s="89">
        <v>0.13400000000000001</v>
      </c>
      <c r="AO72" s="89">
        <v>-8888</v>
      </c>
      <c r="AP72" s="89">
        <v>3.0000000000000001E-3</v>
      </c>
      <c r="AQ72" s="89">
        <v>6.0000000000000001E-3</v>
      </c>
      <c r="AR72" s="89">
        <v>3.5999999999999997E-2</v>
      </c>
      <c r="AS72" s="89">
        <v>1.347</v>
      </c>
      <c r="AT72" s="89">
        <v>-8888</v>
      </c>
      <c r="AU72" s="89">
        <v>-8888</v>
      </c>
      <c r="AV72" s="89">
        <v>6.7990000000000004</v>
      </c>
      <c r="AW72" s="89">
        <v>0.41000000000000003</v>
      </c>
      <c r="AX72" s="89">
        <v>3.1150000000000002</v>
      </c>
      <c r="AY72" s="89">
        <v>9.9140000000000015</v>
      </c>
      <c r="AZ72" s="89">
        <v>3.5250000000000004</v>
      </c>
      <c r="BA72" s="89">
        <v>4.9920000000000009</v>
      </c>
      <c r="BB72" s="89">
        <v>10.324000000000002</v>
      </c>
      <c r="BC72" s="89">
        <v>3.1350000000000002</v>
      </c>
      <c r="BD72" s="160">
        <v>0.94</v>
      </c>
      <c r="BE72" s="160">
        <v>0.88</v>
      </c>
      <c r="BF72" s="160">
        <v>0.12</v>
      </c>
      <c r="BG72" s="160">
        <v>1.93</v>
      </c>
      <c r="BH72" s="160">
        <v>0.04</v>
      </c>
      <c r="BI72" s="160">
        <v>0.96</v>
      </c>
      <c r="BJ72" s="160">
        <v>0.52</v>
      </c>
      <c r="BL72" s="167"/>
    </row>
    <row r="73" spans="1:64" s="88" customFormat="1" ht="14.1" customHeight="1">
      <c r="A73" s="156" t="s">
        <v>336</v>
      </c>
      <c r="B73" s="169" t="s">
        <v>511</v>
      </c>
      <c r="C73" s="169" t="s">
        <v>638</v>
      </c>
      <c r="D73" s="169" t="s">
        <v>578</v>
      </c>
      <c r="E73" s="169" t="s">
        <v>170</v>
      </c>
      <c r="F73" s="169">
        <v>548</v>
      </c>
      <c r="G73" s="169">
        <v>19</v>
      </c>
      <c r="H73" s="169">
        <v>21</v>
      </c>
      <c r="I73" s="165">
        <v>3.5</v>
      </c>
      <c r="J73" s="165">
        <v>123</v>
      </c>
      <c r="K73" s="166" t="s">
        <v>514</v>
      </c>
      <c r="L73" s="165">
        <v>2024</v>
      </c>
      <c r="M73" s="165" t="s">
        <v>579</v>
      </c>
      <c r="N73" s="165">
        <v>7</v>
      </c>
      <c r="O73" s="181">
        <v>128</v>
      </c>
      <c r="P73" s="165" t="s">
        <v>639</v>
      </c>
      <c r="Q73" s="165">
        <v>-70.885000000000005</v>
      </c>
      <c r="R73" s="165">
        <v>40.259</v>
      </c>
      <c r="S73" s="165" t="s">
        <v>172</v>
      </c>
      <c r="T73" s="165">
        <v>25</v>
      </c>
      <c r="U73" s="166" t="s">
        <v>516</v>
      </c>
      <c r="V73" s="158">
        <v>0.54700000000000004</v>
      </c>
      <c r="W73" s="158">
        <v>7.1999999999999995E-2</v>
      </c>
      <c r="X73" s="158">
        <v>7.8E-2</v>
      </c>
      <c r="Y73" s="157">
        <v>3.1E-2</v>
      </c>
      <c r="Z73" s="159">
        <v>5.0000000000000001E-3</v>
      </c>
      <c r="AA73" s="89">
        <v>2.5000000000000001E-2</v>
      </c>
      <c r="AB73" s="89">
        <v>0.04</v>
      </c>
      <c r="AC73" s="89">
        <v>3.9E-2</v>
      </c>
      <c r="AD73" s="89">
        <v>4.0000000000000001E-3</v>
      </c>
      <c r="AE73" s="89">
        <v>6.5000000000000002E-2</v>
      </c>
      <c r="AF73" s="89">
        <v>6.7000000000000004E-2</v>
      </c>
      <c r="AG73" s="89">
        <v>1.0999999999999999E-2</v>
      </c>
      <c r="AH73" s="89">
        <v>0.52900000000000003</v>
      </c>
      <c r="AI73" s="89">
        <v>-8888</v>
      </c>
      <c r="AJ73" s="89">
        <v>1.7999999999999999E-2</v>
      </c>
      <c r="AK73" s="89">
        <v>7.1999999999999995E-2</v>
      </c>
      <c r="AL73" s="89">
        <v>-8888</v>
      </c>
      <c r="AM73" s="89">
        <v>6.5000000000000002E-2</v>
      </c>
      <c r="AN73" s="89">
        <v>1.2999999999999999E-2</v>
      </c>
      <c r="AO73" s="89">
        <v>3.0000000000000001E-3</v>
      </c>
      <c r="AP73" s="89">
        <v>8.9999999999999993E-3</v>
      </c>
      <c r="AQ73" s="89">
        <v>1.4E-2</v>
      </c>
      <c r="AR73" s="89">
        <v>5.0000000000000001E-3</v>
      </c>
      <c r="AS73" s="89">
        <v>4.0000000000000001E-3</v>
      </c>
      <c r="AT73" s="89">
        <v>1.9E-2</v>
      </c>
      <c r="AU73" s="89">
        <v>-8888</v>
      </c>
      <c r="AV73" s="89">
        <v>0.69699999999999995</v>
      </c>
      <c r="AW73" s="89">
        <v>0.125</v>
      </c>
      <c r="AX73" s="89">
        <v>0.16200000000000001</v>
      </c>
      <c r="AY73" s="89">
        <v>0.85899999999999999</v>
      </c>
      <c r="AZ73" s="89">
        <v>0.28700000000000003</v>
      </c>
      <c r="BA73" s="89">
        <v>0.43700000000000006</v>
      </c>
      <c r="BB73" s="89">
        <v>0.9840000000000001</v>
      </c>
      <c r="BC73" s="89">
        <v>0.28499999999999998</v>
      </c>
      <c r="BD73" s="160">
        <v>0.8</v>
      </c>
      <c r="BE73" s="160">
        <v>0.56000000000000005</v>
      </c>
      <c r="BF73" s="160">
        <v>0.44</v>
      </c>
      <c r="BG73" s="160">
        <v>2.4300000000000002</v>
      </c>
      <c r="BH73" s="160">
        <v>0.13</v>
      </c>
      <c r="BI73" s="160">
        <v>0.87</v>
      </c>
      <c r="BJ73" s="160">
        <v>0.56000000000000005</v>
      </c>
      <c r="BL73" s="167"/>
    </row>
    <row r="74" spans="1:64" s="88" customFormat="1" ht="14.1" customHeight="1">
      <c r="A74" s="156" t="s">
        <v>337</v>
      </c>
      <c r="B74" s="169" t="s">
        <v>511</v>
      </c>
      <c r="C74" s="169" t="s">
        <v>640</v>
      </c>
      <c r="D74" s="169" t="s">
        <v>578</v>
      </c>
      <c r="E74" s="169" t="s">
        <v>170</v>
      </c>
      <c r="F74" s="169">
        <v>537</v>
      </c>
      <c r="G74" s="169">
        <v>23</v>
      </c>
      <c r="H74" s="169">
        <v>2</v>
      </c>
      <c r="I74" s="165">
        <v>14.6</v>
      </c>
      <c r="J74" s="165">
        <v>19</v>
      </c>
      <c r="K74" s="166" t="s">
        <v>514</v>
      </c>
      <c r="L74" s="165">
        <v>2024</v>
      </c>
      <c r="M74" s="165" t="s">
        <v>579</v>
      </c>
      <c r="N74" s="165">
        <v>8</v>
      </c>
      <c r="O74" s="181">
        <v>129</v>
      </c>
      <c r="P74" s="165" t="s">
        <v>641</v>
      </c>
      <c r="Q74" s="165">
        <v>-70.584999999999994</v>
      </c>
      <c r="R74" s="165">
        <v>41.317</v>
      </c>
      <c r="S74" s="165" t="s">
        <v>172</v>
      </c>
      <c r="T74" s="165">
        <v>25</v>
      </c>
      <c r="U74" s="166" t="s">
        <v>516</v>
      </c>
      <c r="V74" s="158">
        <v>1.6950000000000001</v>
      </c>
      <c r="W74" s="158">
        <v>0.18099999999999999</v>
      </c>
      <c r="X74" s="158">
        <v>0.188</v>
      </c>
      <c r="Y74" s="157">
        <v>9.5000000000000001E-2</v>
      </c>
      <c r="Z74" s="159">
        <v>-8888</v>
      </c>
      <c r="AA74" s="89">
        <v>1.2E-2</v>
      </c>
      <c r="AB74" s="89">
        <v>0.13200000000000001</v>
      </c>
      <c r="AC74" s="89">
        <v>6.7000000000000004E-2</v>
      </c>
      <c r="AD74" s="89">
        <v>1.7000000000000001E-2</v>
      </c>
      <c r="AE74" s="89">
        <v>0.33500000000000002</v>
      </c>
      <c r="AF74" s="89">
        <v>2.8000000000000001E-2</v>
      </c>
      <c r="AG74" s="89">
        <v>1.7999999999999999E-2</v>
      </c>
      <c r="AH74" s="89">
        <v>1.665</v>
      </c>
      <c r="AI74" s="89">
        <v>-8888</v>
      </c>
      <c r="AJ74" s="89">
        <v>0.03</v>
      </c>
      <c r="AK74" s="89">
        <v>0.18099999999999999</v>
      </c>
      <c r="AL74" s="89">
        <v>-8888</v>
      </c>
      <c r="AM74" s="89">
        <v>0.16700000000000001</v>
      </c>
      <c r="AN74" s="89">
        <v>2.1000000000000001E-2</v>
      </c>
      <c r="AO74" s="89">
        <v>7.0000000000000001E-3</v>
      </c>
      <c r="AP74" s="89">
        <v>2.1000000000000001E-2</v>
      </c>
      <c r="AQ74" s="89">
        <v>2.7E-2</v>
      </c>
      <c r="AR74" s="89">
        <v>4.5999999999999999E-2</v>
      </c>
      <c r="AS74" s="89">
        <v>0.122</v>
      </c>
      <c r="AT74" s="89">
        <v>5.5E-2</v>
      </c>
      <c r="AU74" s="89">
        <v>-8888</v>
      </c>
      <c r="AV74" s="89">
        <v>2.0640000000000001</v>
      </c>
      <c r="AW74" s="89">
        <v>0.32900000000000001</v>
      </c>
      <c r="AX74" s="89">
        <v>0.37500000000000006</v>
      </c>
      <c r="AY74" s="89">
        <v>2.4390000000000001</v>
      </c>
      <c r="AZ74" s="89">
        <v>0.70400000000000007</v>
      </c>
      <c r="BA74" s="89">
        <v>1.073</v>
      </c>
      <c r="BB74" s="89">
        <v>2.7679999999999998</v>
      </c>
      <c r="BC74" s="89">
        <v>0.70600000000000007</v>
      </c>
      <c r="BD74" s="160">
        <v>0.63</v>
      </c>
      <c r="BE74" s="160">
        <v>0.53</v>
      </c>
      <c r="BF74" s="160">
        <v>0.47</v>
      </c>
      <c r="BG74" s="160">
        <v>2.93</v>
      </c>
      <c r="BH74" s="160">
        <v>0.12</v>
      </c>
      <c r="BI74" s="160">
        <v>0.88</v>
      </c>
      <c r="BJ74" s="160">
        <v>0.61</v>
      </c>
      <c r="BL74" s="167"/>
    </row>
    <row r="75" spans="1:64" s="88" customFormat="1" ht="14.1" customHeight="1">
      <c r="A75" s="156" t="s">
        <v>338</v>
      </c>
      <c r="B75" s="169" t="s">
        <v>511</v>
      </c>
      <c r="C75" s="169" t="s">
        <v>642</v>
      </c>
      <c r="D75" s="169" t="s">
        <v>578</v>
      </c>
      <c r="E75" s="169" t="s">
        <v>170</v>
      </c>
      <c r="F75" s="169">
        <v>547</v>
      </c>
      <c r="G75" s="169">
        <v>23</v>
      </c>
      <c r="H75" s="169">
        <v>7</v>
      </c>
      <c r="I75" s="165">
        <v>9.6999999999999993</v>
      </c>
      <c r="J75" s="165">
        <v>19</v>
      </c>
      <c r="K75" s="166" t="s">
        <v>514</v>
      </c>
      <c r="L75" s="165">
        <v>2024</v>
      </c>
      <c r="M75" s="165" t="s">
        <v>579</v>
      </c>
      <c r="N75" s="165">
        <v>8</v>
      </c>
      <c r="O75" s="181">
        <v>129</v>
      </c>
      <c r="P75" s="165" t="s">
        <v>643</v>
      </c>
      <c r="Q75" s="165">
        <v>-70.584999999999994</v>
      </c>
      <c r="R75" s="165">
        <v>41.317</v>
      </c>
      <c r="S75" s="165" t="s">
        <v>172</v>
      </c>
      <c r="T75" s="165">
        <v>25</v>
      </c>
      <c r="U75" s="166" t="s">
        <v>516</v>
      </c>
      <c r="V75" s="158">
        <v>1.081</v>
      </c>
      <c r="W75" s="158">
        <v>0.156</v>
      </c>
      <c r="X75" s="158">
        <v>0.13799999999999998</v>
      </c>
      <c r="Y75" s="157">
        <v>0.06</v>
      </c>
      <c r="Z75" s="159">
        <v>-8888</v>
      </c>
      <c r="AA75" s="89">
        <v>1.2999999999999999E-2</v>
      </c>
      <c r="AB75" s="89">
        <v>4.7E-2</v>
      </c>
      <c r="AC75" s="89">
        <v>7.0000000000000007E-2</v>
      </c>
      <c r="AD75" s="89">
        <v>8.0000000000000002E-3</v>
      </c>
      <c r="AE75" s="89">
        <v>0.26400000000000001</v>
      </c>
      <c r="AF75" s="89">
        <v>3.9E-2</v>
      </c>
      <c r="AG75" s="89">
        <v>1.4999999999999999E-2</v>
      </c>
      <c r="AH75" s="89">
        <v>1.0409999999999999</v>
      </c>
      <c r="AI75" s="89">
        <v>-8888</v>
      </c>
      <c r="AJ75" s="89">
        <v>0.04</v>
      </c>
      <c r="AK75" s="89">
        <v>0.156</v>
      </c>
      <c r="AL75" s="89">
        <v>-8888</v>
      </c>
      <c r="AM75" s="89">
        <v>0.11799999999999999</v>
      </c>
      <c r="AN75" s="89">
        <v>0.02</v>
      </c>
      <c r="AO75" s="89">
        <v>6.0000000000000001E-3</v>
      </c>
      <c r="AP75" s="89">
        <v>1.7999999999999999E-2</v>
      </c>
      <c r="AQ75" s="89">
        <v>2.4E-2</v>
      </c>
      <c r="AR75" s="89">
        <v>2.4E-2</v>
      </c>
      <c r="AS75" s="89">
        <v>7.6999999999999999E-2</v>
      </c>
      <c r="AT75" s="89">
        <v>0.05</v>
      </c>
      <c r="AU75" s="89">
        <v>-8888</v>
      </c>
      <c r="AV75" s="89">
        <v>1.3749999999999998</v>
      </c>
      <c r="AW75" s="89">
        <v>0.2</v>
      </c>
      <c r="AX75" s="89">
        <v>0.316</v>
      </c>
      <c r="AY75" s="89">
        <v>1.6909999999999998</v>
      </c>
      <c r="AZ75" s="89">
        <v>0.51600000000000001</v>
      </c>
      <c r="BA75" s="89">
        <v>0.81</v>
      </c>
      <c r="BB75" s="89">
        <v>1.891</v>
      </c>
      <c r="BC75" s="89">
        <v>0.53400000000000003</v>
      </c>
      <c r="BD75" s="160">
        <v>0.75</v>
      </c>
      <c r="BE75" s="160">
        <v>0.61</v>
      </c>
      <c r="BF75" s="160">
        <v>0.39</v>
      </c>
      <c r="BG75" s="160">
        <v>2.66</v>
      </c>
      <c r="BH75" s="160">
        <v>0.11</v>
      </c>
      <c r="BI75" s="160">
        <v>0.89</v>
      </c>
      <c r="BJ75" s="160">
        <v>0.56999999999999995</v>
      </c>
      <c r="BL75" s="167"/>
    </row>
    <row r="76" spans="1:64" s="88" customFormat="1" ht="14.1" customHeight="1">
      <c r="A76" s="156" t="s">
        <v>340</v>
      </c>
      <c r="B76" s="169" t="s">
        <v>511</v>
      </c>
      <c r="C76" s="169" t="s">
        <v>644</v>
      </c>
      <c r="D76" s="169" t="s">
        <v>578</v>
      </c>
      <c r="E76" s="169" t="s">
        <v>170</v>
      </c>
      <c r="F76" s="169">
        <v>548</v>
      </c>
      <c r="G76" s="169">
        <v>23</v>
      </c>
      <c r="H76" s="169">
        <v>14</v>
      </c>
      <c r="I76" s="165">
        <v>3.3</v>
      </c>
      <c r="J76" s="165">
        <v>19</v>
      </c>
      <c r="K76" s="166" t="s">
        <v>514</v>
      </c>
      <c r="L76" s="165">
        <v>2024</v>
      </c>
      <c r="M76" s="165" t="s">
        <v>579</v>
      </c>
      <c r="N76" s="165">
        <v>8</v>
      </c>
      <c r="O76" s="181">
        <v>129</v>
      </c>
      <c r="P76" s="165" t="s">
        <v>645</v>
      </c>
      <c r="Q76" s="165">
        <v>-70.584999999999994</v>
      </c>
      <c r="R76" s="165">
        <v>41.316000000000003</v>
      </c>
      <c r="S76" s="165" t="s">
        <v>172</v>
      </c>
      <c r="T76" s="165">
        <v>25</v>
      </c>
      <c r="U76" s="166" t="s">
        <v>516</v>
      </c>
      <c r="V76" s="158">
        <v>0.97899999999999998</v>
      </c>
      <c r="W76" s="158">
        <v>0.14499999999999999</v>
      </c>
      <c r="X76" s="158">
        <v>0.126</v>
      </c>
      <c r="Y76" s="157">
        <v>5.6000000000000001E-2</v>
      </c>
      <c r="Z76" s="159">
        <v>5.0000000000000001E-3</v>
      </c>
      <c r="AA76" s="89">
        <v>1.2999999999999999E-2</v>
      </c>
      <c r="AB76" s="89">
        <v>0.04</v>
      </c>
      <c r="AC76" s="89">
        <v>7.0000000000000007E-2</v>
      </c>
      <c r="AD76" s="89">
        <v>8.9999999999999993E-3</v>
      </c>
      <c r="AE76" s="89">
        <v>0.23799999999999999</v>
      </c>
      <c r="AF76" s="89">
        <v>4.2000000000000003E-2</v>
      </c>
      <c r="AG76" s="89">
        <v>1.4E-2</v>
      </c>
      <c r="AH76" s="89">
        <v>0.94899999999999995</v>
      </c>
      <c r="AI76" s="89">
        <v>-8888</v>
      </c>
      <c r="AJ76" s="89">
        <v>0.03</v>
      </c>
      <c r="AK76" s="89">
        <v>0.14499999999999999</v>
      </c>
      <c r="AL76" s="89">
        <v>-8888</v>
      </c>
      <c r="AM76" s="89">
        <v>0.108</v>
      </c>
      <c r="AN76" s="89">
        <v>1.7999999999999999E-2</v>
      </c>
      <c r="AO76" s="89">
        <v>6.0000000000000001E-3</v>
      </c>
      <c r="AP76" s="89">
        <v>1.7000000000000001E-2</v>
      </c>
      <c r="AQ76" s="89">
        <v>2.1999999999999999E-2</v>
      </c>
      <c r="AR76" s="89">
        <v>0.02</v>
      </c>
      <c r="AS76" s="89">
        <v>6.2E-2</v>
      </c>
      <c r="AT76" s="89">
        <v>4.4999999999999998E-2</v>
      </c>
      <c r="AU76" s="89">
        <v>-8888</v>
      </c>
      <c r="AV76" s="89">
        <v>1.25</v>
      </c>
      <c r="AW76" s="89">
        <v>0.189</v>
      </c>
      <c r="AX76" s="89">
        <v>0.29799999999999999</v>
      </c>
      <c r="AY76" s="89">
        <v>1.548</v>
      </c>
      <c r="AZ76" s="89">
        <v>0.48699999999999999</v>
      </c>
      <c r="BA76" s="89">
        <v>0.75800000000000001</v>
      </c>
      <c r="BB76" s="89">
        <v>1.7370000000000001</v>
      </c>
      <c r="BC76" s="89">
        <v>0.497</v>
      </c>
      <c r="BD76" s="160">
        <v>0.77</v>
      </c>
      <c r="BE76" s="160">
        <v>0.61</v>
      </c>
      <c r="BF76" s="160">
        <v>0.39</v>
      </c>
      <c r="BG76" s="160">
        <v>2.57</v>
      </c>
      <c r="BH76" s="160">
        <v>0.11</v>
      </c>
      <c r="BI76" s="160">
        <v>0.89</v>
      </c>
      <c r="BJ76" s="160">
        <v>0.56000000000000005</v>
      </c>
      <c r="BL76" s="167"/>
    </row>
    <row r="77" spans="1:64" s="88" customFormat="1" ht="14.1" customHeight="1">
      <c r="A77" s="156" t="s">
        <v>341</v>
      </c>
      <c r="B77" s="165" t="s">
        <v>511</v>
      </c>
      <c r="C77" s="170" t="s">
        <v>646</v>
      </c>
      <c r="D77" s="165" t="s">
        <v>647</v>
      </c>
      <c r="E77" s="165" t="s">
        <v>170</v>
      </c>
      <c r="F77" s="165">
        <v>547</v>
      </c>
      <c r="G77" s="165">
        <v>2</v>
      </c>
      <c r="H77" s="165">
        <v>2</v>
      </c>
      <c r="I77" s="165">
        <v>15.3</v>
      </c>
      <c r="J77" s="165">
        <v>20</v>
      </c>
      <c r="K77" s="166" t="s">
        <v>514</v>
      </c>
      <c r="L77" s="165">
        <v>2024</v>
      </c>
      <c r="M77" s="165" t="s">
        <v>648</v>
      </c>
      <c r="N77" s="165">
        <v>6</v>
      </c>
      <c r="O77" s="181">
        <v>250</v>
      </c>
      <c r="P77" s="165" t="s">
        <v>649</v>
      </c>
      <c r="Q77" s="165">
        <v>-70.88</v>
      </c>
      <c r="R77" s="165">
        <v>41.195</v>
      </c>
      <c r="S77" s="165" t="s">
        <v>172</v>
      </c>
      <c r="T77" s="165">
        <v>25</v>
      </c>
      <c r="U77" s="166" t="s">
        <v>516</v>
      </c>
      <c r="V77" s="158">
        <v>0.84099999999999997</v>
      </c>
      <c r="W77" s="158">
        <v>7.0999999999999994E-2</v>
      </c>
      <c r="X77" s="158">
        <v>0.218</v>
      </c>
      <c r="Y77" s="157">
        <v>4.1000000000000002E-2</v>
      </c>
      <c r="Z77" s="159">
        <v>4.1000000000000002E-2</v>
      </c>
      <c r="AA77" s="89">
        <v>0.188</v>
      </c>
      <c r="AB77" s="89">
        <v>1.4999999999999999E-2</v>
      </c>
      <c r="AC77" s="89">
        <v>5.8000000000000003E-2</v>
      </c>
      <c r="AD77" s="89">
        <v>7.0000000000000001E-3</v>
      </c>
      <c r="AE77" s="89">
        <v>0.161</v>
      </c>
      <c r="AF77" s="89">
        <v>9.1999999999999998E-2</v>
      </c>
      <c r="AG77" s="89">
        <v>3.5999999999999997E-2</v>
      </c>
      <c r="AH77" s="89">
        <v>0.83</v>
      </c>
      <c r="AI77" s="89">
        <v>-8888</v>
      </c>
      <c r="AJ77" s="89">
        <v>1.0999999999999999E-2</v>
      </c>
      <c r="AK77" s="89">
        <v>7.0999999999999994E-2</v>
      </c>
      <c r="AL77" s="89">
        <v>-8888</v>
      </c>
      <c r="AM77" s="89">
        <v>0.13200000000000001</v>
      </c>
      <c r="AN77" s="89">
        <v>8.5999999999999993E-2</v>
      </c>
      <c r="AO77" s="89">
        <v>4.0000000000000001E-3</v>
      </c>
      <c r="AP77" s="89">
        <v>8.0000000000000002E-3</v>
      </c>
      <c r="AQ77" s="89">
        <v>0.01</v>
      </c>
      <c r="AR77" s="89">
        <v>8.9999999999999993E-3</v>
      </c>
      <c r="AS77" s="89">
        <v>0.02</v>
      </c>
      <c r="AT77" s="89">
        <v>1.6E-2</v>
      </c>
      <c r="AU77" s="89">
        <v>-8888</v>
      </c>
      <c r="AV77" s="89">
        <v>1.1299999999999999</v>
      </c>
      <c r="AW77" s="89">
        <v>0.15700000000000003</v>
      </c>
      <c r="AX77" s="89">
        <v>0.48199999999999998</v>
      </c>
      <c r="AY77" s="89">
        <v>1.6119999999999999</v>
      </c>
      <c r="AZ77" s="89">
        <v>0.63900000000000001</v>
      </c>
      <c r="BA77" s="89">
        <v>0.92799999999999994</v>
      </c>
      <c r="BB77" s="89">
        <v>1.7689999999999999</v>
      </c>
      <c r="BC77" s="89">
        <v>0.60399999999999998</v>
      </c>
      <c r="BD77" s="160">
        <v>1.1000000000000001</v>
      </c>
      <c r="BE77" s="160">
        <v>0.75</v>
      </c>
      <c r="BF77" s="160">
        <v>0.25</v>
      </c>
      <c r="BG77" s="160">
        <v>1.77</v>
      </c>
      <c r="BH77" s="160">
        <v>0.09</v>
      </c>
      <c r="BI77" s="160">
        <v>0.91</v>
      </c>
      <c r="BJ77" s="160">
        <v>0.48</v>
      </c>
      <c r="BL77" s="171" t="s">
        <v>650</v>
      </c>
    </row>
    <row r="78" spans="1:64" s="88" customFormat="1" ht="14.1" customHeight="1">
      <c r="A78" s="156" t="s">
        <v>342</v>
      </c>
      <c r="B78" s="165" t="s">
        <v>511</v>
      </c>
      <c r="C78" s="165" t="s">
        <v>651</v>
      </c>
      <c r="D78" s="165" t="s">
        <v>647</v>
      </c>
      <c r="E78" s="165" t="s">
        <v>170</v>
      </c>
      <c r="F78" s="165">
        <v>548</v>
      </c>
      <c r="G78" s="165">
        <v>2</v>
      </c>
      <c r="H78" s="165">
        <v>13</v>
      </c>
      <c r="I78" s="165">
        <v>4.0999999999999996</v>
      </c>
      <c r="J78" s="165">
        <v>20</v>
      </c>
      <c r="K78" s="166" t="s">
        <v>514</v>
      </c>
      <c r="L78" s="165">
        <v>2024</v>
      </c>
      <c r="M78" s="165" t="s">
        <v>648</v>
      </c>
      <c r="N78" s="165">
        <v>6</v>
      </c>
      <c r="O78" s="181">
        <v>250</v>
      </c>
      <c r="P78" s="165" t="s">
        <v>652</v>
      </c>
      <c r="Q78" s="165">
        <v>-70.88</v>
      </c>
      <c r="R78" s="165">
        <v>41.195999999999998</v>
      </c>
      <c r="S78" s="165" t="s">
        <v>172</v>
      </c>
      <c r="T78" s="165">
        <v>25</v>
      </c>
      <c r="U78" s="166" t="s">
        <v>516</v>
      </c>
      <c r="V78" s="158">
        <v>0.85</v>
      </c>
      <c r="W78" s="158">
        <v>7.0000000000000007E-2</v>
      </c>
      <c r="X78" s="158">
        <v>0.20200000000000001</v>
      </c>
      <c r="Y78" s="157">
        <v>4.3999999999999997E-2</v>
      </c>
      <c r="Z78" s="159">
        <v>3.6999999999999998E-2</v>
      </c>
      <c r="AA78" s="89">
        <v>0.13100000000000001</v>
      </c>
      <c r="AB78" s="89">
        <v>1.4E-2</v>
      </c>
      <c r="AC78" s="89">
        <v>0.108</v>
      </c>
      <c r="AD78" s="89">
        <v>2.1999999999999999E-2</v>
      </c>
      <c r="AE78" s="89">
        <v>0.223</v>
      </c>
      <c r="AF78" s="89">
        <v>5.2999999999999999E-2</v>
      </c>
      <c r="AG78" s="89">
        <v>4.3999999999999997E-2</v>
      </c>
      <c r="AH78" s="89">
        <v>0.83199999999999996</v>
      </c>
      <c r="AI78" s="89">
        <v>-8888</v>
      </c>
      <c r="AJ78" s="89">
        <v>1.7999999999999999E-2</v>
      </c>
      <c r="AK78" s="89">
        <v>7.0000000000000007E-2</v>
      </c>
      <c r="AL78" s="89">
        <v>-8888</v>
      </c>
      <c r="AM78" s="89">
        <v>0.113</v>
      </c>
      <c r="AN78" s="89">
        <v>8.8999999999999996E-2</v>
      </c>
      <c r="AO78" s="89">
        <v>7.0000000000000001E-3</v>
      </c>
      <c r="AP78" s="89">
        <v>8.0000000000000002E-3</v>
      </c>
      <c r="AQ78" s="89">
        <v>1.0999999999999999E-2</v>
      </c>
      <c r="AR78" s="89">
        <v>7.0000000000000001E-3</v>
      </c>
      <c r="AS78" s="89">
        <v>1.6E-2</v>
      </c>
      <c r="AT78" s="89">
        <v>1.7000000000000001E-2</v>
      </c>
      <c r="AU78" s="89">
        <v>-8888</v>
      </c>
      <c r="AV78" s="89">
        <v>1.1219999999999999</v>
      </c>
      <c r="AW78" s="89">
        <v>0.23199999999999998</v>
      </c>
      <c r="AX78" s="89">
        <v>0.44400000000000001</v>
      </c>
      <c r="AY78" s="89">
        <v>1.5659999999999998</v>
      </c>
      <c r="AZ78" s="89">
        <v>0.67599999999999993</v>
      </c>
      <c r="BA78" s="89">
        <v>0.94799999999999995</v>
      </c>
      <c r="BB78" s="89">
        <v>1.798</v>
      </c>
      <c r="BC78" s="89">
        <v>0.57200000000000006</v>
      </c>
      <c r="BD78" s="160">
        <v>1.1200000000000001</v>
      </c>
      <c r="BE78" s="160">
        <v>0.66</v>
      </c>
      <c r="BF78" s="160">
        <v>0.34</v>
      </c>
      <c r="BG78" s="160">
        <v>1.66</v>
      </c>
      <c r="BH78" s="160">
        <v>0.13</v>
      </c>
      <c r="BI78" s="160">
        <v>0.87</v>
      </c>
      <c r="BJ78" s="160">
        <v>0.47</v>
      </c>
      <c r="BL78" s="167"/>
    </row>
    <row r="79" spans="1:64" s="88" customFormat="1" ht="14.1" customHeight="1">
      <c r="A79" s="156" t="s">
        <v>343</v>
      </c>
      <c r="B79" s="165" t="s">
        <v>511</v>
      </c>
      <c r="C79" s="165" t="s">
        <v>653</v>
      </c>
      <c r="D79" s="165" t="s">
        <v>647</v>
      </c>
      <c r="E79" s="165" t="s">
        <v>170</v>
      </c>
      <c r="F79" s="165">
        <v>540</v>
      </c>
      <c r="G79" s="165">
        <v>3</v>
      </c>
      <c r="H79" s="165">
        <v>6</v>
      </c>
      <c r="I79" s="165">
        <v>27.8</v>
      </c>
      <c r="J79" s="165">
        <v>46</v>
      </c>
      <c r="K79" s="166" t="s">
        <v>514</v>
      </c>
      <c r="L79" s="165">
        <v>2024</v>
      </c>
      <c r="M79" s="165" t="s">
        <v>648</v>
      </c>
      <c r="N79" s="165">
        <v>7</v>
      </c>
      <c r="O79" s="181">
        <v>251</v>
      </c>
      <c r="P79" s="165" t="s">
        <v>654</v>
      </c>
      <c r="Q79" s="165">
        <v>-70.884</v>
      </c>
      <c r="R79" s="165">
        <v>41.033000000000001</v>
      </c>
      <c r="S79" s="165" t="s">
        <v>172</v>
      </c>
      <c r="T79" s="165">
        <v>25</v>
      </c>
      <c r="U79" s="166" t="s">
        <v>516</v>
      </c>
      <c r="V79" s="158">
        <v>2.2439999999999998</v>
      </c>
      <c r="W79" s="158">
        <v>0.153</v>
      </c>
      <c r="X79" s="158">
        <v>0.58899999999999997</v>
      </c>
      <c r="Y79" s="157">
        <v>9.7000000000000003E-2</v>
      </c>
      <c r="Z79" s="159">
        <v>3.9E-2</v>
      </c>
      <c r="AA79" s="89">
        <v>0.30599999999999999</v>
      </c>
      <c r="AB79" s="89">
        <v>5.8999999999999997E-2</v>
      </c>
      <c r="AC79" s="89">
        <v>8.7999999999999995E-2</v>
      </c>
      <c r="AD79" s="89">
        <v>7.0000000000000001E-3</v>
      </c>
      <c r="AE79" s="89">
        <v>0.70899999999999996</v>
      </c>
      <c r="AF79" s="89">
        <v>0.215</v>
      </c>
      <c r="AG79" s="89">
        <v>2.4E-2</v>
      </c>
      <c r="AH79" s="89">
        <v>2.1949999999999998</v>
      </c>
      <c r="AI79" s="89">
        <v>-8888</v>
      </c>
      <c r="AJ79" s="89">
        <v>4.9000000000000002E-2</v>
      </c>
      <c r="AK79" s="89">
        <v>0.14299999999999999</v>
      </c>
      <c r="AL79" s="89">
        <v>0.01</v>
      </c>
      <c r="AM79" s="89">
        <v>0.31900000000000001</v>
      </c>
      <c r="AN79" s="89">
        <v>0.27</v>
      </c>
      <c r="AO79" s="89">
        <v>3.0000000000000001E-3</v>
      </c>
      <c r="AP79" s="89">
        <v>1.6E-2</v>
      </c>
      <c r="AQ79" s="89">
        <v>1.2E-2</v>
      </c>
      <c r="AR79" s="89">
        <v>3.1E-2</v>
      </c>
      <c r="AS79" s="89">
        <v>0.13500000000000001</v>
      </c>
      <c r="AT79" s="89">
        <v>-8888</v>
      </c>
      <c r="AU79" s="89">
        <v>-8888</v>
      </c>
      <c r="AV79" s="89">
        <v>2.9859999999999998</v>
      </c>
      <c r="AW79" s="89">
        <v>0.27500000000000002</v>
      </c>
      <c r="AX79" s="89">
        <v>1.2690000000000001</v>
      </c>
      <c r="AY79" s="89">
        <v>4.2549999999999999</v>
      </c>
      <c r="AZ79" s="89">
        <v>1.544</v>
      </c>
      <c r="BA79" s="89">
        <v>2.286</v>
      </c>
      <c r="BB79" s="89">
        <v>4.5299999999999994</v>
      </c>
      <c r="BC79" s="89">
        <v>1.5050000000000001</v>
      </c>
      <c r="BD79" s="160">
        <v>1.02</v>
      </c>
      <c r="BE79" s="160">
        <v>0.82</v>
      </c>
      <c r="BF79" s="160">
        <v>0.18</v>
      </c>
      <c r="BG79" s="160">
        <v>1.93</v>
      </c>
      <c r="BH79" s="160">
        <v>0.06</v>
      </c>
      <c r="BI79" s="160">
        <v>0.94</v>
      </c>
      <c r="BJ79" s="160">
        <v>0.5</v>
      </c>
      <c r="BL79" s="167"/>
    </row>
    <row r="80" spans="1:64" s="88" customFormat="1" ht="14.1" customHeight="1">
      <c r="A80" s="156" t="s">
        <v>344</v>
      </c>
      <c r="B80" s="165" t="s">
        <v>511</v>
      </c>
      <c r="C80" s="165" t="s">
        <v>655</v>
      </c>
      <c r="D80" s="165" t="s">
        <v>647</v>
      </c>
      <c r="E80" s="165" t="s">
        <v>170</v>
      </c>
      <c r="F80" s="165">
        <v>547</v>
      </c>
      <c r="G80" s="165">
        <v>3</v>
      </c>
      <c r="H80" s="165">
        <v>10</v>
      </c>
      <c r="I80" s="165">
        <v>21.3</v>
      </c>
      <c r="J80" s="165">
        <v>46</v>
      </c>
      <c r="K80" s="166" t="s">
        <v>514</v>
      </c>
      <c r="L80" s="165">
        <v>2024</v>
      </c>
      <c r="M80" s="165" t="s">
        <v>648</v>
      </c>
      <c r="N80" s="165">
        <v>7</v>
      </c>
      <c r="O80" s="181">
        <v>251</v>
      </c>
      <c r="P80" s="165" t="s">
        <v>656</v>
      </c>
      <c r="Q80" s="165">
        <v>-70.884</v>
      </c>
      <c r="R80" s="165">
        <v>41.033000000000001</v>
      </c>
      <c r="S80" s="165" t="s">
        <v>172</v>
      </c>
      <c r="T80" s="165">
        <v>25</v>
      </c>
      <c r="U80" s="166" t="s">
        <v>516</v>
      </c>
      <c r="V80" s="158">
        <v>2.823</v>
      </c>
      <c r="W80" s="158">
        <v>0.33700000000000002</v>
      </c>
      <c r="X80" s="158">
        <v>0.78899999999999992</v>
      </c>
      <c r="Y80" s="157">
        <v>0.156</v>
      </c>
      <c r="Z80" s="159">
        <v>8.8999999999999996E-2</v>
      </c>
      <c r="AA80" s="89">
        <v>0.749</v>
      </c>
      <c r="AB80" s="89">
        <v>7.0999999999999994E-2</v>
      </c>
      <c r="AC80" s="89">
        <v>0.124</v>
      </c>
      <c r="AD80" s="89">
        <v>1.9E-2</v>
      </c>
      <c r="AE80" s="89">
        <v>0.56499999999999995</v>
      </c>
      <c r="AF80" s="89">
        <v>0.156</v>
      </c>
      <c r="AG80" s="89">
        <v>0.12</v>
      </c>
      <c r="AH80" s="89">
        <v>2.7970000000000002</v>
      </c>
      <c r="AI80" s="89">
        <v>-8888</v>
      </c>
      <c r="AJ80" s="89">
        <v>2.5999999999999999E-2</v>
      </c>
      <c r="AK80" s="89">
        <v>0.32</v>
      </c>
      <c r="AL80" s="89">
        <v>1.7000000000000001E-2</v>
      </c>
      <c r="AM80" s="89">
        <v>0.379</v>
      </c>
      <c r="AN80" s="89">
        <v>0.41</v>
      </c>
      <c r="AO80" s="89">
        <v>8.9999999999999993E-3</v>
      </c>
      <c r="AP80" s="89">
        <v>3.5000000000000003E-2</v>
      </c>
      <c r="AQ80" s="89">
        <v>2.4E-2</v>
      </c>
      <c r="AR80" s="89">
        <v>3.2000000000000001E-2</v>
      </c>
      <c r="AS80" s="89">
        <v>0.10199999999999999</v>
      </c>
      <c r="AT80" s="89">
        <v>2.4E-2</v>
      </c>
      <c r="AU80" s="89">
        <v>-8888</v>
      </c>
      <c r="AV80" s="89">
        <v>3.9489999999999998</v>
      </c>
      <c r="AW80" s="89">
        <v>0.49</v>
      </c>
      <c r="AX80" s="89">
        <v>1.5589999999999999</v>
      </c>
      <c r="AY80" s="89">
        <v>5.508</v>
      </c>
      <c r="AZ80" s="89">
        <v>2.0489999999999999</v>
      </c>
      <c r="BA80" s="89">
        <v>3.1749999999999998</v>
      </c>
      <c r="BB80" s="89">
        <v>5.9979999999999993</v>
      </c>
      <c r="BC80" s="89">
        <v>2.0869999999999997</v>
      </c>
      <c r="BD80" s="160">
        <v>1.1200000000000001</v>
      </c>
      <c r="BE80" s="160">
        <v>0.76</v>
      </c>
      <c r="BF80" s="160">
        <v>0.24</v>
      </c>
      <c r="BG80" s="160">
        <v>1.93</v>
      </c>
      <c r="BH80" s="160">
        <v>0.08</v>
      </c>
      <c r="BI80" s="160">
        <v>0.92</v>
      </c>
      <c r="BJ80" s="160">
        <v>0.47</v>
      </c>
      <c r="BL80" s="167"/>
    </row>
    <row r="81" spans="1:64" s="88" customFormat="1" ht="14.1" customHeight="1">
      <c r="A81" s="156" t="s">
        <v>345</v>
      </c>
      <c r="B81" s="165" t="s">
        <v>511</v>
      </c>
      <c r="C81" s="165" t="s">
        <v>657</v>
      </c>
      <c r="D81" s="165" t="s">
        <v>647</v>
      </c>
      <c r="E81" s="165" t="s">
        <v>170</v>
      </c>
      <c r="F81" s="165">
        <v>548</v>
      </c>
      <c r="G81" s="165">
        <v>3</v>
      </c>
      <c r="H81" s="165">
        <v>18</v>
      </c>
      <c r="I81" s="165">
        <v>4.9000000000000004</v>
      </c>
      <c r="J81" s="165">
        <v>46</v>
      </c>
      <c r="K81" s="166" t="s">
        <v>514</v>
      </c>
      <c r="L81" s="165">
        <v>2024</v>
      </c>
      <c r="M81" s="165" t="s">
        <v>648</v>
      </c>
      <c r="N81" s="165">
        <v>7</v>
      </c>
      <c r="O81" s="181">
        <v>251</v>
      </c>
      <c r="P81" s="165" t="s">
        <v>554</v>
      </c>
      <c r="Q81" s="165">
        <v>-70.882999999999996</v>
      </c>
      <c r="R81" s="165">
        <v>41.033999999999999</v>
      </c>
      <c r="S81" s="165" t="s">
        <v>172</v>
      </c>
      <c r="T81" s="165">
        <v>25</v>
      </c>
      <c r="U81" s="166" t="s">
        <v>516</v>
      </c>
      <c r="V81" s="158">
        <v>0.32500000000000001</v>
      </c>
      <c r="W81" s="158">
        <v>6.8000000000000005E-2</v>
      </c>
      <c r="X81" s="158">
        <v>5.2999999999999999E-2</v>
      </c>
      <c r="Y81" s="157">
        <v>2.7E-2</v>
      </c>
      <c r="Z81" s="159">
        <v>8.9999999999999993E-3</v>
      </c>
      <c r="AA81" s="89">
        <v>3.4000000000000002E-2</v>
      </c>
      <c r="AB81" s="89">
        <v>2E-3</v>
      </c>
      <c r="AC81" s="89">
        <v>2.8000000000000001E-2</v>
      </c>
      <c r="AD81" s="89">
        <v>5.0000000000000001E-3</v>
      </c>
      <c r="AE81" s="89">
        <v>6.7000000000000004E-2</v>
      </c>
      <c r="AF81" s="89">
        <v>0.02</v>
      </c>
      <c r="AG81" s="89">
        <v>2.5000000000000001E-2</v>
      </c>
      <c r="AH81" s="89">
        <v>0.315</v>
      </c>
      <c r="AI81" s="89">
        <v>-8888</v>
      </c>
      <c r="AJ81" s="89">
        <v>0.01</v>
      </c>
      <c r="AK81" s="89">
        <v>6.8000000000000005E-2</v>
      </c>
      <c r="AL81" s="89">
        <v>-8888</v>
      </c>
      <c r="AM81" s="89">
        <v>3.6999999999999998E-2</v>
      </c>
      <c r="AN81" s="89">
        <v>1.6E-2</v>
      </c>
      <c r="AO81" s="89">
        <v>8.9999999999999993E-3</v>
      </c>
      <c r="AP81" s="89">
        <v>8.9999999999999993E-3</v>
      </c>
      <c r="AQ81" s="89">
        <v>0.01</v>
      </c>
      <c r="AR81" s="89">
        <v>4.0000000000000001E-3</v>
      </c>
      <c r="AS81" s="89">
        <v>5.0000000000000001E-3</v>
      </c>
      <c r="AT81" s="89">
        <v>1.7000000000000001E-2</v>
      </c>
      <c r="AU81" s="89">
        <v>-8888</v>
      </c>
      <c r="AV81" s="89">
        <v>0.44600000000000001</v>
      </c>
      <c r="AW81" s="89">
        <v>8.6999999999999994E-2</v>
      </c>
      <c r="AX81" s="89">
        <v>0.13</v>
      </c>
      <c r="AY81" s="89">
        <v>0.57600000000000007</v>
      </c>
      <c r="AZ81" s="89">
        <v>0.217</v>
      </c>
      <c r="BA81" s="89">
        <v>0.33800000000000002</v>
      </c>
      <c r="BB81" s="89">
        <v>0.66300000000000003</v>
      </c>
      <c r="BC81" s="89">
        <v>0.22500000000000001</v>
      </c>
      <c r="BD81" s="160">
        <v>1.04</v>
      </c>
      <c r="BE81" s="160">
        <v>0.6</v>
      </c>
      <c r="BF81" s="160">
        <v>0.4</v>
      </c>
      <c r="BG81" s="160">
        <v>2.06</v>
      </c>
      <c r="BH81" s="160">
        <v>0.13</v>
      </c>
      <c r="BI81" s="160">
        <v>0.87</v>
      </c>
      <c r="BJ81" s="160">
        <v>0.49</v>
      </c>
      <c r="BL81" s="167"/>
    </row>
    <row r="82" spans="1:64" s="88" customFormat="1" ht="14.1" customHeight="1">
      <c r="A82" s="156" t="s">
        <v>346</v>
      </c>
      <c r="B82" s="165" t="s">
        <v>511</v>
      </c>
      <c r="C82" s="165" t="s">
        <v>658</v>
      </c>
      <c r="D82" s="165" t="s">
        <v>647</v>
      </c>
      <c r="E82" s="165" t="s">
        <v>170</v>
      </c>
      <c r="F82" s="165">
        <v>547</v>
      </c>
      <c r="G82" s="165">
        <v>6</v>
      </c>
      <c r="H82" s="165">
        <v>5</v>
      </c>
      <c r="I82" s="165">
        <v>33.200000000000003</v>
      </c>
      <c r="J82" s="165">
        <v>64</v>
      </c>
      <c r="K82" s="166" t="s">
        <v>514</v>
      </c>
      <c r="L82" s="165">
        <v>2024</v>
      </c>
      <c r="M82" s="165" t="s">
        <v>648</v>
      </c>
      <c r="N82" s="165">
        <v>7</v>
      </c>
      <c r="O82" s="181">
        <v>251</v>
      </c>
      <c r="P82" s="165" t="s">
        <v>659</v>
      </c>
      <c r="Q82" s="165">
        <v>-70.891000000000005</v>
      </c>
      <c r="R82" s="165">
        <v>40.695999999999998</v>
      </c>
      <c r="S82" s="165" t="s">
        <v>172</v>
      </c>
      <c r="T82" s="165">
        <v>25</v>
      </c>
      <c r="U82" s="166" t="s">
        <v>516</v>
      </c>
      <c r="V82" s="158">
        <v>3.2519999999999998</v>
      </c>
      <c r="W82" s="158">
        <v>0.59200000000000008</v>
      </c>
      <c r="X82" s="158">
        <v>0.94199999999999995</v>
      </c>
      <c r="Y82" s="157">
        <v>0.185</v>
      </c>
      <c r="Z82" s="159">
        <v>8.8999999999999996E-2</v>
      </c>
      <c r="AA82" s="89">
        <v>0.80500000000000005</v>
      </c>
      <c r="AB82" s="89">
        <v>5.5E-2</v>
      </c>
      <c r="AC82" s="89">
        <v>0.13700000000000001</v>
      </c>
      <c r="AD82" s="89">
        <v>-8888</v>
      </c>
      <c r="AE82" s="89">
        <v>0.55300000000000005</v>
      </c>
      <c r="AF82" s="89">
        <v>0.25800000000000001</v>
      </c>
      <c r="AG82" s="89">
        <v>0.13200000000000001</v>
      </c>
      <c r="AH82" s="89">
        <v>3.222</v>
      </c>
      <c r="AI82" s="89">
        <v>-8888</v>
      </c>
      <c r="AJ82" s="89">
        <v>0.03</v>
      </c>
      <c r="AK82" s="89">
        <v>0.54800000000000004</v>
      </c>
      <c r="AL82" s="89">
        <v>4.3999999999999997E-2</v>
      </c>
      <c r="AM82" s="89">
        <v>0.42899999999999999</v>
      </c>
      <c r="AN82" s="89">
        <v>0.51300000000000001</v>
      </c>
      <c r="AO82" s="89">
        <v>1.7000000000000001E-2</v>
      </c>
      <c r="AP82" s="89">
        <v>5.8000000000000003E-2</v>
      </c>
      <c r="AQ82" s="89">
        <v>2.5999999999999999E-2</v>
      </c>
      <c r="AR82" s="89">
        <v>4.2999999999999997E-2</v>
      </c>
      <c r="AS82" s="89">
        <v>0.104</v>
      </c>
      <c r="AT82" s="89">
        <v>2.9000000000000001E-2</v>
      </c>
      <c r="AU82" s="89">
        <v>-8888</v>
      </c>
      <c r="AV82" s="89">
        <v>4.7859999999999996</v>
      </c>
      <c r="AW82" s="89">
        <v>0.50900000000000001</v>
      </c>
      <c r="AX82" s="89">
        <v>1.7050000000000001</v>
      </c>
      <c r="AY82" s="89">
        <v>6.4909999999999997</v>
      </c>
      <c r="AZ82" s="89">
        <v>2.214</v>
      </c>
      <c r="BA82" s="89">
        <v>3.7480000000000002</v>
      </c>
      <c r="BB82" s="89">
        <v>7</v>
      </c>
      <c r="BC82" s="89">
        <v>2.484</v>
      </c>
      <c r="BD82" s="160">
        <v>1.1499999999999999</v>
      </c>
      <c r="BE82" s="160">
        <v>0.77</v>
      </c>
      <c r="BF82" s="160">
        <v>0.23</v>
      </c>
      <c r="BG82" s="160">
        <v>2.16</v>
      </c>
      <c r="BH82" s="160">
        <v>7.0000000000000007E-2</v>
      </c>
      <c r="BI82" s="160">
        <v>0.93</v>
      </c>
      <c r="BJ82" s="160">
        <v>0.46</v>
      </c>
      <c r="BL82" s="167"/>
    </row>
    <row r="83" spans="1:64" s="88" customFormat="1" ht="14.1" customHeight="1">
      <c r="A83" s="156" t="s">
        <v>347</v>
      </c>
      <c r="B83" s="165" t="s">
        <v>511</v>
      </c>
      <c r="C83" s="165" t="s">
        <v>660</v>
      </c>
      <c r="D83" s="165" t="s">
        <v>647</v>
      </c>
      <c r="E83" s="165" t="s">
        <v>170</v>
      </c>
      <c r="F83" s="165">
        <v>532</v>
      </c>
      <c r="G83" s="165">
        <v>6</v>
      </c>
      <c r="H83" s="165">
        <v>11</v>
      </c>
      <c r="I83" s="165">
        <v>25.3</v>
      </c>
      <c r="J83" s="165">
        <v>64</v>
      </c>
      <c r="K83" s="166" t="s">
        <v>514</v>
      </c>
      <c r="L83" s="165">
        <v>2024</v>
      </c>
      <c r="M83" s="165" t="s">
        <v>648</v>
      </c>
      <c r="N83" s="165">
        <v>7</v>
      </c>
      <c r="O83" s="181">
        <v>251</v>
      </c>
      <c r="P83" s="165" t="s">
        <v>661</v>
      </c>
      <c r="Q83" s="165">
        <v>-70.893000000000001</v>
      </c>
      <c r="R83" s="165">
        <v>40.695</v>
      </c>
      <c r="S83" s="165" t="s">
        <v>172</v>
      </c>
      <c r="T83" s="165">
        <v>25</v>
      </c>
      <c r="U83" s="166" t="s">
        <v>516</v>
      </c>
      <c r="V83" s="158">
        <v>0.37</v>
      </c>
      <c r="W83" s="158">
        <v>2.4E-2</v>
      </c>
      <c r="X83" s="158">
        <v>0.1</v>
      </c>
      <c r="Y83" s="157">
        <v>0.02</v>
      </c>
      <c r="Z83" s="159">
        <v>2.3E-2</v>
      </c>
      <c r="AA83" s="89">
        <v>7.3999999999999996E-2</v>
      </c>
      <c r="AB83" s="89">
        <v>2E-3</v>
      </c>
      <c r="AC83" s="89">
        <v>2.9000000000000001E-2</v>
      </c>
      <c r="AD83" s="89">
        <v>2E-3</v>
      </c>
      <c r="AE83" s="89">
        <v>2.7E-2</v>
      </c>
      <c r="AF83" s="89">
        <v>0.115</v>
      </c>
      <c r="AG83" s="89">
        <v>1.7999999999999999E-2</v>
      </c>
      <c r="AH83" s="89">
        <v>0.36499999999999999</v>
      </c>
      <c r="AI83" s="89">
        <v>2E-3</v>
      </c>
      <c r="AJ83" s="89">
        <v>3.0000000000000001E-3</v>
      </c>
      <c r="AK83" s="89">
        <v>2.4E-2</v>
      </c>
      <c r="AL83" s="89">
        <v>-8888</v>
      </c>
      <c r="AM83" s="89">
        <v>6.8000000000000005E-2</v>
      </c>
      <c r="AN83" s="89">
        <v>3.2000000000000001E-2</v>
      </c>
      <c r="AO83" s="89">
        <v>2E-3</v>
      </c>
      <c r="AP83" s="89">
        <v>4.0000000000000001E-3</v>
      </c>
      <c r="AQ83" s="89">
        <v>4.0000000000000001E-3</v>
      </c>
      <c r="AR83" s="89">
        <v>5.0000000000000001E-3</v>
      </c>
      <c r="AS83" s="89">
        <v>0.01</v>
      </c>
      <c r="AT83" s="89">
        <v>-8888</v>
      </c>
      <c r="AU83" s="89">
        <v>-8888</v>
      </c>
      <c r="AV83" s="89">
        <v>0.49399999999999999</v>
      </c>
      <c r="AW83" s="89">
        <v>7.1000000000000008E-2</v>
      </c>
      <c r="AX83" s="89">
        <v>0.23899999999999999</v>
      </c>
      <c r="AY83" s="89">
        <v>0.73299999999999998</v>
      </c>
      <c r="AZ83" s="89">
        <v>0.31</v>
      </c>
      <c r="BA83" s="89">
        <v>0.43400000000000005</v>
      </c>
      <c r="BB83" s="89">
        <v>0.80400000000000005</v>
      </c>
      <c r="BC83" s="89">
        <v>0.28299999999999997</v>
      </c>
      <c r="BD83" s="160">
        <v>1.17</v>
      </c>
      <c r="BE83" s="160">
        <v>0.77</v>
      </c>
      <c r="BF83" s="160">
        <v>0.23</v>
      </c>
      <c r="BG83" s="160">
        <v>1.59</v>
      </c>
      <c r="BH83" s="160">
        <v>0.09</v>
      </c>
      <c r="BI83" s="160">
        <v>0.91</v>
      </c>
      <c r="BJ83" s="160">
        <v>0.46</v>
      </c>
      <c r="BL83" s="167"/>
    </row>
    <row r="84" spans="1:64" s="88" customFormat="1" ht="14.1" customHeight="1">
      <c r="A84" s="156" t="s">
        <v>348</v>
      </c>
      <c r="B84" s="165" t="s">
        <v>511</v>
      </c>
      <c r="C84" s="165" t="s">
        <v>662</v>
      </c>
      <c r="D84" s="165" t="s">
        <v>647</v>
      </c>
      <c r="E84" s="165" t="s">
        <v>170</v>
      </c>
      <c r="F84" s="165">
        <v>548</v>
      </c>
      <c r="G84" s="165">
        <v>6</v>
      </c>
      <c r="H84" s="165">
        <v>18</v>
      </c>
      <c r="I84" s="165">
        <v>4.2</v>
      </c>
      <c r="J84" s="165">
        <v>64</v>
      </c>
      <c r="K84" s="166" t="s">
        <v>514</v>
      </c>
      <c r="L84" s="165">
        <v>2024</v>
      </c>
      <c r="M84" s="165" t="s">
        <v>648</v>
      </c>
      <c r="N84" s="165">
        <v>7</v>
      </c>
      <c r="O84" s="181">
        <v>251</v>
      </c>
      <c r="P84" s="165" t="s">
        <v>663</v>
      </c>
      <c r="Q84" s="165">
        <v>-70.896000000000001</v>
      </c>
      <c r="R84" s="165">
        <v>40.695</v>
      </c>
      <c r="S84" s="165" t="s">
        <v>172</v>
      </c>
      <c r="T84" s="165">
        <v>25</v>
      </c>
      <c r="U84" s="166" t="s">
        <v>516</v>
      </c>
      <c r="V84" s="158">
        <v>0.24</v>
      </c>
      <c r="W84" s="158">
        <v>1.4999999999999999E-2</v>
      </c>
      <c r="X84" s="158">
        <v>6.2E-2</v>
      </c>
      <c r="Y84" s="157">
        <v>1.7000000000000001E-2</v>
      </c>
      <c r="Z84" s="159">
        <v>2.4E-2</v>
      </c>
      <c r="AA84" s="89">
        <v>5.1999999999999998E-2</v>
      </c>
      <c r="AB84" s="89">
        <v>2E-3</v>
      </c>
      <c r="AC84" s="89">
        <v>1.9E-2</v>
      </c>
      <c r="AD84" s="89">
        <v>2E-3</v>
      </c>
      <c r="AE84" s="89">
        <v>0.02</v>
      </c>
      <c r="AF84" s="89">
        <v>4.2000000000000003E-2</v>
      </c>
      <c r="AG84" s="89">
        <v>2.1000000000000001E-2</v>
      </c>
      <c r="AH84" s="89">
        <v>0.23499999999999999</v>
      </c>
      <c r="AI84" s="89">
        <v>3.0000000000000001E-3</v>
      </c>
      <c r="AJ84" s="89">
        <v>2E-3</v>
      </c>
      <c r="AK84" s="89">
        <v>1.4999999999999999E-2</v>
      </c>
      <c r="AL84" s="89">
        <v>-8888</v>
      </c>
      <c r="AM84" s="89">
        <v>3.9E-2</v>
      </c>
      <c r="AN84" s="89">
        <v>2.3E-2</v>
      </c>
      <c r="AO84" s="89">
        <v>1E-3</v>
      </c>
      <c r="AP84" s="89">
        <v>2E-3</v>
      </c>
      <c r="AQ84" s="89">
        <v>3.0000000000000001E-3</v>
      </c>
      <c r="AR84" s="89">
        <v>3.0000000000000001E-3</v>
      </c>
      <c r="AS84" s="89">
        <v>7.0000000000000001E-3</v>
      </c>
      <c r="AT84" s="89">
        <v>5.0000000000000001E-3</v>
      </c>
      <c r="AU84" s="89">
        <v>-8888</v>
      </c>
      <c r="AV84" s="89">
        <v>0.317</v>
      </c>
      <c r="AW84" s="89">
        <v>6.0999999999999999E-2</v>
      </c>
      <c r="AX84" s="89">
        <v>0.13800000000000001</v>
      </c>
      <c r="AY84" s="89">
        <v>0.45500000000000002</v>
      </c>
      <c r="AZ84" s="89">
        <v>0.19900000000000001</v>
      </c>
      <c r="BA84" s="89">
        <v>0.27600000000000002</v>
      </c>
      <c r="BB84" s="89">
        <v>0.51600000000000001</v>
      </c>
      <c r="BC84" s="89">
        <v>0.17600000000000002</v>
      </c>
      <c r="BD84" s="160">
        <v>1.1499999999999999</v>
      </c>
      <c r="BE84" s="160">
        <v>0.69</v>
      </c>
      <c r="BF84" s="160">
        <v>0.31</v>
      </c>
      <c r="BG84" s="160">
        <v>1.59</v>
      </c>
      <c r="BH84" s="160">
        <v>0.12</v>
      </c>
      <c r="BI84" s="160">
        <v>0.88</v>
      </c>
      <c r="BJ84" s="160">
        <v>0.47</v>
      </c>
      <c r="BL84" s="167"/>
    </row>
    <row r="85" spans="1:64" s="88" customFormat="1" ht="14.1" customHeight="1">
      <c r="A85" s="156" t="s">
        <v>349</v>
      </c>
      <c r="B85" s="165" t="s">
        <v>511</v>
      </c>
      <c r="C85" s="165" t="s">
        <v>664</v>
      </c>
      <c r="D85" s="165" t="s">
        <v>647</v>
      </c>
      <c r="E85" s="165" t="s">
        <v>173</v>
      </c>
      <c r="F85" s="165">
        <v>547</v>
      </c>
      <c r="G85" s="165">
        <v>7</v>
      </c>
      <c r="H85" s="165">
        <v>6</v>
      </c>
      <c r="I85" s="165">
        <v>42.2</v>
      </c>
      <c r="J85" s="165">
        <v>76</v>
      </c>
      <c r="K85" s="166" t="s">
        <v>514</v>
      </c>
      <c r="L85" s="165">
        <v>2024</v>
      </c>
      <c r="M85" s="165" t="s">
        <v>648</v>
      </c>
      <c r="N85" s="165">
        <v>7</v>
      </c>
      <c r="O85" s="181">
        <v>251</v>
      </c>
      <c r="P85" s="165" t="s">
        <v>665</v>
      </c>
      <c r="Q85" s="165">
        <v>-70.884</v>
      </c>
      <c r="R85" s="165">
        <v>40.514000000000003</v>
      </c>
      <c r="S85" s="165" t="s">
        <v>172</v>
      </c>
      <c r="T85" s="165">
        <v>25</v>
      </c>
      <c r="U85" s="166" t="s">
        <v>516</v>
      </c>
      <c r="V85" s="158">
        <v>1.093</v>
      </c>
      <c r="W85" s="158">
        <v>0.31900000000000001</v>
      </c>
      <c r="X85" s="158">
        <v>0.23299999999999998</v>
      </c>
      <c r="Y85" s="157">
        <v>0.10100000000000001</v>
      </c>
      <c r="Z85" s="159">
        <v>4.2000000000000003E-2</v>
      </c>
      <c r="AA85" s="89">
        <v>0.20699999999999999</v>
      </c>
      <c r="AB85" s="89">
        <v>3.5999999999999997E-2</v>
      </c>
      <c r="AC85" s="89">
        <v>2.4E-2</v>
      </c>
      <c r="AD85" s="89">
        <v>-8888</v>
      </c>
      <c r="AE85" s="89">
        <v>7.5999999999999998E-2</v>
      </c>
      <c r="AF85" s="89">
        <v>6.0999999999999999E-2</v>
      </c>
      <c r="AG85" s="89">
        <v>0.113</v>
      </c>
      <c r="AH85" s="89">
        <v>0.92600000000000005</v>
      </c>
      <c r="AI85" s="89">
        <v>0.158</v>
      </c>
      <c r="AJ85" s="89">
        <v>8.9999999999999993E-3</v>
      </c>
      <c r="AK85" s="89">
        <v>0.24</v>
      </c>
      <c r="AL85" s="89">
        <v>7.9000000000000001E-2</v>
      </c>
      <c r="AM85" s="89">
        <v>0.127</v>
      </c>
      <c r="AN85" s="89">
        <v>0.106</v>
      </c>
      <c r="AO85" s="89">
        <v>-8888</v>
      </c>
      <c r="AP85" s="89">
        <v>2.4E-2</v>
      </c>
      <c r="AQ85" s="89">
        <v>8.0000000000000002E-3</v>
      </c>
      <c r="AR85" s="89">
        <v>1.4E-2</v>
      </c>
      <c r="AS85" s="89">
        <v>1.9E-2</v>
      </c>
      <c r="AT85" s="89">
        <v>2.7E-2</v>
      </c>
      <c r="AU85" s="89">
        <v>-8888</v>
      </c>
      <c r="AV85" s="89">
        <v>1.645</v>
      </c>
      <c r="AW85" s="89">
        <v>0.27400000000000002</v>
      </c>
      <c r="AX85" s="89">
        <v>0.38599999999999995</v>
      </c>
      <c r="AY85" s="89">
        <v>2.0310000000000001</v>
      </c>
      <c r="AZ85" s="89">
        <v>0.65999999999999992</v>
      </c>
      <c r="BA85" s="89">
        <v>1.2119999999999997</v>
      </c>
      <c r="BB85" s="89">
        <v>2.3049999999999997</v>
      </c>
      <c r="BC85" s="89">
        <v>0.85399999999999987</v>
      </c>
      <c r="BD85" s="160">
        <v>1.1100000000000001</v>
      </c>
      <c r="BE85" s="160">
        <v>0.57999999999999996</v>
      </c>
      <c r="BF85" s="160">
        <v>0.42</v>
      </c>
      <c r="BG85" s="160">
        <v>2.4900000000000002</v>
      </c>
      <c r="BH85" s="160">
        <v>0.12</v>
      </c>
      <c r="BI85" s="160">
        <v>0.88</v>
      </c>
      <c r="BJ85" s="160">
        <v>0.47</v>
      </c>
      <c r="BL85" s="167"/>
    </row>
    <row r="86" spans="1:64" s="88" customFormat="1" ht="14.1" customHeight="1">
      <c r="A86" s="156" t="s">
        <v>350</v>
      </c>
      <c r="B86" s="165" t="s">
        <v>511</v>
      </c>
      <c r="C86" s="165" t="s">
        <v>666</v>
      </c>
      <c r="D86" s="165" t="s">
        <v>647</v>
      </c>
      <c r="E86" s="165" t="s">
        <v>173</v>
      </c>
      <c r="F86" s="165">
        <v>547</v>
      </c>
      <c r="G86" s="165">
        <v>7</v>
      </c>
      <c r="H86" s="165">
        <v>6</v>
      </c>
      <c r="I86" s="165">
        <v>42.2</v>
      </c>
      <c r="J86" s="165">
        <v>76</v>
      </c>
      <c r="K86" s="166" t="s">
        <v>514</v>
      </c>
      <c r="L86" s="165">
        <v>2024</v>
      </c>
      <c r="M86" s="165" t="s">
        <v>648</v>
      </c>
      <c r="N86" s="165">
        <v>7</v>
      </c>
      <c r="O86" s="181">
        <v>251</v>
      </c>
      <c r="P86" s="165" t="s">
        <v>665</v>
      </c>
      <c r="Q86" s="165">
        <v>-70.884</v>
      </c>
      <c r="R86" s="165">
        <v>40.514000000000003</v>
      </c>
      <c r="S86" s="165" t="s">
        <v>172</v>
      </c>
      <c r="T86" s="165">
        <v>25</v>
      </c>
      <c r="U86" s="166" t="s">
        <v>516</v>
      </c>
      <c r="V86" s="158">
        <v>1.081</v>
      </c>
      <c r="W86" s="158">
        <v>0.32200000000000001</v>
      </c>
      <c r="X86" s="158">
        <v>0.22799999999999998</v>
      </c>
      <c r="Y86" s="157">
        <v>0.10100000000000001</v>
      </c>
      <c r="Z86" s="159">
        <v>0.04</v>
      </c>
      <c r="AA86" s="89">
        <v>0.20200000000000001</v>
      </c>
      <c r="AB86" s="89">
        <v>3.5999999999999997E-2</v>
      </c>
      <c r="AC86" s="89">
        <v>2.3E-2</v>
      </c>
      <c r="AD86" s="89">
        <v>-8888</v>
      </c>
      <c r="AE86" s="89">
        <v>7.4999999999999997E-2</v>
      </c>
      <c r="AF86" s="89">
        <v>0.06</v>
      </c>
      <c r="AG86" s="89">
        <v>0.113</v>
      </c>
      <c r="AH86" s="89">
        <v>0.91300000000000003</v>
      </c>
      <c r="AI86" s="89">
        <v>0.159</v>
      </c>
      <c r="AJ86" s="89">
        <v>8.9999999999999993E-3</v>
      </c>
      <c r="AK86" s="89">
        <v>0.24099999999999999</v>
      </c>
      <c r="AL86" s="89">
        <v>8.1000000000000003E-2</v>
      </c>
      <c r="AM86" s="89">
        <v>0.125</v>
      </c>
      <c r="AN86" s="89">
        <v>0.10299999999999999</v>
      </c>
      <c r="AO86" s="89">
        <v>-8888</v>
      </c>
      <c r="AP86" s="89">
        <v>2.4E-2</v>
      </c>
      <c r="AQ86" s="89">
        <v>8.0000000000000002E-3</v>
      </c>
      <c r="AR86" s="89">
        <v>1.4E-2</v>
      </c>
      <c r="AS86" s="89">
        <v>1.7000000000000001E-2</v>
      </c>
      <c r="AT86" s="89">
        <v>2.5999999999999999E-2</v>
      </c>
      <c r="AU86" s="89">
        <v>-8888</v>
      </c>
      <c r="AV86" s="89">
        <v>1.631</v>
      </c>
      <c r="AW86" s="89">
        <v>0.27300000000000002</v>
      </c>
      <c r="AX86" s="89">
        <v>0.377</v>
      </c>
      <c r="AY86" s="89">
        <v>2.008</v>
      </c>
      <c r="AZ86" s="89">
        <v>0.65</v>
      </c>
      <c r="BA86" s="89">
        <v>1.2</v>
      </c>
      <c r="BB86" s="89">
        <v>2.2809999999999997</v>
      </c>
      <c r="BC86" s="89">
        <v>0.84799999999999998</v>
      </c>
      <c r="BD86" s="160">
        <v>1.1100000000000001</v>
      </c>
      <c r="BE86" s="160">
        <v>0.57999999999999996</v>
      </c>
      <c r="BF86" s="160">
        <v>0.42</v>
      </c>
      <c r="BG86" s="160">
        <v>2.5099999999999998</v>
      </c>
      <c r="BH86" s="160">
        <v>0.12</v>
      </c>
      <c r="BI86" s="160">
        <v>0.88</v>
      </c>
      <c r="BJ86" s="160">
        <v>0.47</v>
      </c>
      <c r="BL86" s="167"/>
    </row>
    <row r="87" spans="1:64" s="88" customFormat="1" ht="14.1" customHeight="1">
      <c r="A87" s="156" t="s">
        <v>351</v>
      </c>
      <c r="B87" s="165" t="s">
        <v>511</v>
      </c>
      <c r="C87" s="165" t="s">
        <v>667</v>
      </c>
      <c r="D87" s="165" t="s">
        <v>647</v>
      </c>
      <c r="E87" s="165" t="s">
        <v>170</v>
      </c>
      <c r="F87" s="165">
        <v>548</v>
      </c>
      <c r="G87" s="165">
        <v>7</v>
      </c>
      <c r="H87" s="165">
        <v>15</v>
      </c>
      <c r="I87" s="165">
        <v>4.4000000000000004</v>
      </c>
      <c r="J87" s="165">
        <v>76</v>
      </c>
      <c r="K87" s="166" t="s">
        <v>514</v>
      </c>
      <c r="L87" s="165">
        <v>2024</v>
      </c>
      <c r="M87" s="165" t="s">
        <v>648</v>
      </c>
      <c r="N87" s="165">
        <v>7</v>
      </c>
      <c r="O87" s="181">
        <v>251</v>
      </c>
      <c r="P87" s="165" t="s">
        <v>668</v>
      </c>
      <c r="Q87" s="165">
        <v>-70.882999999999996</v>
      </c>
      <c r="R87" s="165">
        <v>40.514000000000003</v>
      </c>
      <c r="S87" s="165" t="s">
        <v>172</v>
      </c>
      <c r="T87" s="165">
        <v>25</v>
      </c>
      <c r="U87" s="166" t="s">
        <v>516</v>
      </c>
      <c r="V87" s="158">
        <v>0.193</v>
      </c>
      <c r="W87" s="158">
        <v>1.7999999999999999E-2</v>
      </c>
      <c r="X87" s="158">
        <v>2.8999999999999998E-2</v>
      </c>
      <c r="Y87" s="157">
        <v>0.02</v>
      </c>
      <c r="Z87" s="159">
        <v>8.0000000000000002E-3</v>
      </c>
      <c r="AA87" s="89">
        <v>1.7999999999999999E-2</v>
      </c>
      <c r="AB87" s="89">
        <v>1E-3</v>
      </c>
      <c r="AC87" s="89">
        <v>2.7E-2</v>
      </c>
      <c r="AD87" s="89">
        <v>4.0000000000000001E-3</v>
      </c>
      <c r="AE87" s="89">
        <v>2.5999999999999999E-2</v>
      </c>
      <c r="AF87" s="89">
        <v>0.02</v>
      </c>
      <c r="AG87" s="89">
        <v>6.5000000000000002E-2</v>
      </c>
      <c r="AH87" s="89">
        <v>0.17</v>
      </c>
      <c r="AI87" s="89">
        <v>1.7999999999999999E-2</v>
      </c>
      <c r="AJ87" s="89">
        <v>5.0000000000000001E-3</v>
      </c>
      <c r="AK87" s="89">
        <v>1.4999999999999999E-2</v>
      </c>
      <c r="AL87" s="89">
        <v>3.0000000000000001E-3</v>
      </c>
      <c r="AM87" s="89">
        <v>0.02</v>
      </c>
      <c r="AN87" s="89">
        <v>8.9999999999999993E-3</v>
      </c>
      <c r="AO87" s="89">
        <v>1E-3</v>
      </c>
      <c r="AP87" s="89">
        <v>2E-3</v>
      </c>
      <c r="AQ87" s="89">
        <v>5.0000000000000001E-3</v>
      </c>
      <c r="AR87" s="89">
        <v>2E-3</v>
      </c>
      <c r="AS87" s="89">
        <v>-8888</v>
      </c>
      <c r="AT87" s="89">
        <v>6.0000000000000001E-3</v>
      </c>
      <c r="AU87" s="89">
        <v>-8888</v>
      </c>
      <c r="AV87" s="89">
        <v>0.24</v>
      </c>
      <c r="AW87" s="89">
        <v>0.11700000000000001</v>
      </c>
      <c r="AX87" s="89">
        <v>7.2000000000000008E-2</v>
      </c>
      <c r="AY87" s="89">
        <v>0.312</v>
      </c>
      <c r="AZ87" s="89">
        <v>0.189</v>
      </c>
      <c r="BA87" s="89">
        <v>0.23599999999999999</v>
      </c>
      <c r="BB87" s="89">
        <v>0.42899999999999999</v>
      </c>
      <c r="BC87" s="89">
        <v>0.15600000000000003</v>
      </c>
      <c r="BD87" s="160">
        <v>1.22</v>
      </c>
      <c r="BE87" s="160">
        <v>0.38</v>
      </c>
      <c r="BF87" s="160">
        <v>0.62</v>
      </c>
      <c r="BG87" s="160">
        <v>1.27</v>
      </c>
      <c r="BH87" s="160">
        <v>0.27</v>
      </c>
      <c r="BI87" s="160">
        <v>0.73</v>
      </c>
      <c r="BJ87" s="160">
        <v>0.45</v>
      </c>
      <c r="BL87" s="167"/>
    </row>
    <row r="88" spans="1:64" s="88" customFormat="1" ht="14.1" customHeight="1">
      <c r="A88" s="156" t="s">
        <v>352</v>
      </c>
      <c r="B88" s="165" t="s">
        <v>511</v>
      </c>
      <c r="C88" s="165" t="s">
        <v>669</v>
      </c>
      <c r="D88" s="165" t="s">
        <v>647</v>
      </c>
      <c r="E88" s="165" t="s">
        <v>170</v>
      </c>
      <c r="F88" s="165">
        <v>532</v>
      </c>
      <c r="G88" s="165">
        <v>8</v>
      </c>
      <c r="H88" s="165">
        <v>6</v>
      </c>
      <c r="I88" s="165">
        <v>72.900000000000006</v>
      </c>
      <c r="J88" s="165">
        <v>440</v>
      </c>
      <c r="K88" s="166" t="s">
        <v>514</v>
      </c>
      <c r="L88" s="165">
        <v>2024</v>
      </c>
      <c r="M88" s="165" t="s">
        <v>648</v>
      </c>
      <c r="N88" s="165">
        <v>8</v>
      </c>
      <c r="O88" s="181">
        <v>252</v>
      </c>
      <c r="P88" s="165" t="s">
        <v>670</v>
      </c>
      <c r="Q88" s="165">
        <v>-70.891999999999996</v>
      </c>
      <c r="R88" s="165">
        <v>39.941000000000003</v>
      </c>
      <c r="S88" s="165" t="s">
        <v>172</v>
      </c>
      <c r="T88" s="165">
        <v>25</v>
      </c>
      <c r="U88" s="166" t="s">
        <v>516</v>
      </c>
      <c r="V88" s="158">
        <v>0.192</v>
      </c>
      <c r="W88" s="158">
        <v>6.9000000000000006E-2</v>
      </c>
      <c r="X88" s="158">
        <v>8.1000000000000003E-2</v>
      </c>
      <c r="Y88" s="157">
        <v>1.7000000000000001E-2</v>
      </c>
      <c r="Z88" s="159">
        <v>5.1999999999999998E-2</v>
      </c>
      <c r="AA88" s="89">
        <v>4.8000000000000001E-2</v>
      </c>
      <c r="AB88" s="89">
        <v>-8888</v>
      </c>
      <c r="AC88" s="89">
        <v>6.0000000000000001E-3</v>
      </c>
      <c r="AD88" s="89">
        <v>-8888</v>
      </c>
      <c r="AE88" s="89">
        <v>3.5999999999999997E-2</v>
      </c>
      <c r="AF88" s="89">
        <v>3.0000000000000001E-3</v>
      </c>
      <c r="AG88" s="89">
        <v>8.9999999999999993E-3</v>
      </c>
      <c r="AH88" s="89">
        <v>0.16400000000000001</v>
      </c>
      <c r="AI88" s="89">
        <v>2.5999999999999999E-2</v>
      </c>
      <c r="AJ88" s="89">
        <v>2E-3</v>
      </c>
      <c r="AK88" s="89">
        <v>2.4E-2</v>
      </c>
      <c r="AL88" s="89">
        <v>4.4999999999999998E-2</v>
      </c>
      <c r="AM88" s="89">
        <v>2.8000000000000001E-2</v>
      </c>
      <c r="AN88" s="89">
        <v>5.2999999999999999E-2</v>
      </c>
      <c r="AO88" s="89">
        <v>-8888</v>
      </c>
      <c r="AP88" s="89">
        <v>2E-3</v>
      </c>
      <c r="AQ88" s="89">
        <v>-8888</v>
      </c>
      <c r="AR88" s="89">
        <v>3.0000000000000001E-3</v>
      </c>
      <c r="AS88" s="89">
        <v>4.0000000000000001E-3</v>
      </c>
      <c r="AT88" s="89">
        <v>6.0000000000000001E-3</v>
      </c>
      <c r="AU88" s="89">
        <v>-8888</v>
      </c>
      <c r="AV88" s="89">
        <v>0.34200000000000003</v>
      </c>
      <c r="AW88" s="89">
        <v>3.2000000000000001E-2</v>
      </c>
      <c r="AX88" s="89">
        <v>0.13900000000000001</v>
      </c>
      <c r="AY88" s="89">
        <v>0.48100000000000004</v>
      </c>
      <c r="AZ88" s="89">
        <v>0.17100000000000001</v>
      </c>
      <c r="BA88" s="89">
        <v>0.32100000000000001</v>
      </c>
      <c r="BB88" s="89">
        <v>0.51300000000000001</v>
      </c>
      <c r="BC88" s="89">
        <v>0.21700000000000003</v>
      </c>
      <c r="BD88" s="160">
        <v>1.67</v>
      </c>
      <c r="BE88" s="160">
        <v>0.81</v>
      </c>
      <c r="BF88" s="160">
        <v>0.19</v>
      </c>
      <c r="BG88" s="160">
        <v>2</v>
      </c>
      <c r="BH88" s="160">
        <v>0.06</v>
      </c>
      <c r="BI88" s="160">
        <v>0.94</v>
      </c>
      <c r="BJ88" s="160">
        <v>0.37</v>
      </c>
      <c r="BL88" s="167"/>
    </row>
    <row r="89" spans="1:64" s="88" customFormat="1" ht="14.1" customHeight="1">
      <c r="A89" s="156" t="s">
        <v>353</v>
      </c>
      <c r="B89" s="165" t="s">
        <v>511</v>
      </c>
      <c r="C89" s="165" t="s">
        <v>671</v>
      </c>
      <c r="D89" s="165" t="s">
        <v>647</v>
      </c>
      <c r="E89" s="165" t="s">
        <v>170</v>
      </c>
      <c r="F89" s="165">
        <v>547</v>
      </c>
      <c r="G89" s="165">
        <v>8</v>
      </c>
      <c r="H89" s="165">
        <v>9</v>
      </c>
      <c r="I89" s="165">
        <v>53.2</v>
      </c>
      <c r="J89" s="165">
        <v>440</v>
      </c>
      <c r="K89" s="166" t="s">
        <v>514</v>
      </c>
      <c r="L89" s="165">
        <v>2024</v>
      </c>
      <c r="M89" s="165" t="s">
        <v>648</v>
      </c>
      <c r="N89" s="165">
        <v>8</v>
      </c>
      <c r="O89" s="181">
        <v>252</v>
      </c>
      <c r="P89" s="165" t="s">
        <v>672</v>
      </c>
      <c r="Q89" s="165">
        <v>-70.893000000000001</v>
      </c>
      <c r="R89" s="165">
        <v>39.941000000000003</v>
      </c>
      <c r="S89" s="165" t="s">
        <v>172</v>
      </c>
      <c r="T89" s="165">
        <v>25</v>
      </c>
      <c r="U89" s="166" t="s">
        <v>516</v>
      </c>
      <c r="V89" s="158">
        <v>1.1140000000000001</v>
      </c>
      <c r="W89" s="158">
        <v>0.251</v>
      </c>
      <c r="X89" s="158">
        <v>0.38800000000000001</v>
      </c>
      <c r="Y89" s="157">
        <v>6.7000000000000004E-2</v>
      </c>
      <c r="Z89" s="159">
        <v>0.11</v>
      </c>
      <c r="AA89" s="89">
        <v>0.185</v>
      </c>
      <c r="AB89" s="89">
        <v>1.7000000000000001E-2</v>
      </c>
      <c r="AC89" s="89">
        <v>3.1E-2</v>
      </c>
      <c r="AD89" s="89">
        <v>2E-3</v>
      </c>
      <c r="AE89" s="89">
        <v>0.31</v>
      </c>
      <c r="AF89" s="89">
        <v>2.5999999999999999E-2</v>
      </c>
      <c r="AG89" s="89">
        <v>4.5999999999999999E-2</v>
      </c>
      <c r="AH89" s="89">
        <v>0.99399999999999999</v>
      </c>
      <c r="AI89" s="89">
        <v>7.0000000000000007E-2</v>
      </c>
      <c r="AJ89" s="89">
        <v>0.05</v>
      </c>
      <c r="AK89" s="89">
        <v>0.191</v>
      </c>
      <c r="AL89" s="89">
        <v>0.06</v>
      </c>
      <c r="AM89" s="89">
        <v>0.155</v>
      </c>
      <c r="AN89" s="89">
        <v>0.23300000000000001</v>
      </c>
      <c r="AO89" s="89">
        <v>-8888</v>
      </c>
      <c r="AP89" s="89">
        <v>1.6E-2</v>
      </c>
      <c r="AQ89" s="89">
        <v>7.0000000000000001E-3</v>
      </c>
      <c r="AR89" s="89">
        <v>2.3E-2</v>
      </c>
      <c r="AS89" s="89">
        <v>6.9000000000000006E-2</v>
      </c>
      <c r="AT89" s="89">
        <v>0.02</v>
      </c>
      <c r="AU89" s="89">
        <v>-8888</v>
      </c>
      <c r="AV89" s="89">
        <v>1.7530000000000001</v>
      </c>
      <c r="AW89" s="89">
        <v>0.16300000000000001</v>
      </c>
      <c r="AX89" s="89">
        <v>0.63100000000000001</v>
      </c>
      <c r="AY89" s="89">
        <v>2.3840000000000003</v>
      </c>
      <c r="AZ89" s="89">
        <v>0.79400000000000004</v>
      </c>
      <c r="BA89" s="89">
        <v>1.4329999999999998</v>
      </c>
      <c r="BB89" s="89">
        <v>2.5469999999999997</v>
      </c>
      <c r="BC89" s="89">
        <v>0.94500000000000006</v>
      </c>
      <c r="BD89" s="160">
        <v>1.29</v>
      </c>
      <c r="BE89" s="160">
        <v>0.79</v>
      </c>
      <c r="BF89" s="160">
        <v>0.21</v>
      </c>
      <c r="BG89" s="160">
        <v>2.21</v>
      </c>
      <c r="BH89" s="160">
        <v>0.06</v>
      </c>
      <c r="BI89" s="160">
        <v>0.94</v>
      </c>
      <c r="BJ89" s="160">
        <v>0.44</v>
      </c>
      <c r="BL89" s="167" t="s">
        <v>673</v>
      </c>
    </row>
    <row r="90" spans="1:64" s="88" customFormat="1" ht="14.1" customHeight="1">
      <c r="A90" s="156" t="s">
        <v>354</v>
      </c>
      <c r="B90" s="165" t="s">
        <v>511</v>
      </c>
      <c r="C90" s="165" t="s">
        <v>674</v>
      </c>
      <c r="D90" s="165" t="s">
        <v>647</v>
      </c>
      <c r="E90" s="165" t="s">
        <v>170</v>
      </c>
      <c r="F90" s="165">
        <v>1055</v>
      </c>
      <c r="G90" s="165">
        <v>8</v>
      </c>
      <c r="H90" s="165">
        <v>21</v>
      </c>
      <c r="I90" s="165">
        <v>4.2</v>
      </c>
      <c r="J90" s="165">
        <v>440</v>
      </c>
      <c r="K90" s="166" t="s">
        <v>514</v>
      </c>
      <c r="L90" s="165">
        <v>2024</v>
      </c>
      <c r="M90" s="165" t="s">
        <v>648</v>
      </c>
      <c r="N90" s="165">
        <v>8</v>
      </c>
      <c r="O90" s="181">
        <v>252</v>
      </c>
      <c r="P90" s="165" t="s">
        <v>675</v>
      </c>
      <c r="Q90" s="165">
        <v>-70.896000000000001</v>
      </c>
      <c r="R90" s="165">
        <v>39.941000000000003</v>
      </c>
      <c r="S90" s="165" t="s">
        <v>172</v>
      </c>
      <c r="T90" s="165">
        <v>25</v>
      </c>
      <c r="U90" s="166" t="s">
        <v>516</v>
      </c>
      <c r="V90" s="158">
        <v>0.13800000000000001</v>
      </c>
      <c r="W90" s="158">
        <v>1.3000000000000001E-2</v>
      </c>
      <c r="X90" s="158">
        <v>1.4E-2</v>
      </c>
      <c r="Y90" s="157">
        <v>0.02</v>
      </c>
      <c r="Z90" s="159">
        <v>5.0000000000000001E-3</v>
      </c>
      <c r="AA90" s="89">
        <v>1.4999999999999999E-2</v>
      </c>
      <c r="AB90" s="89">
        <v>-8888</v>
      </c>
      <c r="AC90" s="89">
        <v>4.0000000000000001E-3</v>
      </c>
      <c r="AD90" s="89">
        <v>-8888</v>
      </c>
      <c r="AE90" s="89">
        <v>8.0000000000000002E-3</v>
      </c>
      <c r="AF90" s="89">
        <v>3.0000000000000001E-3</v>
      </c>
      <c r="AG90" s="89">
        <v>8.6999999999999994E-2</v>
      </c>
      <c r="AH90" s="89">
        <v>6.0999999999999999E-2</v>
      </c>
      <c r="AI90" s="89">
        <v>7.5999999999999998E-2</v>
      </c>
      <c r="AJ90" s="89">
        <v>1E-3</v>
      </c>
      <c r="AK90" s="89">
        <v>5.0000000000000001E-3</v>
      </c>
      <c r="AL90" s="89">
        <v>8.0000000000000002E-3</v>
      </c>
      <c r="AM90" s="89">
        <v>8.0000000000000002E-3</v>
      </c>
      <c r="AN90" s="89">
        <v>6.0000000000000001E-3</v>
      </c>
      <c r="AO90" s="89">
        <v>-8888</v>
      </c>
      <c r="AP90" s="89">
        <v>-8888</v>
      </c>
      <c r="AQ90" s="89">
        <v>1E-3</v>
      </c>
      <c r="AR90" s="89">
        <v>2E-3</v>
      </c>
      <c r="AS90" s="89">
        <v>-8888</v>
      </c>
      <c r="AT90" s="89">
        <v>-8888</v>
      </c>
      <c r="AU90" s="89">
        <v>-8888</v>
      </c>
      <c r="AV90" s="89">
        <v>0.16500000000000004</v>
      </c>
      <c r="AW90" s="89">
        <v>0.111</v>
      </c>
      <c r="AX90" s="89">
        <v>3.1E-2</v>
      </c>
      <c r="AY90" s="89">
        <v>0.19600000000000004</v>
      </c>
      <c r="AZ90" s="89">
        <v>0.14200000000000002</v>
      </c>
      <c r="BA90" s="89">
        <v>0.16900000000000004</v>
      </c>
      <c r="BB90" s="89">
        <v>0.30700000000000005</v>
      </c>
      <c r="BC90" s="89">
        <v>0.13100000000000001</v>
      </c>
      <c r="BD90" s="160">
        <v>1.22</v>
      </c>
      <c r="BE90" s="160">
        <v>0.22</v>
      </c>
      <c r="BF90" s="160">
        <v>0.78</v>
      </c>
      <c r="BG90" s="160">
        <v>1.1599999999999999</v>
      </c>
      <c r="BH90" s="160">
        <v>0.36</v>
      </c>
      <c r="BI90" s="160">
        <v>0.64</v>
      </c>
      <c r="BJ90" s="160">
        <v>0.45</v>
      </c>
      <c r="BL90" s="167"/>
    </row>
    <row r="91" spans="1:64" s="88" customFormat="1" ht="14.1" customHeight="1">
      <c r="A91" s="156" t="s">
        <v>355</v>
      </c>
      <c r="B91" s="165" t="s">
        <v>511</v>
      </c>
      <c r="C91" s="165" t="s">
        <v>676</v>
      </c>
      <c r="D91" s="165" t="s">
        <v>647</v>
      </c>
      <c r="E91" s="165" t="s">
        <v>170</v>
      </c>
      <c r="F91" s="165">
        <v>547</v>
      </c>
      <c r="G91" s="165">
        <v>11</v>
      </c>
      <c r="H91" s="165">
        <v>9</v>
      </c>
      <c r="I91" s="165">
        <v>46.2</v>
      </c>
      <c r="J91" s="165">
        <v>1597</v>
      </c>
      <c r="K91" s="166" t="s">
        <v>514</v>
      </c>
      <c r="L91" s="165">
        <v>2024</v>
      </c>
      <c r="M91" s="165" t="s">
        <v>648</v>
      </c>
      <c r="N91" s="165">
        <v>8</v>
      </c>
      <c r="O91" s="181">
        <v>252</v>
      </c>
      <c r="P91" s="165" t="s">
        <v>677</v>
      </c>
      <c r="Q91" s="165">
        <v>-70.897000000000006</v>
      </c>
      <c r="R91" s="165">
        <v>39.773000000000003</v>
      </c>
      <c r="S91" s="165" t="s">
        <v>172</v>
      </c>
      <c r="T91" s="165">
        <v>25</v>
      </c>
      <c r="U91" s="166" t="s">
        <v>516</v>
      </c>
      <c r="V91" s="158">
        <v>0.88200000000000001</v>
      </c>
      <c r="W91" s="158">
        <v>0.35499999999999998</v>
      </c>
      <c r="X91" s="158">
        <v>0.186</v>
      </c>
      <c r="Y91" s="157">
        <v>7.5999999999999998E-2</v>
      </c>
      <c r="Z91" s="159">
        <v>5.8999999999999997E-2</v>
      </c>
      <c r="AA91" s="89">
        <v>0.161</v>
      </c>
      <c r="AB91" s="89">
        <v>1.4999999999999999E-2</v>
      </c>
      <c r="AC91" s="89">
        <v>0.02</v>
      </c>
      <c r="AD91" s="89">
        <v>-8888</v>
      </c>
      <c r="AE91" s="89">
        <v>6.3E-2</v>
      </c>
      <c r="AF91" s="89">
        <v>3.4000000000000002E-2</v>
      </c>
      <c r="AG91" s="89">
        <v>8.6999999999999994E-2</v>
      </c>
      <c r="AH91" s="89">
        <v>0.77100000000000002</v>
      </c>
      <c r="AI91" s="89">
        <v>0.107</v>
      </c>
      <c r="AJ91" s="89">
        <v>4.0000000000000001E-3</v>
      </c>
      <c r="AK91" s="89">
        <v>0.28199999999999997</v>
      </c>
      <c r="AL91" s="89">
        <v>7.2999999999999995E-2</v>
      </c>
      <c r="AM91" s="89">
        <v>0.09</v>
      </c>
      <c r="AN91" s="89">
        <v>9.6000000000000002E-2</v>
      </c>
      <c r="AO91" s="89">
        <v>3.0000000000000001E-3</v>
      </c>
      <c r="AP91" s="89">
        <v>2.3E-2</v>
      </c>
      <c r="AQ91" s="89">
        <v>8.9999999999999993E-3</v>
      </c>
      <c r="AR91" s="89">
        <v>1.2E-2</v>
      </c>
      <c r="AS91" s="89">
        <v>1.7999999999999999E-2</v>
      </c>
      <c r="AT91" s="89">
        <v>2.5000000000000001E-2</v>
      </c>
      <c r="AU91" s="89">
        <v>-8888</v>
      </c>
      <c r="AV91" s="89">
        <v>1.423</v>
      </c>
      <c r="AW91" s="89">
        <v>0.19800000000000001</v>
      </c>
      <c r="AX91" s="89">
        <v>0.31700000000000006</v>
      </c>
      <c r="AY91" s="89">
        <v>1.7400000000000002</v>
      </c>
      <c r="AZ91" s="89">
        <v>0.51500000000000012</v>
      </c>
      <c r="BA91" s="89">
        <v>1.056</v>
      </c>
      <c r="BB91" s="89">
        <v>1.9380000000000002</v>
      </c>
      <c r="BC91" s="89">
        <v>0.77400000000000002</v>
      </c>
      <c r="BD91" s="160">
        <v>1.2</v>
      </c>
      <c r="BE91" s="160">
        <v>0.62</v>
      </c>
      <c r="BF91" s="160">
        <v>0.38</v>
      </c>
      <c r="BG91" s="160">
        <v>2.76</v>
      </c>
      <c r="BH91" s="160">
        <v>0.1</v>
      </c>
      <c r="BI91" s="160">
        <v>0.9</v>
      </c>
      <c r="BJ91" s="160">
        <v>0.46</v>
      </c>
      <c r="BL91" s="167"/>
    </row>
    <row r="92" spans="1:64" s="88" customFormat="1" ht="14.1" customHeight="1">
      <c r="A92" s="156" t="s">
        <v>356</v>
      </c>
      <c r="B92" s="165" t="s">
        <v>511</v>
      </c>
      <c r="C92" s="165" t="s">
        <v>678</v>
      </c>
      <c r="D92" s="165" t="s">
        <v>647</v>
      </c>
      <c r="E92" s="165" t="s">
        <v>170</v>
      </c>
      <c r="F92" s="165">
        <v>1055</v>
      </c>
      <c r="G92" s="165">
        <v>11</v>
      </c>
      <c r="H92" s="165">
        <v>14</v>
      </c>
      <c r="I92" s="165">
        <v>29.3</v>
      </c>
      <c r="J92" s="165">
        <v>1597</v>
      </c>
      <c r="K92" s="166" t="s">
        <v>514</v>
      </c>
      <c r="L92" s="165">
        <v>2024</v>
      </c>
      <c r="M92" s="165" t="s">
        <v>648</v>
      </c>
      <c r="N92" s="165">
        <v>8</v>
      </c>
      <c r="O92" s="181">
        <v>252</v>
      </c>
      <c r="P92" s="165" t="s">
        <v>679</v>
      </c>
      <c r="Q92" s="165">
        <v>-70.899000000000001</v>
      </c>
      <c r="R92" s="165">
        <v>39.773000000000003</v>
      </c>
      <c r="S92" s="165" t="s">
        <v>172</v>
      </c>
      <c r="T92" s="165">
        <v>25</v>
      </c>
      <c r="U92" s="166" t="s">
        <v>516</v>
      </c>
      <c r="V92" s="158">
        <v>0.20599999999999999</v>
      </c>
      <c r="W92" s="158">
        <v>2.8000000000000001E-2</v>
      </c>
      <c r="X92" s="158">
        <v>2.5000000000000001E-2</v>
      </c>
      <c r="Y92" s="157">
        <v>2.9000000000000001E-2</v>
      </c>
      <c r="Z92" s="159">
        <v>8.0000000000000002E-3</v>
      </c>
      <c r="AA92" s="89">
        <v>2.8000000000000001E-2</v>
      </c>
      <c r="AB92" s="89">
        <v>-8888</v>
      </c>
      <c r="AC92" s="89">
        <v>7.0000000000000001E-3</v>
      </c>
      <c r="AD92" s="89">
        <v>1E-3</v>
      </c>
      <c r="AE92" s="89">
        <v>1.0999999999999999E-2</v>
      </c>
      <c r="AF92" s="89">
        <v>6.0000000000000001E-3</v>
      </c>
      <c r="AG92" s="89">
        <v>0.09</v>
      </c>
      <c r="AH92" s="89">
        <v>0.10199999999999999</v>
      </c>
      <c r="AI92" s="89">
        <v>0.10299999999999999</v>
      </c>
      <c r="AJ92" s="89">
        <v>1E-3</v>
      </c>
      <c r="AK92" s="89">
        <v>1.4E-2</v>
      </c>
      <c r="AL92" s="89">
        <v>1.4E-2</v>
      </c>
      <c r="AM92" s="89">
        <v>1.4999999999999999E-2</v>
      </c>
      <c r="AN92" s="89">
        <v>0.01</v>
      </c>
      <c r="AO92" s="89">
        <v>-8888</v>
      </c>
      <c r="AP92" s="89">
        <v>2E-3</v>
      </c>
      <c r="AQ92" s="89">
        <v>2E-3</v>
      </c>
      <c r="AR92" s="89">
        <v>3.0000000000000001E-3</v>
      </c>
      <c r="AS92" s="89">
        <v>-8888</v>
      </c>
      <c r="AT92" s="89">
        <v>-8888</v>
      </c>
      <c r="AU92" s="89">
        <v>-8888</v>
      </c>
      <c r="AV92" s="89">
        <v>0.25900000000000001</v>
      </c>
      <c r="AW92" s="89">
        <v>0.127</v>
      </c>
      <c r="AX92" s="89">
        <v>5.2999999999999999E-2</v>
      </c>
      <c r="AY92" s="89">
        <v>0.312</v>
      </c>
      <c r="AZ92" s="89">
        <v>0.18</v>
      </c>
      <c r="BA92" s="89">
        <v>0.23299999999999998</v>
      </c>
      <c r="BB92" s="89">
        <v>0.43899999999999995</v>
      </c>
      <c r="BC92" s="89">
        <v>0.17099999999999999</v>
      </c>
      <c r="BD92" s="160">
        <v>1.1299999999999999</v>
      </c>
      <c r="BE92" s="160">
        <v>0.28999999999999998</v>
      </c>
      <c r="BF92" s="160">
        <v>0.71</v>
      </c>
      <c r="BG92" s="160">
        <v>1.44</v>
      </c>
      <c r="BH92" s="160">
        <v>0.28999999999999998</v>
      </c>
      <c r="BI92" s="160">
        <v>0.71</v>
      </c>
      <c r="BJ92" s="160">
        <v>0.47</v>
      </c>
      <c r="BL92" s="167"/>
    </row>
    <row r="93" spans="1:64" s="88" customFormat="1" ht="14.1" customHeight="1">
      <c r="A93" s="156" t="s">
        <v>1009</v>
      </c>
      <c r="B93" s="165" t="s">
        <v>511</v>
      </c>
      <c r="C93" s="165" t="s">
        <v>680</v>
      </c>
      <c r="D93" s="165" t="s">
        <v>647</v>
      </c>
      <c r="E93" s="165" t="s">
        <v>170</v>
      </c>
      <c r="F93" s="165">
        <v>1065</v>
      </c>
      <c r="G93" s="165">
        <v>11</v>
      </c>
      <c r="H93" s="165">
        <v>18</v>
      </c>
      <c r="I93" s="165">
        <v>3.9</v>
      </c>
      <c r="J93" s="165">
        <v>1597</v>
      </c>
      <c r="K93" s="166" t="s">
        <v>514</v>
      </c>
      <c r="L93" s="165">
        <v>2024</v>
      </c>
      <c r="M93" s="165" t="s">
        <v>648</v>
      </c>
      <c r="N93" s="165">
        <v>8</v>
      </c>
      <c r="O93" s="181">
        <v>252</v>
      </c>
      <c r="P93" s="165" t="s">
        <v>681</v>
      </c>
      <c r="Q93" s="165">
        <v>-70.900000000000006</v>
      </c>
      <c r="R93" s="165">
        <v>39.773000000000003</v>
      </c>
      <c r="S93" s="165" t="s">
        <v>172</v>
      </c>
      <c r="T93" s="165">
        <v>25</v>
      </c>
      <c r="U93" s="166" t="s">
        <v>516</v>
      </c>
      <c r="V93" s="158">
        <v>0.14600000000000002</v>
      </c>
      <c r="W93" s="158">
        <v>1.4E-2</v>
      </c>
      <c r="X93" s="158">
        <v>1.6E-2</v>
      </c>
      <c r="Y93" s="157">
        <v>0.02</v>
      </c>
      <c r="Z93" s="159">
        <v>5.0000000000000001E-3</v>
      </c>
      <c r="AA93" s="89">
        <v>1.6E-2</v>
      </c>
      <c r="AB93" s="89">
        <v>-8888</v>
      </c>
      <c r="AC93" s="89">
        <v>8.0000000000000002E-3</v>
      </c>
      <c r="AD93" s="89">
        <v>1E-3</v>
      </c>
      <c r="AE93" s="89">
        <v>8.0000000000000002E-3</v>
      </c>
      <c r="AF93" s="89">
        <v>4.0000000000000001E-3</v>
      </c>
      <c r="AG93" s="89">
        <v>8.7999999999999995E-2</v>
      </c>
      <c r="AH93" s="89">
        <v>6.8000000000000005E-2</v>
      </c>
      <c r="AI93" s="89">
        <v>7.5999999999999998E-2</v>
      </c>
      <c r="AJ93" s="89">
        <v>2E-3</v>
      </c>
      <c r="AK93" s="89">
        <v>6.0000000000000001E-3</v>
      </c>
      <c r="AL93" s="89">
        <v>8.0000000000000002E-3</v>
      </c>
      <c r="AM93" s="89">
        <v>0.01</v>
      </c>
      <c r="AN93" s="89">
        <v>6.0000000000000001E-3</v>
      </c>
      <c r="AO93" s="89">
        <v>-8888</v>
      </c>
      <c r="AP93" s="89">
        <v>1E-3</v>
      </c>
      <c r="AQ93" s="89">
        <v>2E-3</v>
      </c>
      <c r="AR93" s="89">
        <v>2E-3</v>
      </c>
      <c r="AS93" s="89">
        <v>-8888</v>
      </c>
      <c r="AT93" s="89">
        <v>-8888</v>
      </c>
      <c r="AU93" s="89">
        <v>-8888</v>
      </c>
      <c r="AV93" s="89">
        <v>0.17600000000000005</v>
      </c>
      <c r="AW93" s="89">
        <v>0.11700000000000001</v>
      </c>
      <c r="AX93" s="89">
        <v>3.3000000000000002E-2</v>
      </c>
      <c r="AY93" s="89">
        <v>0.20900000000000005</v>
      </c>
      <c r="AZ93" s="89">
        <v>0.15000000000000002</v>
      </c>
      <c r="BA93" s="89">
        <v>0.18000000000000005</v>
      </c>
      <c r="BB93" s="89">
        <v>0.32600000000000007</v>
      </c>
      <c r="BC93" s="89">
        <v>0.13500000000000001</v>
      </c>
      <c r="BD93" s="160">
        <v>1.23</v>
      </c>
      <c r="BE93" s="160">
        <v>0.22</v>
      </c>
      <c r="BF93" s="160">
        <v>0.78</v>
      </c>
      <c r="BG93" s="160">
        <v>1.17</v>
      </c>
      <c r="BH93" s="160">
        <v>0.36</v>
      </c>
      <c r="BI93" s="160">
        <v>0.64</v>
      </c>
      <c r="BJ93" s="160">
        <v>0.45</v>
      </c>
      <c r="BL93" s="167"/>
    </row>
    <row r="94" spans="1:64" s="88" customFormat="1" ht="14.1" customHeight="1">
      <c r="A94" s="156" t="s">
        <v>1010</v>
      </c>
      <c r="B94" s="165" t="s">
        <v>511</v>
      </c>
      <c r="C94" s="165" t="s">
        <v>682</v>
      </c>
      <c r="D94" s="165" t="s">
        <v>647</v>
      </c>
      <c r="E94" s="165" t="s">
        <v>170</v>
      </c>
      <c r="F94" s="165">
        <v>1055</v>
      </c>
      <c r="G94" s="165">
        <v>14</v>
      </c>
      <c r="H94" s="165">
        <v>5</v>
      </c>
      <c r="I94" s="165">
        <v>51.9</v>
      </c>
      <c r="J94" s="165">
        <v>93</v>
      </c>
      <c r="K94" s="166" t="s">
        <v>514</v>
      </c>
      <c r="L94" s="165">
        <v>2024</v>
      </c>
      <c r="M94" s="165" t="s">
        <v>648</v>
      </c>
      <c r="N94" s="165">
        <v>9</v>
      </c>
      <c r="O94" s="181">
        <v>253</v>
      </c>
      <c r="P94" s="165" t="s">
        <v>683</v>
      </c>
      <c r="Q94" s="165">
        <v>-70.906000000000006</v>
      </c>
      <c r="R94" s="165">
        <v>40.353999999999999</v>
      </c>
      <c r="S94" s="165" t="s">
        <v>172</v>
      </c>
      <c r="T94" s="165">
        <v>25</v>
      </c>
      <c r="U94" s="166" t="s">
        <v>516</v>
      </c>
      <c r="V94" s="158">
        <v>0.623</v>
      </c>
      <c r="W94" s="158">
        <v>0.23300000000000001</v>
      </c>
      <c r="X94" s="158">
        <v>0.11099999999999999</v>
      </c>
      <c r="Y94" s="157">
        <v>5.8999999999999997E-2</v>
      </c>
      <c r="Z94" s="159">
        <v>1.7999999999999999E-2</v>
      </c>
      <c r="AA94" s="89">
        <v>6.2E-2</v>
      </c>
      <c r="AB94" s="89">
        <v>1.2E-2</v>
      </c>
      <c r="AC94" s="89">
        <v>0.01</v>
      </c>
      <c r="AD94" s="89">
        <v>1E-3</v>
      </c>
      <c r="AE94" s="89">
        <v>7.4999999999999997E-2</v>
      </c>
      <c r="AF94" s="89">
        <v>1.0999999999999999E-2</v>
      </c>
      <c r="AG94" s="89">
        <v>6.8000000000000005E-2</v>
      </c>
      <c r="AH94" s="89">
        <v>0.57999999999999996</v>
      </c>
      <c r="AI94" s="89">
        <v>4.1000000000000002E-2</v>
      </c>
      <c r="AJ94" s="89">
        <v>2E-3</v>
      </c>
      <c r="AK94" s="89">
        <v>0.19900000000000001</v>
      </c>
      <c r="AL94" s="89">
        <v>3.4000000000000002E-2</v>
      </c>
      <c r="AM94" s="89">
        <v>5.1999999999999998E-2</v>
      </c>
      <c r="AN94" s="89">
        <v>5.8999999999999997E-2</v>
      </c>
      <c r="AO94" s="89">
        <v>-8888</v>
      </c>
      <c r="AP94" s="89">
        <v>0.02</v>
      </c>
      <c r="AQ94" s="89">
        <v>5.0000000000000001E-3</v>
      </c>
      <c r="AR94" s="89">
        <v>1.2E-2</v>
      </c>
      <c r="AS94" s="89">
        <v>2.5000000000000001E-2</v>
      </c>
      <c r="AT94" s="89">
        <v>6.4000000000000001E-2</v>
      </c>
      <c r="AU94" s="89">
        <v>-8888</v>
      </c>
      <c r="AV94" s="89">
        <v>0.96699999999999997</v>
      </c>
      <c r="AW94" s="89">
        <v>0.15</v>
      </c>
      <c r="AX94" s="89">
        <v>0.16600000000000001</v>
      </c>
      <c r="AY94" s="89">
        <v>1.133</v>
      </c>
      <c r="AZ94" s="89">
        <v>0.316</v>
      </c>
      <c r="BA94" s="89">
        <v>0.66</v>
      </c>
      <c r="BB94" s="89">
        <v>1.2829999999999999</v>
      </c>
      <c r="BC94" s="89">
        <v>0.47900000000000009</v>
      </c>
      <c r="BD94" s="160">
        <v>1.06</v>
      </c>
      <c r="BE94" s="160">
        <v>0.53</v>
      </c>
      <c r="BF94" s="160">
        <v>0.47</v>
      </c>
      <c r="BG94" s="160">
        <v>3.06</v>
      </c>
      <c r="BH94" s="160">
        <v>0.12</v>
      </c>
      <c r="BI94" s="160">
        <v>0.88</v>
      </c>
      <c r="BJ94" s="160">
        <v>0.49</v>
      </c>
      <c r="BL94" s="167"/>
    </row>
    <row r="95" spans="1:64" s="88" customFormat="1" ht="14.1" customHeight="1">
      <c r="A95" s="156" t="s">
        <v>1011</v>
      </c>
      <c r="B95" s="165" t="s">
        <v>511</v>
      </c>
      <c r="C95" s="165" t="s">
        <v>684</v>
      </c>
      <c r="D95" s="165" t="s">
        <v>647</v>
      </c>
      <c r="E95" s="165" t="s">
        <v>170</v>
      </c>
      <c r="F95" s="165">
        <v>547</v>
      </c>
      <c r="G95" s="165">
        <v>14</v>
      </c>
      <c r="H95" s="165">
        <v>8</v>
      </c>
      <c r="I95" s="165">
        <v>35.1</v>
      </c>
      <c r="J95" s="165">
        <v>93</v>
      </c>
      <c r="K95" s="166" t="s">
        <v>514</v>
      </c>
      <c r="L95" s="165">
        <v>2024</v>
      </c>
      <c r="M95" s="165" t="s">
        <v>648</v>
      </c>
      <c r="N95" s="165">
        <v>9</v>
      </c>
      <c r="O95" s="181">
        <v>253</v>
      </c>
      <c r="P95" s="165" t="s">
        <v>685</v>
      </c>
      <c r="Q95" s="165">
        <v>-70.908000000000001</v>
      </c>
      <c r="R95" s="165">
        <v>40.353000000000002</v>
      </c>
      <c r="S95" s="165" t="s">
        <v>172</v>
      </c>
      <c r="T95" s="165">
        <v>25</v>
      </c>
      <c r="U95" s="166" t="s">
        <v>516</v>
      </c>
      <c r="V95" s="158">
        <v>2.4990000000000001</v>
      </c>
      <c r="W95" s="158">
        <v>0.50900000000000001</v>
      </c>
      <c r="X95" s="158">
        <v>0.61199999999999999</v>
      </c>
      <c r="Y95" s="157">
        <v>0.151</v>
      </c>
      <c r="Z95" s="159">
        <v>9.8000000000000004E-2</v>
      </c>
      <c r="AA95" s="89">
        <v>0.55900000000000005</v>
      </c>
      <c r="AB95" s="89">
        <v>0.13300000000000001</v>
      </c>
      <c r="AC95" s="89">
        <v>7.0999999999999994E-2</v>
      </c>
      <c r="AD95" s="89">
        <v>7.0000000000000001E-3</v>
      </c>
      <c r="AE95" s="89">
        <v>0.27500000000000002</v>
      </c>
      <c r="AF95" s="89">
        <v>8.7999999999999995E-2</v>
      </c>
      <c r="AG95" s="89">
        <v>0.11600000000000001</v>
      </c>
      <c r="AH95" s="89">
        <v>2.4239999999999999</v>
      </c>
      <c r="AI95" s="89">
        <v>0.06</v>
      </c>
      <c r="AJ95" s="89">
        <v>1.4999999999999999E-2</v>
      </c>
      <c r="AK95" s="89">
        <v>0.47699999999999998</v>
      </c>
      <c r="AL95" s="89">
        <v>3.2000000000000001E-2</v>
      </c>
      <c r="AM95" s="89">
        <v>0.32400000000000001</v>
      </c>
      <c r="AN95" s="89">
        <v>0.28799999999999998</v>
      </c>
      <c r="AO95" s="89">
        <v>0.01</v>
      </c>
      <c r="AP95" s="89">
        <v>4.8000000000000001E-2</v>
      </c>
      <c r="AQ95" s="89">
        <v>2.5999999999999999E-2</v>
      </c>
      <c r="AR95" s="89">
        <v>2.5999999999999999E-2</v>
      </c>
      <c r="AS95" s="89">
        <v>2.5000000000000001E-2</v>
      </c>
      <c r="AT95" s="89">
        <v>7.1999999999999995E-2</v>
      </c>
      <c r="AU95" s="89">
        <v>-8888</v>
      </c>
      <c r="AV95" s="89">
        <v>3.62</v>
      </c>
      <c r="AW95" s="89">
        <v>0.47799999999999998</v>
      </c>
      <c r="AX95" s="89">
        <v>1.02</v>
      </c>
      <c r="AY95" s="89">
        <v>4.6400000000000006</v>
      </c>
      <c r="AZ95" s="89">
        <v>1.498</v>
      </c>
      <c r="BA95" s="89">
        <v>2.6190000000000002</v>
      </c>
      <c r="BB95" s="89">
        <v>5.1180000000000003</v>
      </c>
      <c r="BC95" s="89">
        <v>1.778</v>
      </c>
      <c r="BD95" s="160">
        <v>1.05</v>
      </c>
      <c r="BE95" s="160">
        <v>0.68</v>
      </c>
      <c r="BF95" s="160">
        <v>0.32</v>
      </c>
      <c r="BG95" s="160">
        <v>2.42</v>
      </c>
      <c r="BH95" s="160">
        <v>0.09</v>
      </c>
      <c r="BI95" s="160">
        <v>0.91</v>
      </c>
      <c r="BJ95" s="160">
        <v>0.49</v>
      </c>
      <c r="BL95" s="167"/>
    </row>
    <row r="96" spans="1:64" s="88" customFormat="1" ht="14.1" customHeight="1">
      <c r="A96" s="156" t="s">
        <v>357</v>
      </c>
      <c r="B96" s="165" t="s">
        <v>511</v>
      </c>
      <c r="C96" s="165" t="s">
        <v>686</v>
      </c>
      <c r="D96" s="165" t="s">
        <v>647</v>
      </c>
      <c r="E96" s="165" t="s">
        <v>170</v>
      </c>
      <c r="F96" s="165">
        <v>1055</v>
      </c>
      <c r="G96" s="165">
        <v>14</v>
      </c>
      <c r="H96" s="165">
        <v>18</v>
      </c>
      <c r="I96" s="165">
        <v>5.8</v>
      </c>
      <c r="J96" s="165">
        <v>93</v>
      </c>
      <c r="K96" s="166" t="s">
        <v>514</v>
      </c>
      <c r="L96" s="165">
        <v>2024</v>
      </c>
      <c r="M96" s="165" t="s">
        <v>648</v>
      </c>
      <c r="N96" s="165">
        <v>9</v>
      </c>
      <c r="O96" s="181">
        <v>253</v>
      </c>
      <c r="P96" s="165" t="s">
        <v>687</v>
      </c>
      <c r="Q96" s="165">
        <v>-70.912000000000006</v>
      </c>
      <c r="R96" s="165">
        <v>40.351999999999997</v>
      </c>
      <c r="S96" s="165" t="s">
        <v>172</v>
      </c>
      <c r="T96" s="165">
        <v>25</v>
      </c>
      <c r="U96" s="166" t="s">
        <v>516</v>
      </c>
      <c r="V96" s="158">
        <v>0.217</v>
      </c>
      <c r="W96" s="158">
        <v>2.3E-2</v>
      </c>
      <c r="X96" s="158">
        <v>3.3000000000000002E-2</v>
      </c>
      <c r="Y96" s="157">
        <v>2.3E-2</v>
      </c>
      <c r="Z96" s="159">
        <v>0.01</v>
      </c>
      <c r="AA96" s="89">
        <v>2.1999999999999999E-2</v>
      </c>
      <c r="AB96" s="89">
        <v>1E-3</v>
      </c>
      <c r="AC96" s="89">
        <v>1.0999999999999999E-2</v>
      </c>
      <c r="AD96" s="89">
        <v>1E-3</v>
      </c>
      <c r="AE96" s="89">
        <v>0.03</v>
      </c>
      <c r="AF96" s="89">
        <v>8.9999999999999993E-3</v>
      </c>
      <c r="AG96" s="89">
        <v>6.8000000000000005E-2</v>
      </c>
      <c r="AH96" s="89">
        <v>0.17899999999999999</v>
      </c>
      <c r="AI96" s="89">
        <v>2.9000000000000001E-2</v>
      </c>
      <c r="AJ96" s="89">
        <v>8.9999999999999993E-3</v>
      </c>
      <c r="AK96" s="89">
        <v>0.02</v>
      </c>
      <c r="AL96" s="89">
        <v>3.0000000000000001E-3</v>
      </c>
      <c r="AM96" s="89">
        <v>0.02</v>
      </c>
      <c r="AN96" s="89">
        <v>1.2999999999999999E-2</v>
      </c>
      <c r="AO96" s="89">
        <v>-8888</v>
      </c>
      <c r="AP96" s="89">
        <v>3.0000000000000001E-3</v>
      </c>
      <c r="AQ96" s="89">
        <v>4.0000000000000001E-3</v>
      </c>
      <c r="AR96" s="89">
        <v>3.0000000000000001E-3</v>
      </c>
      <c r="AS96" s="89">
        <v>4.0000000000000001E-3</v>
      </c>
      <c r="AT96" s="89">
        <v>7.0000000000000001E-3</v>
      </c>
      <c r="AU96" s="89">
        <v>-8888</v>
      </c>
      <c r="AV96" s="89">
        <v>0.27300000000000002</v>
      </c>
      <c r="AW96" s="89">
        <v>0.10400000000000001</v>
      </c>
      <c r="AX96" s="89">
        <v>7.0999999999999994E-2</v>
      </c>
      <c r="AY96" s="89">
        <v>0.34400000000000003</v>
      </c>
      <c r="AZ96" s="89">
        <v>0.17499999999999999</v>
      </c>
      <c r="BA96" s="89">
        <v>0.23099999999999998</v>
      </c>
      <c r="BB96" s="89">
        <v>0.44799999999999995</v>
      </c>
      <c r="BC96" s="89">
        <v>0.16299999999999998</v>
      </c>
      <c r="BD96" s="160">
        <v>1.06</v>
      </c>
      <c r="BE96" s="160">
        <v>0.41</v>
      </c>
      <c r="BF96" s="160">
        <v>0.59</v>
      </c>
      <c r="BG96" s="160">
        <v>1.56</v>
      </c>
      <c r="BH96" s="160">
        <v>0.23</v>
      </c>
      <c r="BI96" s="160">
        <v>0.77</v>
      </c>
      <c r="BJ96" s="160">
        <v>0.48</v>
      </c>
      <c r="BL96" s="167"/>
    </row>
    <row r="97" spans="1:64" s="88" customFormat="1" ht="14.1" customHeight="1">
      <c r="A97" s="156" t="s">
        <v>358</v>
      </c>
      <c r="B97" s="165" t="s">
        <v>511</v>
      </c>
      <c r="C97" s="165" t="s">
        <v>688</v>
      </c>
      <c r="D97" s="165" t="s">
        <v>647</v>
      </c>
      <c r="E97" s="165" t="s">
        <v>170</v>
      </c>
      <c r="F97" s="165">
        <v>1055</v>
      </c>
      <c r="G97" s="165">
        <v>15</v>
      </c>
      <c r="H97" s="165">
        <v>8</v>
      </c>
      <c r="I97" s="165">
        <v>37.6</v>
      </c>
      <c r="J97" s="165">
        <v>137</v>
      </c>
      <c r="K97" s="166" t="s">
        <v>514</v>
      </c>
      <c r="L97" s="165">
        <v>2024</v>
      </c>
      <c r="M97" s="165" t="s">
        <v>648</v>
      </c>
      <c r="N97" s="165">
        <v>9</v>
      </c>
      <c r="O97" s="181">
        <v>253</v>
      </c>
      <c r="P97" s="165" t="s">
        <v>689</v>
      </c>
      <c r="Q97" s="165">
        <v>-70.884</v>
      </c>
      <c r="R97" s="165">
        <v>40.151000000000003</v>
      </c>
      <c r="S97" s="165" t="s">
        <v>172</v>
      </c>
      <c r="T97" s="165">
        <v>25</v>
      </c>
      <c r="U97" s="166" t="s">
        <v>516</v>
      </c>
      <c r="V97" s="158">
        <v>0.35499999999999998</v>
      </c>
      <c r="W97" s="158">
        <v>3.7000000000000005E-2</v>
      </c>
      <c r="X97" s="158">
        <v>0.122</v>
      </c>
      <c r="Y97" s="157">
        <v>1.4999999999999999E-2</v>
      </c>
      <c r="Z97" s="159">
        <v>1.9E-2</v>
      </c>
      <c r="AA97" s="89">
        <v>9.9000000000000005E-2</v>
      </c>
      <c r="AB97" s="89">
        <v>8.9999999999999993E-3</v>
      </c>
      <c r="AC97" s="89">
        <v>1.0999999999999999E-2</v>
      </c>
      <c r="AD97" s="89">
        <v>1E-3</v>
      </c>
      <c r="AE97" s="89">
        <v>0.107</v>
      </c>
      <c r="AF97" s="89">
        <v>2E-3</v>
      </c>
      <c r="AG97" s="89">
        <v>6.0000000000000001E-3</v>
      </c>
      <c r="AH97" s="89">
        <v>0.35299999999999998</v>
      </c>
      <c r="AI97" s="89">
        <v>-8888</v>
      </c>
      <c r="AJ97" s="89">
        <v>2E-3</v>
      </c>
      <c r="AK97" s="89">
        <v>3.5000000000000003E-2</v>
      </c>
      <c r="AL97" s="89">
        <v>2E-3</v>
      </c>
      <c r="AM97" s="89">
        <v>0.04</v>
      </c>
      <c r="AN97" s="89">
        <v>8.2000000000000003E-2</v>
      </c>
      <c r="AO97" s="89">
        <v>1E-3</v>
      </c>
      <c r="AP97" s="89">
        <v>3.0000000000000001E-3</v>
      </c>
      <c r="AQ97" s="89">
        <v>2E-3</v>
      </c>
      <c r="AR97" s="89">
        <v>6.0000000000000001E-3</v>
      </c>
      <c r="AS97" s="89">
        <v>2.1999999999999999E-2</v>
      </c>
      <c r="AT97" s="89">
        <v>-8888</v>
      </c>
      <c r="AU97" s="89">
        <v>-8888</v>
      </c>
      <c r="AV97" s="89">
        <v>0.51400000000000001</v>
      </c>
      <c r="AW97" s="89">
        <v>4.1999999999999996E-2</v>
      </c>
      <c r="AX97" s="89">
        <v>0.22700000000000001</v>
      </c>
      <c r="AY97" s="89">
        <v>0.74099999999999999</v>
      </c>
      <c r="AZ97" s="89">
        <v>0.26900000000000002</v>
      </c>
      <c r="BA97" s="89">
        <v>0.42800000000000005</v>
      </c>
      <c r="BB97" s="89">
        <v>0.78300000000000003</v>
      </c>
      <c r="BC97" s="89">
        <v>0.27900000000000003</v>
      </c>
      <c r="BD97" s="160">
        <v>1.21</v>
      </c>
      <c r="BE97" s="160">
        <v>0.84</v>
      </c>
      <c r="BF97" s="160">
        <v>0.16</v>
      </c>
      <c r="BG97" s="160">
        <v>1.91</v>
      </c>
      <c r="BH97" s="160">
        <v>0.05</v>
      </c>
      <c r="BI97" s="160">
        <v>0.95</v>
      </c>
      <c r="BJ97" s="160">
        <v>0.45</v>
      </c>
      <c r="BL97" s="167"/>
    </row>
    <row r="98" spans="1:64" s="88" customFormat="1" ht="14.1" customHeight="1">
      <c r="A98" s="156" t="s">
        <v>359</v>
      </c>
      <c r="B98" s="165" t="s">
        <v>511</v>
      </c>
      <c r="C98" s="165" t="s">
        <v>690</v>
      </c>
      <c r="D98" s="165" t="s">
        <v>647</v>
      </c>
      <c r="E98" s="165" t="s">
        <v>173</v>
      </c>
      <c r="F98" s="165">
        <v>547</v>
      </c>
      <c r="G98" s="165">
        <v>15</v>
      </c>
      <c r="H98" s="165">
        <v>11</v>
      </c>
      <c r="I98" s="165">
        <v>24.6</v>
      </c>
      <c r="J98" s="165">
        <v>137</v>
      </c>
      <c r="K98" s="166" t="s">
        <v>514</v>
      </c>
      <c r="L98" s="165">
        <v>2024</v>
      </c>
      <c r="M98" s="165" t="s">
        <v>648</v>
      </c>
      <c r="N98" s="165">
        <v>9</v>
      </c>
      <c r="O98" s="181">
        <v>253</v>
      </c>
      <c r="P98" s="165" t="s">
        <v>659</v>
      </c>
      <c r="Q98" s="165">
        <v>-70.884</v>
      </c>
      <c r="R98" s="165">
        <v>40.15</v>
      </c>
      <c r="S98" s="165" t="s">
        <v>172</v>
      </c>
      <c r="T98" s="165">
        <v>25</v>
      </c>
      <c r="U98" s="166" t="s">
        <v>516</v>
      </c>
      <c r="V98" s="158">
        <v>1.863</v>
      </c>
      <c r="W98" s="158">
        <v>0.35299999999999998</v>
      </c>
      <c r="X98" s="158">
        <v>0.47699999999999998</v>
      </c>
      <c r="Y98" s="157">
        <v>9.6000000000000002E-2</v>
      </c>
      <c r="Z98" s="159">
        <v>7.2999999999999995E-2</v>
      </c>
      <c r="AA98" s="89">
        <v>0.49399999999999999</v>
      </c>
      <c r="AB98" s="89">
        <v>4.8000000000000001E-2</v>
      </c>
      <c r="AC98" s="89">
        <v>6.4000000000000001E-2</v>
      </c>
      <c r="AD98" s="89">
        <v>-8888</v>
      </c>
      <c r="AE98" s="89">
        <v>0.27500000000000002</v>
      </c>
      <c r="AF98" s="89">
        <v>7.1999999999999995E-2</v>
      </c>
      <c r="AG98" s="89">
        <v>5.8999999999999997E-2</v>
      </c>
      <c r="AH98" s="89">
        <v>1.853</v>
      </c>
      <c r="AI98" s="89">
        <v>-8888</v>
      </c>
      <c r="AJ98" s="89">
        <v>0.01</v>
      </c>
      <c r="AK98" s="89">
        <v>0.34699999999999998</v>
      </c>
      <c r="AL98" s="89">
        <v>6.0000000000000001E-3</v>
      </c>
      <c r="AM98" s="89">
        <v>0.23599999999999999</v>
      </c>
      <c r="AN98" s="89">
        <v>0.24099999999999999</v>
      </c>
      <c r="AO98" s="89">
        <v>7.0000000000000001E-3</v>
      </c>
      <c r="AP98" s="89">
        <v>3.5999999999999997E-2</v>
      </c>
      <c r="AQ98" s="89">
        <v>2.5000000000000001E-2</v>
      </c>
      <c r="AR98" s="89">
        <v>1.7000000000000001E-2</v>
      </c>
      <c r="AS98" s="89">
        <v>1.9E-2</v>
      </c>
      <c r="AT98" s="89">
        <v>6.8000000000000005E-2</v>
      </c>
      <c r="AU98" s="89">
        <v>-8888</v>
      </c>
      <c r="AV98" s="89">
        <v>2.6930000000000001</v>
      </c>
      <c r="AW98" s="89">
        <v>0.26700000000000002</v>
      </c>
      <c r="AX98" s="89">
        <v>0.91400000000000003</v>
      </c>
      <c r="AY98" s="89">
        <v>3.6070000000000002</v>
      </c>
      <c r="AZ98" s="89">
        <v>1.181</v>
      </c>
      <c r="BA98" s="89">
        <v>2.0110000000000001</v>
      </c>
      <c r="BB98" s="89">
        <v>3.8740000000000001</v>
      </c>
      <c r="BC98" s="89">
        <v>1.3740000000000001</v>
      </c>
      <c r="BD98" s="160">
        <v>1.08</v>
      </c>
      <c r="BE98" s="160">
        <v>0.77</v>
      </c>
      <c r="BF98" s="160">
        <v>0.23</v>
      </c>
      <c r="BG98" s="160">
        <v>2.2799999999999998</v>
      </c>
      <c r="BH98" s="160">
        <v>7.0000000000000007E-2</v>
      </c>
      <c r="BI98" s="160">
        <v>0.93</v>
      </c>
      <c r="BJ98" s="160">
        <v>0.48</v>
      </c>
      <c r="BL98" s="167"/>
    </row>
    <row r="99" spans="1:64" s="88" customFormat="1" ht="14.1" customHeight="1">
      <c r="A99" s="156" t="s">
        <v>360</v>
      </c>
      <c r="B99" s="165" t="s">
        <v>511</v>
      </c>
      <c r="C99" s="165" t="s">
        <v>691</v>
      </c>
      <c r="D99" s="165" t="s">
        <v>647</v>
      </c>
      <c r="E99" s="165" t="s">
        <v>173</v>
      </c>
      <c r="F99" s="165">
        <v>547</v>
      </c>
      <c r="G99" s="165">
        <v>15</v>
      </c>
      <c r="H99" s="165">
        <v>11</v>
      </c>
      <c r="I99" s="165">
        <v>24.6</v>
      </c>
      <c r="J99" s="165">
        <v>137</v>
      </c>
      <c r="K99" s="166" t="s">
        <v>514</v>
      </c>
      <c r="L99" s="165">
        <v>2024</v>
      </c>
      <c r="M99" s="165" t="s">
        <v>648</v>
      </c>
      <c r="N99" s="165">
        <v>9</v>
      </c>
      <c r="O99" s="181">
        <v>253</v>
      </c>
      <c r="P99" s="165" t="s">
        <v>659</v>
      </c>
      <c r="Q99" s="165">
        <v>-70.884</v>
      </c>
      <c r="R99" s="165">
        <v>40.15</v>
      </c>
      <c r="S99" s="165" t="s">
        <v>172</v>
      </c>
      <c r="T99" s="165">
        <v>25</v>
      </c>
      <c r="U99" s="166" t="s">
        <v>516</v>
      </c>
      <c r="V99" s="158">
        <v>2.0129999999999999</v>
      </c>
      <c r="W99" s="158">
        <v>0.36599999999999999</v>
      </c>
      <c r="X99" s="158">
        <v>0.54200000000000004</v>
      </c>
      <c r="Y99" s="157">
        <v>9.9000000000000005E-2</v>
      </c>
      <c r="Z99" s="159">
        <v>7.8E-2</v>
      </c>
      <c r="AA99" s="89">
        <v>0.60399999999999998</v>
      </c>
      <c r="AB99" s="89">
        <v>5.1999999999999998E-2</v>
      </c>
      <c r="AC99" s="89">
        <v>7.3999999999999996E-2</v>
      </c>
      <c r="AD99" s="89">
        <v>-8888</v>
      </c>
      <c r="AE99" s="89">
        <v>0.28100000000000003</v>
      </c>
      <c r="AF99" s="89">
        <v>8.7999999999999995E-2</v>
      </c>
      <c r="AG99" s="89">
        <v>4.7E-2</v>
      </c>
      <c r="AH99" s="89">
        <v>2.0030000000000001</v>
      </c>
      <c r="AI99" s="89">
        <v>-8888</v>
      </c>
      <c r="AJ99" s="89">
        <v>0.01</v>
      </c>
      <c r="AK99" s="89">
        <v>0.36</v>
      </c>
      <c r="AL99" s="89">
        <v>6.0000000000000001E-3</v>
      </c>
      <c r="AM99" s="89">
        <v>0.26400000000000001</v>
      </c>
      <c r="AN99" s="89">
        <v>0.27800000000000002</v>
      </c>
      <c r="AO99" s="89">
        <v>7.0000000000000001E-3</v>
      </c>
      <c r="AP99" s="89">
        <v>3.9E-2</v>
      </c>
      <c r="AQ99" s="89">
        <v>2.5000000000000001E-2</v>
      </c>
      <c r="AR99" s="89">
        <v>1.9E-2</v>
      </c>
      <c r="AS99" s="89">
        <v>1.9E-2</v>
      </c>
      <c r="AT99" s="89">
        <v>7.0999999999999994E-2</v>
      </c>
      <c r="AU99" s="89">
        <v>-8888</v>
      </c>
      <c r="AV99" s="89">
        <v>2.9210000000000003</v>
      </c>
      <c r="AW99" s="89">
        <v>0.27200000000000002</v>
      </c>
      <c r="AX99" s="89">
        <v>1.0510000000000002</v>
      </c>
      <c r="AY99" s="89">
        <v>3.9720000000000004</v>
      </c>
      <c r="AZ99" s="89">
        <v>1.3230000000000002</v>
      </c>
      <c r="BA99" s="89">
        <v>2.2309999999999999</v>
      </c>
      <c r="BB99" s="89">
        <v>4.2439999999999998</v>
      </c>
      <c r="BC99" s="89">
        <v>1.516</v>
      </c>
      <c r="BD99" s="160">
        <v>1.1100000000000001</v>
      </c>
      <c r="BE99" s="160">
        <v>0.79</v>
      </c>
      <c r="BF99" s="160">
        <v>0.21</v>
      </c>
      <c r="BG99" s="160">
        <v>2.21</v>
      </c>
      <c r="BH99" s="160">
        <v>0.06</v>
      </c>
      <c r="BI99" s="160">
        <v>0.94</v>
      </c>
      <c r="BJ99" s="160">
        <v>0.47</v>
      </c>
      <c r="BL99" s="167"/>
    </row>
    <row r="100" spans="1:64" s="88" customFormat="1" ht="14.1" customHeight="1">
      <c r="A100" s="156" t="s">
        <v>361</v>
      </c>
      <c r="B100" s="165" t="s">
        <v>511</v>
      </c>
      <c r="C100" s="165" t="s">
        <v>692</v>
      </c>
      <c r="D100" s="165" t="s">
        <v>647</v>
      </c>
      <c r="E100" s="165" t="s">
        <v>170</v>
      </c>
      <c r="F100" s="165">
        <v>1055</v>
      </c>
      <c r="G100" s="165">
        <v>15</v>
      </c>
      <c r="H100" s="165">
        <v>18</v>
      </c>
      <c r="I100" s="165">
        <v>3.9</v>
      </c>
      <c r="J100" s="165">
        <v>137</v>
      </c>
      <c r="K100" s="166" t="s">
        <v>514</v>
      </c>
      <c r="L100" s="165">
        <v>2024</v>
      </c>
      <c r="M100" s="165" t="s">
        <v>648</v>
      </c>
      <c r="N100" s="165">
        <v>9</v>
      </c>
      <c r="O100" s="181">
        <v>253</v>
      </c>
      <c r="P100" s="165" t="s">
        <v>693</v>
      </c>
      <c r="Q100" s="165">
        <v>-70.884</v>
      </c>
      <c r="R100" s="165">
        <v>40.15</v>
      </c>
      <c r="S100" s="165" t="s">
        <v>172</v>
      </c>
      <c r="T100" s="165">
        <v>25</v>
      </c>
      <c r="U100" s="166" t="s">
        <v>516</v>
      </c>
      <c r="V100" s="158">
        <v>0.27300000000000002</v>
      </c>
      <c r="W100" s="158">
        <v>4.8000000000000001E-2</v>
      </c>
      <c r="X100" s="158">
        <v>3.3000000000000002E-2</v>
      </c>
      <c r="Y100" s="157">
        <v>3.4000000000000002E-2</v>
      </c>
      <c r="Z100" s="159">
        <v>1.0999999999999999E-2</v>
      </c>
      <c r="AA100" s="89">
        <v>2.5999999999999999E-2</v>
      </c>
      <c r="AB100" s="89">
        <v>2E-3</v>
      </c>
      <c r="AC100" s="89">
        <v>1.0999999999999999E-2</v>
      </c>
      <c r="AD100" s="89">
        <v>2E-3</v>
      </c>
      <c r="AE100" s="89">
        <v>2.5000000000000001E-2</v>
      </c>
      <c r="AF100" s="89">
        <v>3.0000000000000001E-3</v>
      </c>
      <c r="AG100" s="89">
        <v>0.128</v>
      </c>
      <c r="AH100" s="89">
        <v>0.20200000000000001</v>
      </c>
      <c r="AI100" s="89">
        <v>6.7000000000000004E-2</v>
      </c>
      <c r="AJ100" s="89">
        <v>4.0000000000000001E-3</v>
      </c>
      <c r="AK100" s="89">
        <v>4.1000000000000002E-2</v>
      </c>
      <c r="AL100" s="89">
        <v>7.0000000000000001E-3</v>
      </c>
      <c r="AM100" s="89">
        <v>1.9E-2</v>
      </c>
      <c r="AN100" s="89">
        <v>1.4E-2</v>
      </c>
      <c r="AO100" s="89">
        <v>1E-3</v>
      </c>
      <c r="AP100" s="89">
        <v>4.0000000000000001E-3</v>
      </c>
      <c r="AQ100" s="89">
        <v>6.0000000000000001E-3</v>
      </c>
      <c r="AR100" s="89">
        <v>3.0000000000000001E-3</v>
      </c>
      <c r="AS100" s="89">
        <v>3.0000000000000001E-3</v>
      </c>
      <c r="AT100" s="89">
        <v>1.2999999999999999E-2</v>
      </c>
      <c r="AU100" s="89">
        <v>-8888</v>
      </c>
      <c r="AV100" s="89">
        <v>0.35399999999999998</v>
      </c>
      <c r="AW100" s="89">
        <v>0.17700000000000002</v>
      </c>
      <c r="AX100" s="89">
        <v>6.5000000000000002E-2</v>
      </c>
      <c r="AY100" s="89">
        <v>0.41899999999999998</v>
      </c>
      <c r="AZ100" s="89">
        <v>0.24200000000000002</v>
      </c>
      <c r="BA100" s="89">
        <v>0.32300000000000006</v>
      </c>
      <c r="BB100" s="89">
        <v>0.59600000000000009</v>
      </c>
      <c r="BC100" s="89">
        <v>0.24299999999999999</v>
      </c>
      <c r="BD100" s="160">
        <v>1.18</v>
      </c>
      <c r="BE100" s="160">
        <v>0.27</v>
      </c>
      <c r="BF100" s="160">
        <v>0.73</v>
      </c>
      <c r="BG100" s="160">
        <v>1.46</v>
      </c>
      <c r="BH100" s="160">
        <v>0.3</v>
      </c>
      <c r="BI100" s="160">
        <v>0.7</v>
      </c>
      <c r="BJ100" s="160">
        <v>0.46</v>
      </c>
      <c r="BL100" s="167"/>
    </row>
    <row r="101" spans="1:64" s="88" customFormat="1" ht="14.1" customHeight="1">
      <c r="A101" s="156" t="s">
        <v>362</v>
      </c>
      <c r="B101" s="165" t="s">
        <v>511</v>
      </c>
      <c r="C101" s="165" t="s">
        <v>694</v>
      </c>
      <c r="D101" s="165" t="s">
        <v>647</v>
      </c>
      <c r="E101" s="165" t="s">
        <v>170</v>
      </c>
      <c r="F101" s="165">
        <v>547</v>
      </c>
      <c r="G101" s="165">
        <v>16</v>
      </c>
      <c r="H101" s="165">
        <v>8</v>
      </c>
      <c r="I101" s="165">
        <v>30.2</v>
      </c>
      <c r="J101" s="165">
        <v>122</v>
      </c>
      <c r="K101" s="166" t="s">
        <v>514</v>
      </c>
      <c r="L101" s="165">
        <v>2024</v>
      </c>
      <c r="M101" s="165" t="s">
        <v>648</v>
      </c>
      <c r="N101" s="165">
        <v>9</v>
      </c>
      <c r="O101" s="181">
        <v>253</v>
      </c>
      <c r="P101" s="165" t="s">
        <v>695</v>
      </c>
      <c r="Q101" s="165">
        <v>-70.887</v>
      </c>
      <c r="R101" s="165">
        <v>40.247</v>
      </c>
      <c r="S101" s="165" t="s">
        <v>172</v>
      </c>
      <c r="T101" s="165">
        <v>25</v>
      </c>
      <c r="U101" s="166" t="s">
        <v>516</v>
      </c>
      <c r="V101" s="158">
        <v>4.1310000000000002</v>
      </c>
      <c r="W101" s="158">
        <v>0.79100000000000004</v>
      </c>
      <c r="X101" s="158">
        <v>1.1040000000000001</v>
      </c>
      <c r="Y101" s="157">
        <v>0.219</v>
      </c>
      <c r="Z101" s="159">
        <v>0.13</v>
      </c>
      <c r="AA101" s="89">
        <v>0.96799999999999997</v>
      </c>
      <c r="AB101" s="89">
        <v>0.193</v>
      </c>
      <c r="AC101" s="89">
        <v>0.129</v>
      </c>
      <c r="AD101" s="89">
        <v>-8888</v>
      </c>
      <c r="AE101" s="89">
        <v>0.54600000000000004</v>
      </c>
      <c r="AF101" s="89">
        <v>0.27300000000000002</v>
      </c>
      <c r="AG101" s="89">
        <v>0.114</v>
      </c>
      <c r="AH101" s="89">
        <v>4.0590000000000002</v>
      </c>
      <c r="AI101" s="89">
        <v>0.05</v>
      </c>
      <c r="AJ101" s="89">
        <v>2.1999999999999999E-2</v>
      </c>
      <c r="AK101" s="89">
        <v>0.75</v>
      </c>
      <c r="AL101" s="89">
        <v>4.1000000000000002E-2</v>
      </c>
      <c r="AM101" s="89">
        <v>0.59699999999999998</v>
      </c>
      <c r="AN101" s="89">
        <v>0.50700000000000001</v>
      </c>
      <c r="AO101" s="89">
        <v>1.4E-2</v>
      </c>
      <c r="AP101" s="89">
        <v>7.6999999999999999E-2</v>
      </c>
      <c r="AQ101" s="89">
        <v>3.4000000000000002E-2</v>
      </c>
      <c r="AR101" s="89">
        <v>3.6999999999999998E-2</v>
      </c>
      <c r="AS101" s="89">
        <v>3.5999999999999997E-2</v>
      </c>
      <c r="AT101" s="89">
        <v>0.13600000000000001</v>
      </c>
      <c r="AU101" s="89">
        <v>-8888</v>
      </c>
      <c r="AV101" s="89">
        <v>6.0260000000000007</v>
      </c>
      <c r="AW101" s="89">
        <v>0.65500000000000003</v>
      </c>
      <c r="AX101" s="89">
        <v>1.9170000000000003</v>
      </c>
      <c r="AY101" s="89">
        <v>7.9430000000000014</v>
      </c>
      <c r="AZ101" s="89">
        <v>2.5720000000000001</v>
      </c>
      <c r="BA101" s="89">
        <v>4.4670000000000005</v>
      </c>
      <c r="BB101" s="89">
        <v>8.5980000000000008</v>
      </c>
      <c r="BC101" s="89">
        <v>3.0150000000000006</v>
      </c>
      <c r="BD101" s="160">
        <v>1.08</v>
      </c>
      <c r="BE101" s="160">
        <v>0.75</v>
      </c>
      <c r="BF101" s="160">
        <v>0.25</v>
      </c>
      <c r="BG101" s="160">
        <v>2.34</v>
      </c>
      <c r="BH101" s="160">
        <v>0.08</v>
      </c>
      <c r="BI101" s="160">
        <v>0.92</v>
      </c>
      <c r="BJ101" s="160">
        <v>0.48</v>
      </c>
      <c r="BL101" s="167"/>
    </row>
    <row r="102" spans="1:64" s="88" customFormat="1" ht="14.1" customHeight="1">
      <c r="A102" s="156" t="s">
        <v>363</v>
      </c>
      <c r="B102" s="165" t="s">
        <v>511</v>
      </c>
      <c r="C102" s="165" t="s">
        <v>696</v>
      </c>
      <c r="D102" s="165" t="s">
        <v>647</v>
      </c>
      <c r="E102" s="165" t="s">
        <v>170</v>
      </c>
      <c r="F102" s="165">
        <v>1055</v>
      </c>
      <c r="G102" s="165">
        <v>16</v>
      </c>
      <c r="H102" s="165">
        <v>19</v>
      </c>
      <c r="I102" s="165">
        <v>4.2</v>
      </c>
      <c r="J102" s="165">
        <v>122</v>
      </c>
      <c r="K102" s="166" t="s">
        <v>514</v>
      </c>
      <c r="L102" s="165">
        <v>2024</v>
      </c>
      <c r="M102" s="165" t="s">
        <v>648</v>
      </c>
      <c r="N102" s="165">
        <v>9</v>
      </c>
      <c r="O102" s="181">
        <v>253</v>
      </c>
      <c r="P102" s="165" t="s">
        <v>697</v>
      </c>
      <c r="Q102" s="165">
        <v>-70.888000000000005</v>
      </c>
      <c r="R102" s="165">
        <v>40.244999999999997</v>
      </c>
      <c r="S102" s="165" t="s">
        <v>172</v>
      </c>
      <c r="T102" s="165">
        <v>25</v>
      </c>
      <c r="U102" s="166" t="s">
        <v>516</v>
      </c>
      <c r="V102" s="158">
        <v>0.36000000000000004</v>
      </c>
      <c r="W102" s="158">
        <v>5.2000000000000005E-2</v>
      </c>
      <c r="X102" s="158">
        <v>5.5999999999999994E-2</v>
      </c>
      <c r="Y102" s="157">
        <v>3.2000000000000001E-2</v>
      </c>
      <c r="Z102" s="159">
        <v>1.4E-2</v>
      </c>
      <c r="AA102" s="89">
        <v>0.03</v>
      </c>
      <c r="AB102" s="89">
        <v>5.0000000000000001E-3</v>
      </c>
      <c r="AC102" s="89">
        <v>2.7E-2</v>
      </c>
      <c r="AD102" s="89">
        <v>4.0000000000000001E-3</v>
      </c>
      <c r="AE102" s="89">
        <v>0.05</v>
      </c>
      <c r="AF102" s="89">
        <v>2.7E-2</v>
      </c>
      <c r="AG102" s="89">
        <v>0.108</v>
      </c>
      <c r="AH102" s="89">
        <v>0.314</v>
      </c>
      <c r="AI102" s="89">
        <v>2.9000000000000001E-2</v>
      </c>
      <c r="AJ102" s="89">
        <v>1.7000000000000001E-2</v>
      </c>
      <c r="AK102" s="89">
        <v>4.9000000000000002E-2</v>
      </c>
      <c r="AL102" s="89">
        <v>3.0000000000000001E-3</v>
      </c>
      <c r="AM102" s="89">
        <v>3.5999999999999997E-2</v>
      </c>
      <c r="AN102" s="89">
        <v>0.02</v>
      </c>
      <c r="AO102" s="89">
        <v>3.0000000000000001E-3</v>
      </c>
      <c r="AP102" s="89">
        <v>6.0000000000000001E-3</v>
      </c>
      <c r="AQ102" s="89">
        <v>8.9999999999999993E-3</v>
      </c>
      <c r="AR102" s="89">
        <v>3.0000000000000001E-3</v>
      </c>
      <c r="AS102" s="89">
        <v>5.0000000000000001E-3</v>
      </c>
      <c r="AT102" s="89">
        <v>1.6E-2</v>
      </c>
      <c r="AU102" s="89">
        <v>-8888</v>
      </c>
      <c r="AV102" s="89">
        <v>0.46800000000000003</v>
      </c>
      <c r="AW102" s="89">
        <v>0.17600000000000002</v>
      </c>
      <c r="AX102" s="89">
        <v>0.121</v>
      </c>
      <c r="AY102" s="89">
        <v>0.58899999999999997</v>
      </c>
      <c r="AZ102" s="89">
        <v>0.29700000000000004</v>
      </c>
      <c r="BA102" s="89">
        <v>0.40500000000000003</v>
      </c>
      <c r="BB102" s="89">
        <v>0.76500000000000012</v>
      </c>
      <c r="BC102" s="89">
        <v>0.28600000000000003</v>
      </c>
      <c r="BD102" s="160">
        <v>1.1299999999999999</v>
      </c>
      <c r="BE102" s="160">
        <v>0.41</v>
      </c>
      <c r="BF102" s="160">
        <v>0.59</v>
      </c>
      <c r="BG102" s="160">
        <v>1.58</v>
      </c>
      <c r="BH102" s="160">
        <v>0.23</v>
      </c>
      <c r="BI102" s="160">
        <v>0.77</v>
      </c>
      <c r="BJ102" s="160">
        <v>0.47</v>
      </c>
      <c r="BL102" s="167"/>
    </row>
    <row r="103" spans="1:64" s="88" customFormat="1" ht="14.1" customHeight="1">
      <c r="A103" s="156" t="s">
        <v>365</v>
      </c>
      <c r="B103" s="165" t="s">
        <v>511</v>
      </c>
      <c r="C103" s="165" t="s">
        <v>698</v>
      </c>
      <c r="D103" s="165" t="s">
        <v>647</v>
      </c>
      <c r="E103" s="165" t="s">
        <v>173</v>
      </c>
      <c r="F103" s="165">
        <v>542</v>
      </c>
      <c r="G103" s="165">
        <v>19</v>
      </c>
      <c r="H103" s="165">
        <v>10</v>
      </c>
      <c r="I103" s="165">
        <v>39.6</v>
      </c>
      <c r="J103" s="165">
        <v>205</v>
      </c>
      <c r="K103" s="166" t="s">
        <v>514</v>
      </c>
      <c r="L103" s="165">
        <v>2024</v>
      </c>
      <c r="M103" s="165" t="s">
        <v>648</v>
      </c>
      <c r="N103" s="165">
        <v>10</v>
      </c>
      <c r="O103" s="181">
        <v>254</v>
      </c>
      <c r="P103" s="165" t="s">
        <v>699</v>
      </c>
      <c r="Q103" s="165">
        <v>-70.885000000000005</v>
      </c>
      <c r="R103" s="165">
        <v>40.042999999999999</v>
      </c>
      <c r="S103" s="165" t="s">
        <v>172</v>
      </c>
      <c r="T103" s="165">
        <v>25</v>
      </c>
      <c r="U103" s="166" t="s">
        <v>516</v>
      </c>
      <c r="V103" s="158">
        <v>1.45</v>
      </c>
      <c r="W103" s="158">
        <v>0.33399999999999996</v>
      </c>
      <c r="X103" s="158">
        <v>0.39300000000000002</v>
      </c>
      <c r="Y103" s="157">
        <v>0.08</v>
      </c>
      <c r="Z103" s="159">
        <v>0.127</v>
      </c>
      <c r="AA103" s="89">
        <v>0.41199999999999998</v>
      </c>
      <c r="AB103" s="89">
        <v>5.8999999999999997E-2</v>
      </c>
      <c r="AC103" s="89">
        <v>4.2000000000000003E-2</v>
      </c>
      <c r="AD103" s="89">
        <v>2E-3</v>
      </c>
      <c r="AE103" s="89">
        <v>0.1</v>
      </c>
      <c r="AF103" s="89">
        <v>3.5000000000000003E-2</v>
      </c>
      <c r="AG103" s="89">
        <v>6.0999999999999999E-2</v>
      </c>
      <c r="AH103" s="89">
        <v>1.3620000000000001</v>
      </c>
      <c r="AI103" s="89">
        <v>7.6999999999999999E-2</v>
      </c>
      <c r="AJ103" s="89">
        <v>1.0999999999999999E-2</v>
      </c>
      <c r="AK103" s="89">
        <v>0.30099999999999999</v>
      </c>
      <c r="AL103" s="89">
        <v>3.3000000000000002E-2</v>
      </c>
      <c r="AM103" s="89">
        <v>0.19</v>
      </c>
      <c r="AN103" s="89">
        <v>0.20300000000000001</v>
      </c>
      <c r="AO103" s="89">
        <v>3.0000000000000001E-3</v>
      </c>
      <c r="AP103" s="89">
        <v>2.8000000000000001E-2</v>
      </c>
      <c r="AQ103" s="89">
        <v>1.4E-2</v>
      </c>
      <c r="AR103" s="89">
        <v>1.2999999999999999E-2</v>
      </c>
      <c r="AS103" s="89">
        <v>1.2999999999999999E-2</v>
      </c>
      <c r="AT103" s="89">
        <v>0.04</v>
      </c>
      <c r="AU103" s="89">
        <v>-8888</v>
      </c>
      <c r="AV103" s="89">
        <v>2.1769999999999996</v>
      </c>
      <c r="AW103" s="89">
        <v>0.24399999999999999</v>
      </c>
      <c r="AX103" s="89">
        <v>0.67400000000000004</v>
      </c>
      <c r="AY103" s="89">
        <v>2.8509999999999995</v>
      </c>
      <c r="AZ103" s="89">
        <v>0.91800000000000004</v>
      </c>
      <c r="BA103" s="89">
        <v>1.645</v>
      </c>
      <c r="BB103" s="89">
        <v>3.0949999999999998</v>
      </c>
      <c r="BC103" s="89">
        <v>1.1280000000000001</v>
      </c>
      <c r="BD103" s="160">
        <v>1.1299999999999999</v>
      </c>
      <c r="BE103" s="160">
        <v>0.73</v>
      </c>
      <c r="BF103" s="160">
        <v>0.27</v>
      </c>
      <c r="BG103" s="160">
        <v>2.37</v>
      </c>
      <c r="BH103" s="160">
        <v>0.08</v>
      </c>
      <c r="BI103" s="160">
        <v>0.92</v>
      </c>
      <c r="BJ103" s="160">
        <v>0.47</v>
      </c>
      <c r="BL103" s="172" t="s">
        <v>700</v>
      </c>
    </row>
    <row r="104" spans="1:64" s="88" customFormat="1" ht="14.1" customHeight="1">
      <c r="A104" s="156" t="s">
        <v>366</v>
      </c>
      <c r="B104" s="165" t="s">
        <v>511</v>
      </c>
      <c r="C104" s="165" t="s">
        <v>701</v>
      </c>
      <c r="D104" s="165" t="s">
        <v>647</v>
      </c>
      <c r="E104" s="165" t="s">
        <v>173</v>
      </c>
      <c r="F104" s="165">
        <v>547</v>
      </c>
      <c r="G104" s="165">
        <v>19</v>
      </c>
      <c r="H104" s="165">
        <v>10</v>
      </c>
      <c r="I104" s="165">
        <v>39.6</v>
      </c>
      <c r="J104" s="165">
        <v>205</v>
      </c>
      <c r="K104" s="166" t="s">
        <v>514</v>
      </c>
      <c r="L104" s="165">
        <v>2024</v>
      </c>
      <c r="M104" s="165" t="s">
        <v>648</v>
      </c>
      <c r="N104" s="165">
        <v>10</v>
      </c>
      <c r="O104" s="181">
        <v>254</v>
      </c>
      <c r="P104" s="165" t="s">
        <v>699</v>
      </c>
      <c r="Q104" s="165">
        <v>-70.885000000000005</v>
      </c>
      <c r="R104" s="165">
        <v>40.042999999999999</v>
      </c>
      <c r="S104" s="165" t="s">
        <v>172</v>
      </c>
      <c r="T104" s="165">
        <v>25</v>
      </c>
      <c r="U104" s="166" t="s">
        <v>516</v>
      </c>
      <c r="V104" s="158">
        <v>1.5209999999999999</v>
      </c>
      <c r="W104" s="158">
        <v>0.35099999999999998</v>
      </c>
      <c r="X104" s="158">
        <v>0.41100000000000003</v>
      </c>
      <c r="Y104" s="157">
        <v>8.6999999999999994E-2</v>
      </c>
      <c r="Z104" s="159">
        <v>0.13200000000000001</v>
      </c>
      <c r="AA104" s="89">
        <v>0.434</v>
      </c>
      <c r="AB104" s="89">
        <v>6.6000000000000003E-2</v>
      </c>
      <c r="AC104" s="89">
        <v>4.3999999999999997E-2</v>
      </c>
      <c r="AD104" s="89">
        <v>3.0000000000000001E-3</v>
      </c>
      <c r="AE104" s="89">
        <v>0.104</v>
      </c>
      <c r="AF104" s="89">
        <v>3.9E-2</v>
      </c>
      <c r="AG104" s="89">
        <v>6.4000000000000001E-2</v>
      </c>
      <c r="AH104" s="89">
        <v>1.4319999999999999</v>
      </c>
      <c r="AI104" s="89">
        <v>0.08</v>
      </c>
      <c r="AJ104" s="89">
        <v>8.9999999999999993E-3</v>
      </c>
      <c r="AK104" s="89">
        <v>0.317</v>
      </c>
      <c r="AL104" s="89">
        <v>3.4000000000000002E-2</v>
      </c>
      <c r="AM104" s="89">
        <v>0.19900000000000001</v>
      </c>
      <c r="AN104" s="89">
        <v>0.21199999999999999</v>
      </c>
      <c r="AO104" s="89">
        <v>4.0000000000000001E-3</v>
      </c>
      <c r="AP104" s="89">
        <v>2.8000000000000001E-2</v>
      </c>
      <c r="AQ104" s="89">
        <v>1.4E-2</v>
      </c>
      <c r="AR104" s="89">
        <v>1.4E-2</v>
      </c>
      <c r="AS104" s="89">
        <v>1.2999999999999999E-2</v>
      </c>
      <c r="AT104" s="89">
        <v>0.04</v>
      </c>
      <c r="AU104" s="89">
        <v>-8888</v>
      </c>
      <c r="AV104" s="89">
        <v>2.2829999999999999</v>
      </c>
      <c r="AW104" s="89">
        <v>0.26400000000000001</v>
      </c>
      <c r="AX104" s="89">
        <v>0.70899999999999996</v>
      </c>
      <c r="AY104" s="89">
        <v>2.992</v>
      </c>
      <c r="AZ104" s="89">
        <v>0.97299999999999998</v>
      </c>
      <c r="BA104" s="89">
        <v>1.7349999999999999</v>
      </c>
      <c r="BB104" s="89">
        <v>3.2559999999999998</v>
      </c>
      <c r="BC104" s="89">
        <v>1.19</v>
      </c>
      <c r="BD104" s="160">
        <v>1.1399999999999999</v>
      </c>
      <c r="BE104" s="160">
        <v>0.73</v>
      </c>
      <c r="BF104" s="160">
        <v>0.27</v>
      </c>
      <c r="BG104" s="160">
        <v>2.35</v>
      </c>
      <c r="BH104" s="160">
        <v>0.08</v>
      </c>
      <c r="BI104" s="160">
        <v>0.92</v>
      </c>
      <c r="BJ104" s="160">
        <v>0.47</v>
      </c>
      <c r="BL104" s="167"/>
    </row>
    <row r="105" spans="1:64" s="88" customFormat="1" ht="14.1" customHeight="1">
      <c r="A105" s="156" t="s">
        <v>367</v>
      </c>
      <c r="B105" s="165" t="s">
        <v>511</v>
      </c>
      <c r="C105" s="165" t="s">
        <v>702</v>
      </c>
      <c r="D105" s="165" t="s">
        <v>647</v>
      </c>
      <c r="E105" s="165" t="s">
        <v>170</v>
      </c>
      <c r="F105" s="165">
        <v>1055</v>
      </c>
      <c r="G105" s="165">
        <v>19</v>
      </c>
      <c r="H105" s="165">
        <v>20</v>
      </c>
      <c r="I105" s="165">
        <v>6</v>
      </c>
      <c r="J105" s="165">
        <v>205</v>
      </c>
      <c r="K105" s="166" t="s">
        <v>514</v>
      </c>
      <c r="L105" s="165">
        <v>2024</v>
      </c>
      <c r="M105" s="165" t="s">
        <v>648</v>
      </c>
      <c r="N105" s="165">
        <v>10</v>
      </c>
      <c r="O105" s="181">
        <v>254</v>
      </c>
      <c r="P105" s="165" t="s">
        <v>703</v>
      </c>
      <c r="Q105" s="165">
        <v>-70.885000000000005</v>
      </c>
      <c r="R105" s="165">
        <v>40.042000000000002</v>
      </c>
      <c r="S105" s="165" t="s">
        <v>172</v>
      </c>
      <c r="T105" s="165">
        <v>25</v>
      </c>
      <c r="U105" s="166" t="s">
        <v>516</v>
      </c>
      <c r="V105" s="158">
        <v>0.13900000000000001</v>
      </c>
      <c r="W105" s="158">
        <v>1.3000000000000001E-2</v>
      </c>
      <c r="X105" s="158">
        <v>1.7000000000000001E-2</v>
      </c>
      <c r="Y105" s="157">
        <v>1.9E-2</v>
      </c>
      <c r="Z105" s="159">
        <v>6.0000000000000001E-3</v>
      </c>
      <c r="AA105" s="89">
        <v>0.02</v>
      </c>
      <c r="AB105" s="89">
        <v>-8888</v>
      </c>
      <c r="AC105" s="89">
        <v>7.0000000000000001E-3</v>
      </c>
      <c r="AD105" s="89">
        <v>1E-3</v>
      </c>
      <c r="AE105" s="89">
        <v>0.01</v>
      </c>
      <c r="AF105" s="89">
        <v>3.0000000000000001E-3</v>
      </c>
      <c r="AG105" s="89">
        <v>0.09</v>
      </c>
      <c r="AH105" s="89">
        <v>7.5999999999999998E-2</v>
      </c>
      <c r="AI105" s="89">
        <v>6.0999999999999999E-2</v>
      </c>
      <c r="AJ105" s="89">
        <v>2E-3</v>
      </c>
      <c r="AK105" s="89">
        <v>7.0000000000000001E-3</v>
      </c>
      <c r="AL105" s="89">
        <v>6.0000000000000001E-3</v>
      </c>
      <c r="AM105" s="89">
        <v>0.01</v>
      </c>
      <c r="AN105" s="89">
        <v>7.0000000000000001E-3</v>
      </c>
      <c r="AO105" s="89">
        <v>-8888</v>
      </c>
      <c r="AP105" s="89">
        <v>-8888</v>
      </c>
      <c r="AQ105" s="89">
        <v>2E-3</v>
      </c>
      <c r="AR105" s="89">
        <v>2E-3</v>
      </c>
      <c r="AS105" s="89">
        <v>-8888</v>
      </c>
      <c r="AT105" s="89">
        <v>-8888</v>
      </c>
      <c r="AU105" s="89">
        <v>-8888</v>
      </c>
      <c r="AV105" s="89">
        <v>0.16900000000000004</v>
      </c>
      <c r="AW105" s="89">
        <v>0.11700000000000001</v>
      </c>
      <c r="AX105" s="89">
        <v>3.9000000000000007E-2</v>
      </c>
      <c r="AY105" s="89">
        <v>0.20800000000000005</v>
      </c>
      <c r="AZ105" s="89">
        <v>0.15600000000000003</v>
      </c>
      <c r="BA105" s="89">
        <v>0.18600000000000005</v>
      </c>
      <c r="BB105" s="89">
        <v>0.32500000000000007</v>
      </c>
      <c r="BC105" s="89">
        <v>0.14200000000000002</v>
      </c>
      <c r="BD105" s="160">
        <v>1.34</v>
      </c>
      <c r="BE105" s="160">
        <v>0.25</v>
      </c>
      <c r="BF105" s="160">
        <v>0.75</v>
      </c>
      <c r="BG105" s="160">
        <v>1.08</v>
      </c>
      <c r="BH105" s="160">
        <v>0.36</v>
      </c>
      <c r="BI105" s="160">
        <v>0.64</v>
      </c>
      <c r="BJ105" s="160">
        <v>0.43</v>
      </c>
      <c r="BL105" s="167"/>
    </row>
    <row r="106" spans="1:64" s="88" customFormat="1" ht="14.1" customHeight="1">
      <c r="A106" s="156" t="s">
        <v>368</v>
      </c>
      <c r="B106" s="165" t="s">
        <v>511</v>
      </c>
      <c r="C106" s="165" t="s">
        <v>704</v>
      </c>
      <c r="D106" s="165" t="s">
        <v>647</v>
      </c>
      <c r="E106" s="165" t="s">
        <v>170</v>
      </c>
      <c r="F106" s="165">
        <v>547</v>
      </c>
      <c r="G106" s="165">
        <v>20</v>
      </c>
      <c r="H106" s="165">
        <v>9</v>
      </c>
      <c r="I106" s="165">
        <v>34</v>
      </c>
      <c r="J106" s="165">
        <v>55</v>
      </c>
      <c r="K106" s="166" t="s">
        <v>514</v>
      </c>
      <c r="L106" s="165">
        <v>2024</v>
      </c>
      <c r="M106" s="165" t="s">
        <v>648</v>
      </c>
      <c r="N106" s="165">
        <v>10</v>
      </c>
      <c r="O106" s="181">
        <v>254</v>
      </c>
      <c r="P106" s="165" t="s">
        <v>705</v>
      </c>
      <c r="Q106" s="165">
        <v>-70.884</v>
      </c>
      <c r="R106" s="165">
        <v>40.862000000000002</v>
      </c>
      <c r="S106" s="165" t="s">
        <v>172</v>
      </c>
      <c r="T106" s="165">
        <v>25</v>
      </c>
      <c r="U106" s="166" t="s">
        <v>516</v>
      </c>
      <c r="V106" s="158">
        <v>1.2769999999999999</v>
      </c>
      <c r="W106" s="158">
        <v>0.192</v>
      </c>
      <c r="X106" s="158">
        <v>0.34599999999999997</v>
      </c>
      <c r="Y106" s="157">
        <v>8.4000000000000005E-2</v>
      </c>
      <c r="Z106" s="159">
        <v>5.8999999999999997E-2</v>
      </c>
      <c r="AA106" s="89">
        <v>0.379</v>
      </c>
      <c r="AB106" s="89">
        <v>2.3E-2</v>
      </c>
      <c r="AC106" s="89">
        <v>4.1000000000000002E-2</v>
      </c>
      <c r="AD106" s="89">
        <v>4.0000000000000001E-3</v>
      </c>
      <c r="AE106" s="89">
        <v>0.187</v>
      </c>
      <c r="AF106" s="89">
        <v>3.9E-2</v>
      </c>
      <c r="AG106" s="89">
        <v>0.114</v>
      </c>
      <c r="AH106" s="89">
        <v>1.27</v>
      </c>
      <c r="AI106" s="89">
        <v>-8888</v>
      </c>
      <c r="AJ106" s="89">
        <v>7.0000000000000001E-3</v>
      </c>
      <c r="AK106" s="89">
        <v>0.18099999999999999</v>
      </c>
      <c r="AL106" s="89">
        <v>1.0999999999999999E-2</v>
      </c>
      <c r="AM106" s="89">
        <v>0.161</v>
      </c>
      <c r="AN106" s="89">
        <v>0.185</v>
      </c>
      <c r="AO106" s="89">
        <v>8.0000000000000002E-3</v>
      </c>
      <c r="AP106" s="89">
        <v>2.1000000000000001E-2</v>
      </c>
      <c r="AQ106" s="89">
        <v>1.2999999999999999E-2</v>
      </c>
      <c r="AR106" s="89">
        <v>0.02</v>
      </c>
      <c r="AS106" s="89">
        <v>4.3999999999999997E-2</v>
      </c>
      <c r="AT106" s="89">
        <v>4.4999999999999998E-2</v>
      </c>
      <c r="AU106" s="89">
        <v>-8888</v>
      </c>
      <c r="AV106" s="89">
        <v>1.8149999999999999</v>
      </c>
      <c r="AW106" s="89">
        <v>0.26600000000000001</v>
      </c>
      <c r="AX106" s="89">
        <v>0.66400000000000003</v>
      </c>
      <c r="AY106" s="89">
        <v>2.4790000000000001</v>
      </c>
      <c r="AZ106" s="89">
        <v>0.93</v>
      </c>
      <c r="BA106" s="89">
        <v>1.468</v>
      </c>
      <c r="BB106" s="89">
        <v>2.7450000000000001</v>
      </c>
      <c r="BC106" s="89">
        <v>0.9930000000000001</v>
      </c>
      <c r="BD106" s="160">
        <v>1.1499999999999999</v>
      </c>
      <c r="BE106" s="160">
        <v>0.71</v>
      </c>
      <c r="BF106" s="160">
        <v>0.28999999999999998</v>
      </c>
      <c r="BG106" s="160">
        <v>1.95</v>
      </c>
      <c r="BH106" s="160">
        <v>0.1</v>
      </c>
      <c r="BI106" s="160">
        <v>0.9</v>
      </c>
      <c r="BJ106" s="160">
        <v>0.47</v>
      </c>
      <c r="BL106" s="167"/>
    </row>
    <row r="107" spans="1:64" s="88" customFormat="1" ht="14.1" customHeight="1">
      <c r="A107" s="156" t="s">
        <v>369</v>
      </c>
      <c r="B107" s="165" t="s">
        <v>511</v>
      </c>
      <c r="C107" s="165" t="s">
        <v>706</v>
      </c>
      <c r="D107" s="165" t="s">
        <v>647</v>
      </c>
      <c r="E107" s="165" t="s">
        <v>170</v>
      </c>
      <c r="F107" s="165">
        <v>548</v>
      </c>
      <c r="G107" s="165">
        <v>20</v>
      </c>
      <c r="H107" s="165">
        <v>20</v>
      </c>
      <c r="I107" s="165">
        <v>3.9</v>
      </c>
      <c r="J107" s="165">
        <v>55</v>
      </c>
      <c r="K107" s="166" t="s">
        <v>514</v>
      </c>
      <c r="L107" s="165">
        <v>2024</v>
      </c>
      <c r="M107" s="165" t="s">
        <v>648</v>
      </c>
      <c r="N107" s="165">
        <v>10</v>
      </c>
      <c r="O107" s="181">
        <v>254</v>
      </c>
      <c r="P107" s="165" t="s">
        <v>707</v>
      </c>
      <c r="Q107" s="165">
        <v>-70.882999999999996</v>
      </c>
      <c r="R107" s="165">
        <v>40.860999999999997</v>
      </c>
      <c r="S107" s="165" t="s">
        <v>172</v>
      </c>
      <c r="T107" s="165">
        <v>25</v>
      </c>
      <c r="U107" s="166" t="s">
        <v>516</v>
      </c>
      <c r="V107" s="158">
        <v>0.23200000000000001</v>
      </c>
      <c r="W107" s="158">
        <v>3.5000000000000003E-2</v>
      </c>
      <c r="X107" s="158">
        <v>0.05</v>
      </c>
      <c r="Y107" s="157">
        <v>1.7000000000000001E-2</v>
      </c>
      <c r="Z107" s="159">
        <v>1.7999999999999999E-2</v>
      </c>
      <c r="AA107" s="89">
        <v>5.5E-2</v>
      </c>
      <c r="AB107" s="89">
        <v>-8888</v>
      </c>
      <c r="AC107" s="89">
        <v>2.5999999999999999E-2</v>
      </c>
      <c r="AD107" s="89">
        <v>7.0000000000000001E-3</v>
      </c>
      <c r="AE107" s="89">
        <v>0.04</v>
      </c>
      <c r="AF107" s="89">
        <v>8.0000000000000002E-3</v>
      </c>
      <c r="AG107" s="89">
        <v>0.02</v>
      </c>
      <c r="AH107" s="89">
        <v>0.22900000000000001</v>
      </c>
      <c r="AI107" s="89">
        <v>-8888</v>
      </c>
      <c r="AJ107" s="89">
        <v>3.0000000000000001E-3</v>
      </c>
      <c r="AK107" s="89">
        <v>3.5000000000000003E-2</v>
      </c>
      <c r="AL107" s="89">
        <v>-8888</v>
      </c>
      <c r="AM107" s="89">
        <v>2.8000000000000001E-2</v>
      </c>
      <c r="AN107" s="89">
        <v>2.1999999999999999E-2</v>
      </c>
      <c r="AO107" s="89">
        <v>8.0000000000000002E-3</v>
      </c>
      <c r="AP107" s="89">
        <v>4.0000000000000001E-3</v>
      </c>
      <c r="AQ107" s="89">
        <v>6.0000000000000001E-3</v>
      </c>
      <c r="AR107" s="89">
        <v>3.0000000000000001E-3</v>
      </c>
      <c r="AS107" s="89">
        <v>4.0000000000000001E-3</v>
      </c>
      <c r="AT107" s="89">
        <v>7.0000000000000001E-3</v>
      </c>
      <c r="AU107" s="89">
        <v>-8888</v>
      </c>
      <c r="AV107" s="89">
        <v>0.317</v>
      </c>
      <c r="AW107" s="89">
        <v>7.0000000000000007E-2</v>
      </c>
      <c r="AX107" s="89">
        <v>0.121</v>
      </c>
      <c r="AY107" s="89">
        <v>0.438</v>
      </c>
      <c r="AZ107" s="89">
        <v>0.191</v>
      </c>
      <c r="BA107" s="89">
        <v>0.27600000000000002</v>
      </c>
      <c r="BB107" s="89">
        <v>0.50800000000000001</v>
      </c>
      <c r="BC107" s="89">
        <v>0.17599999999999999</v>
      </c>
      <c r="BD107" s="160">
        <v>1.19</v>
      </c>
      <c r="BE107" s="160">
        <v>0.63</v>
      </c>
      <c r="BF107" s="160">
        <v>0.37</v>
      </c>
      <c r="BG107" s="160">
        <v>1.66</v>
      </c>
      <c r="BH107" s="160">
        <v>0.14000000000000001</v>
      </c>
      <c r="BI107" s="160">
        <v>0.86</v>
      </c>
      <c r="BJ107" s="160">
        <v>0.46</v>
      </c>
      <c r="BL107" s="167"/>
    </row>
    <row r="108" spans="1:64" s="88" customFormat="1" ht="14.1" customHeight="1">
      <c r="A108" s="156" t="s">
        <v>370</v>
      </c>
      <c r="B108" s="165" t="s">
        <v>511</v>
      </c>
      <c r="C108" s="165" t="s">
        <v>708</v>
      </c>
      <c r="D108" s="165" t="s">
        <v>647</v>
      </c>
      <c r="E108" s="165" t="s">
        <v>170</v>
      </c>
      <c r="F108" s="165">
        <v>532</v>
      </c>
      <c r="G108" s="165">
        <v>24</v>
      </c>
      <c r="H108" s="165">
        <v>2</v>
      </c>
      <c r="I108" s="165">
        <v>15.6</v>
      </c>
      <c r="J108" s="165">
        <v>18</v>
      </c>
      <c r="K108" s="166" t="s">
        <v>514</v>
      </c>
      <c r="L108" s="165">
        <v>2024</v>
      </c>
      <c r="M108" s="165" t="s">
        <v>648</v>
      </c>
      <c r="N108" s="165">
        <v>11</v>
      </c>
      <c r="O108" s="181">
        <v>255</v>
      </c>
      <c r="P108" s="165" t="s">
        <v>641</v>
      </c>
      <c r="Q108" s="165">
        <v>-70.581000000000003</v>
      </c>
      <c r="R108" s="165">
        <v>41.317999999999998</v>
      </c>
      <c r="S108" s="165" t="s">
        <v>172</v>
      </c>
      <c r="T108" s="165">
        <v>25</v>
      </c>
      <c r="U108" s="166" t="s">
        <v>516</v>
      </c>
      <c r="V108" s="158">
        <v>3.3690000000000002</v>
      </c>
      <c r="W108" s="158">
        <v>0.126</v>
      </c>
      <c r="X108" s="158">
        <v>0.69</v>
      </c>
      <c r="Y108" s="157">
        <v>0.13300000000000001</v>
      </c>
      <c r="Z108" s="159">
        <v>-8888</v>
      </c>
      <c r="AA108" s="89">
        <v>0.157</v>
      </c>
      <c r="AB108" s="89">
        <v>5.1999999999999998E-2</v>
      </c>
      <c r="AC108" s="89">
        <v>0.123</v>
      </c>
      <c r="AD108" s="89">
        <v>1.4E-2</v>
      </c>
      <c r="AE108" s="89">
        <v>1.4079999999999999</v>
      </c>
      <c r="AF108" s="89">
        <v>0.14499999999999999</v>
      </c>
      <c r="AG108" s="89">
        <v>2.9000000000000001E-2</v>
      </c>
      <c r="AH108" s="89">
        <v>3.2650000000000001</v>
      </c>
      <c r="AI108" s="89">
        <v>-8888</v>
      </c>
      <c r="AJ108" s="89">
        <v>0.104</v>
      </c>
      <c r="AK108" s="89">
        <v>0.126</v>
      </c>
      <c r="AL108" s="89">
        <v>-8888</v>
      </c>
      <c r="AM108" s="89">
        <v>0.47</v>
      </c>
      <c r="AN108" s="89">
        <v>0.22</v>
      </c>
      <c r="AO108" s="89">
        <v>1.0999999999999999E-2</v>
      </c>
      <c r="AP108" s="89">
        <v>1.6E-2</v>
      </c>
      <c r="AQ108" s="89">
        <v>1.4E-2</v>
      </c>
      <c r="AR108" s="89">
        <v>7.2999999999999995E-2</v>
      </c>
      <c r="AS108" s="89">
        <v>0.21</v>
      </c>
      <c r="AT108" s="89">
        <v>-8888</v>
      </c>
      <c r="AU108" s="89">
        <v>-8888</v>
      </c>
      <c r="AV108" s="89">
        <v>4.1850000000000005</v>
      </c>
      <c r="AW108" s="89">
        <v>0.35099999999999998</v>
      </c>
      <c r="AX108" s="89">
        <v>1.71</v>
      </c>
      <c r="AY108" s="89">
        <v>5.8950000000000005</v>
      </c>
      <c r="AZ108" s="89">
        <v>2.0609999999999999</v>
      </c>
      <c r="BA108" s="89">
        <v>2.8769999999999998</v>
      </c>
      <c r="BB108" s="89">
        <v>6.2460000000000004</v>
      </c>
      <c r="BC108" s="89">
        <v>1.917</v>
      </c>
      <c r="BD108" s="160">
        <v>0.85</v>
      </c>
      <c r="BE108" s="160">
        <v>0.83</v>
      </c>
      <c r="BF108" s="160">
        <v>0.17</v>
      </c>
      <c r="BG108" s="160">
        <v>2.0299999999999998</v>
      </c>
      <c r="BH108" s="160">
        <v>0.06</v>
      </c>
      <c r="BI108" s="160">
        <v>0.94</v>
      </c>
      <c r="BJ108" s="160">
        <v>0.54</v>
      </c>
      <c r="BL108" s="167"/>
    </row>
    <row r="109" spans="1:64" s="88" customFormat="1" ht="14.1" customHeight="1">
      <c r="A109" s="156" t="s">
        <v>371</v>
      </c>
      <c r="B109" s="165" t="s">
        <v>511</v>
      </c>
      <c r="C109" s="165" t="s">
        <v>709</v>
      </c>
      <c r="D109" s="165" t="s">
        <v>647</v>
      </c>
      <c r="E109" s="165" t="s">
        <v>170</v>
      </c>
      <c r="F109" s="165">
        <v>547</v>
      </c>
      <c r="G109" s="165">
        <v>24</v>
      </c>
      <c r="H109" s="165">
        <v>4</v>
      </c>
      <c r="I109" s="165">
        <v>8.5</v>
      </c>
      <c r="J109" s="165">
        <v>18</v>
      </c>
      <c r="K109" s="166" t="s">
        <v>514</v>
      </c>
      <c r="L109" s="165">
        <v>2024</v>
      </c>
      <c r="M109" s="165" t="s">
        <v>648</v>
      </c>
      <c r="N109" s="165">
        <v>11</v>
      </c>
      <c r="O109" s="181">
        <v>255</v>
      </c>
      <c r="P109" s="165" t="s">
        <v>683</v>
      </c>
      <c r="Q109" s="165">
        <v>-70.581999999999994</v>
      </c>
      <c r="R109" s="165">
        <v>41.317999999999998</v>
      </c>
      <c r="S109" s="165" t="s">
        <v>172</v>
      </c>
      <c r="T109" s="165">
        <v>25</v>
      </c>
      <c r="U109" s="166" t="s">
        <v>516</v>
      </c>
      <c r="V109" s="158">
        <v>5.7480000000000002</v>
      </c>
      <c r="W109" s="158">
        <v>0.34899999999999998</v>
      </c>
      <c r="X109" s="158">
        <v>1.02</v>
      </c>
      <c r="Y109" s="157">
        <v>0.24199999999999999</v>
      </c>
      <c r="Z109" s="159">
        <v>5.7000000000000002E-2</v>
      </c>
      <c r="AA109" s="89">
        <v>0.246</v>
      </c>
      <c r="AB109" s="89">
        <v>9.4E-2</v>
      </c>
      <c r="AC109" s="89">
        <v>0.24199999999999999</v>
      </c>
      <c r="AD109" s="89">
        <v>4.3999999999999997E-2</v>
      </c>
      <c r="AE109" s="89">
        <v>2.262</v>
      </c>
      <c r="AF109" s="89">
        <v>9.7000000000000003E-2</v>
      </c>
      <c r="AG109" s="89">
        <v>5.8000000000000003E-2</v>
      </c>
      <c r="AH109" s="89">
        <v>5.3879999999999999</v>
      </c>
      <c r="AI109" s="89">
        <v>-8888</v>
      </c>
      <c r="AJ109" s="89">
        <v>0.36</v>
      </c>
      <c r="AK109" s="89">
        <v>0.34899999999999998</v>
      </c>
      <c r="AL109" s="89">
        <v>-8888</v>
      </c>
      <c r="AM109" s="89">
        <v>0.76</v>
      </c>
      <c r="AN109" s="89">
        <v>0.26</v>
      </c>
      <c r="AO109" s="89">
        <v>2.7E-2</v>
      </c>
      <c r="AP109" s="89">
        <v>4.1000000000000002E-2</v>
      </c>
      <c r="AQ109" s="89">
        <v>3.4000000000000002E-2</v>
      </c>
      <c r="AR109" s="89">
        <v>8.6999999999999994E-2</v>
      </c>
      <c r="AS109" s="89">
        <v>0.253</v>
      </c>
      <c r="AT109" s="89">
        <v>7.0000000000000007E-2</v>
      </c>
      <c r="AU109" s="89">
        <v>-8888</v>
      </c>
      <c r="AV109" s="89">
        <v>7.1170000000000009</v>
      </c>
      <c r="AW109" s="89">
        <v>0.67999999999999994</v>
      </c>
      <c r="AX109" s="89">
        <v>2.6619999999999999</v>
      </c>
      <c r="AY109" s="89">
        <v>9.7789999999999999</v>
      </c>
      <c r="AZ109" s="89">
        <v>3.3419999999999996</v>
      </c>
      <c r="BA109" s="89">
        <v>4.7110000000000003</v>
      </c>
      <c r="BB109" s="89">
        <v>10.459</v>
      </c>
      <c r="BC109" s="89">
        <v>3.1629999999999998</v>
      </c>
      <c r="BD109" s="160">
        <v>0.82</v>
      </c>
      <c r="BE109" s="160">
        <v>0.8</v>
      </c>
      <c r="BF109" s="160">
        <v>0.2</v>
      </c>
      <c r="BG109" s="160">
        <v>2.13</v>
      </c>
      <c r="BH109" s="160">
        <v>7.0000000000000007E-2</v>
      </c>
      <c r="BI109" s="160">
        <v>0.93</v>
      </c>
      <c r="BJ109" s="160">
        <v>0.55000000000000004</v>
      </c>
      <c r="BL109" s="167"/>
    </row>
    <row r="110" spans="1:64" s="88" customFormat="1" ht="14.1" customHeight="1">
      <c r="A110" s="156" t="s">
        <v>372</v>
      </c>
      <c r="B110" s="165" t="s">
        <v>511</v>
      </c>
      <c r="C110" s="165" t="s">
        <v>710</v>
      </c>
      <c r="D110" s="165" t="s">
        <v>647</v>
      </c>
      <c r="E110" s="165" t="s">
        <v>170</v>
      </c>
      <c r="F110" s="165">
        <v>548</v>
      </c>
      <c r="G110" s="165">
        <v>24</v>
      </c>
      <c r="H110" s="165">
        <v>7</v>
      </c>
      <c r="I110" s="165">
        <v>3.4</v>
      </c>
      <c r="J110" s="165">
        <v>18</v>
      </c>
      <c r="K110" s="166" t="s">
        <v>514</v>
      </c>
      <c r="L110" s="165">
        <v>2024</v>
      </c>
      <c r="M110" s="165" t="s">
        <v>648</v>
      </c>
      <c r="N110" s="165">
        <v>11</v>
      </c>
      <c r="O110" s="181">
        <v>255</v>
      </c>
      <c r="P110" s="165" t="s">
        <v>685</v>
      </c>
      <c r="Q110" s="165">
        <v>-70.581999999999994</v>
      </c>
      <c r="R110" s="165">
        <v>41.317999999999998</v>
      </c>
      <c r="S110" s="165" t="s">
        <v>172</v>
      </c>
      <c r="T110" s="165">
        <v>25</v>
      </c>
      <c r="U110" s="166" t="s">
        <v>516</v>
      </c>
      <c r="V110" s="158">
        <v>5.5119999999999996</v>
      </c>
      <c r="W110" s="158">
        <v>0.379</v>
      </c>
      <c r="X110" s="158">
        <v>0.95599999999999996</v>
      </c>
      <c r="Y110" s="157">
        <v>0.24299999999999999</v>
      </c>
      <c r="Z110" s="159">
        <v>5.6000000000000001E-2</v>
      </c>
      <c r="AA110" s="89">
        <v>0.24199999999999999</v>
      </c>
      <c r="AB110" s="89">
        <v>0.10299999999999999</v>
      </c>
      <c r="AC110" s="89">
        <v>0.26100000000000001</v>
      </c>
      <c r="AD110" s="89">
        <v>4.9000000000000002E-2</v>
      </c>
      <c r="AE110" s="89">
        <v>2.133</v>
      </c>
      <c r="AF110" s="89">
        <v>7.6999999999999999E-2</v>
      </c>
      <c r="AG110" s="89">
        <v>6.2E-2</v>
      </c>
      <c r="AH110" s="89">
        <v>5.1879999999999997</v>
      </c>
      <c r="AI110" s="89">
        <v>-8888</v>
      </c>
      <c r="AJ110" s="89">
        <v>0.32400000000000001</v>
      </c>
      <c r="AK110" s="89">
        <v>0.379</v>
      </c>
      <c r="AL110" s="89">
        <v>-8888</v>
      </c>
      <c r="AM110" s="89">
        <v>0.71599999999999997</v>
      </c>
      <c r="AN110" s="89">
        <v>0.24</v>
      </c>
      <c r="AO110" s="89">
        <v>0.03</v>
      </c>
      <c r="AP110" s="89">
        <v>4.4999999999999998E-2</v>
      </c>
      <c r="AQ110" s="89">
        <v>3.5999999999999997E-2</v>
      </c>
      <c r="AR110" s="89">
        <v>8.4000000000000005E-2</v>
      </c>
      <c r="AS110" s="89">
        <v>0.26100000000000001</v>
      </c>
      <c r="AT110" s="89">
        <v>8.5999999999999993E-2</v>
      </c>
      <c r="AU110" s="89">
        <v>-8888</v>
      </c>
      <c r="AV110" s="89">
        <v>6.8469999999999995</v>
      </c>
      <c r="AW110" s="89">
        <v>0.71799999999999997</v>
      </c>
      <c r="AX110" s="89">
        <v>2.508</v>
      </c>
      <c r="AY110" s="89">
        <v>9.3550000000000004</v>
      </c>
      <c r="AZ110" s="89">
        <v>3.226</v>
      </c>
      <c r="BA110" s="89">
        <v>4.5609999999999999</v>
      </c>
      <c r="BB110" s="89">
        <v>10.073</v>
      </c>
      <c r="BC110" s="89">
        <v>3.052</v>
      </c>
      <c r="BD110" s="160">
        <v>0.83</v>
      </c>
      <c r="BE110" s="160">
        <v>0.78</v>
      </c>
      <c r="BF110" s="160">
        <v>0.22</v>
      </c>
      <c r="BG110" s="160">
        <v>2.12</v>
      </c>
      <c r="BH110" s="160">
        <v>7.0000000000000007E-2</v>
      </c>
      <c r="BI110" s="160">
        <v>0.93</v>
      </c>
      <c r="BJ110" s="160">
        <v>0.55000000000000004</v>
      </c>
      <c r="BL110" s="167"/>
    </row>
    <row r="111" spans="1:64" s="88" customFormat="1" ht="14.1" customHeight="1">
      <c r="A111" s="156" t="s">
        <v>373</v>
      </c>
      <c r="B111" s="169" t="s">
        <v>511</v>
      </c>
      <c r="C111" s="170" t="s">
        <v>711</v>
      </c>
      <c r="D111" s="169" t="s">
        <v>712</v>
      </c>
      <c r="E111" s="169" t="s">
        <v>170</v>
      </c>
      <c r="F111" s="169">
        <v>547</v>
      </c>
      <c r="G111" s="169">
        <v>1</v>
      </c>
      <c r="H111" s="169">
        <v>2</v>
      </c>
      <c r="I111" s="165">
        <v>16.600000000000001</v>
      </c>
      <c r="J111" s="165">
        <v>23</v>
      </c>
      <c r="K111" s="166" t="s">
        <v>514</v>
      </c>
      <c r="L111" s="165">
        <v>2024</v>
      </c>
      <c r="M111" s="165" t="s">
        <v>713</v>
      </c>
      <c r="N111" s="165">
        <v>6</v>
      </c>
      <c r="O111" s="181">
        <v>311</v>
      </c>
      <c r="P111" s="165" t="s">
        <v>714</v>
      </c>
      <c r="Q111" s="165">
        <v>-70.882999999999996</v>
      </c>
      <c r="R111" s="165">
        <v>41.197000000000003</v>
      </c>
      <c r="S111" s="165" t="s">
        <v>172</v>
      </c>
      <c r="T111" s="165">
        <v>25</v>
      </c>
      <c r="U111" s="166" t="s">
        <v>516</v>
      </c>
      <c r="V111" s="158">
        <v>3.6629999999999998</v>
      </c>
      <c r="W111" s="158">
        <v>0.123</v>
      </c>
      <c r="X111" s="158">
        <v>0.70300000000000007</v>
      </c>
      <c r="Y111" s="157">
        <v>0.13800000000000001</v>
      </c>
      <c r="Z111" s="159">
        <v>-8888</v>
      </c>
      <c r="AA111" s="89">
        <v>5.2999999999999999E-2</v>
      </c>
      <c r="AB111" s="89">
        <v>2.1000000000000001E-2</v>
      </c>
      <c r="AC111" s="89">
        <v>0.14099999999999999</v>
      </c>
      <c r="AD111" s="89">
        <v>1.4999999999999999E-2</v>
      </c>
      <c r="AE111" s="89">
        <v>1.673</v>
      </c>
      <c r="AF111" s="89">
        <v>4.2000000000000003E-2</v>
      </c>
      <c r="AG111" s="89">
        <v>0.04</v>
      </c>
      <c r="AH111" s="89">
        <v>3.5409999999999999</v>
      </c>
      <c r="AI111" s="89">
        <v>-8888</v>
      </c>
      <c r="AJ111" s="89">
        <v>0.122</v>
      </c>
      <c r="AK111" s="89">
        <v>0.123</v>
      </c>
      <c r="AL111" s="89">
        <v>-8888</v>
      </c>
      <c r="AM111" s="89">
        <v>0.51900000000000002</v>
      </c>
      <c r="AN111" s="89">
        <v>0.184</v>
      </c>
      <c r="AO111" s="89">
        <v>6.0000000000000001E-3</v>
      </c>
      <c r="AP111" s="89">
        <v>1.4E-2</v>
      </c>
      <c r="AQ111" s="89">
        <v>1.4999999999999999E-2</v>
      </c>
      <c r="AR111" s="89">
        <v>4.4999999999999998E-2</v>
      </c>
      <c r="AS111" s="89">
        <v>0.11700000000000001</v>
      </c>
      <c r="AT111" s="89">
        <v>4.4999999999999998E-2</v>
      </c>
      <c r="AU111" s="89">
        <v>-8888</v>
      </c>
      <c r="AV111" s="89">
        <v>4.4889999999999999</v>
      </c>
      <c r="AW111" s="89">
        <v>0.35499999999999998</v>
      </c>
      <c r="AX111" s="89">
        <v>1.768</v>
      </c>
      <c r="AY111" s="89">
        <v>6.2569999999999997</v>
      </c>
      <c r="AZ111" s="89">
        <v>2.1230000000000002</v>
      </c>
      <c r="BA111" s="89">
        <v>2.9490000000000007</v>
      </c>
      <c r="BB111" s="89">
        <v>6.6120000000000001</v>
      </c>
      <c r="BC111" s="89">
        <v>1.952</v>
      </c>
      <c r="BD111" s="160">
        <v>0.81</v>
      </c>
      <c r="BE111" s="160">
        <v>0.83</v>
      </c>
      <c r="BF111" s="160">
        <v>0.17</v>
      </c>
      <c r="BG111" s="160">
        <v>2.11</v>
      </c>
      <c r="BH111" s="160">
        <v>0.05</v>
      </c>
      <c r="BI111" s="160">
        <v>0.95</v>
      </c>
      <c r="BJ111" s="160">
        <v>0.55000000000000004</v>
      </c>
      <c r="BL111" s="167" t="s">
        <v>715</v>
      </c>
    </row>
    <row r="112" spans="1:64" s="88" customFormat="1" ht="14.1" customHeight="1">
      <c r="A112" s="156" t="s">
        <v>374</v>
      </c>
      <c r="B112" s="169" t="s">
        <v>511</v>
      </c>
      <c r="C112" s="170" t="s">
        <v>716</v>
      </c>
      <c r="D112" s="169" t="s">
        <v>712</v>
      </c>
      <c r="E112" s="169" t="s">
        <v>170</v>
      </c>
      <c r="F112" s="169">
        <v>548</v>
      </c>
      <c r="G112" s="169">
        <v>1</v>
      </c>
      <c r="H112" s="169">
        <v>13</v>
      </c>
      <c r="I112" s="165">
        <v>2.9</v>
      </c>
      <c r="J112" s="165">
        <v>23</v>
      </c>
      <c r="K112" s="166" t="s">
        <v>514</v>
      </c>
      <c r="L112" s="165">
        <v>2024</v>
      </c>
      <c r="M112" s="165" t="s">
        <v>713</v>
      </c>
      <c r="N112" s="165">
        <v>6</v>
      </c>
      <c r="O112" s="181">
        <v>311</v>
      </c>
      <c r="P112" s="165" t="s">
        <v>717</v>
      </c>
      <c r="Q112" s="165">
        <v>-70.884</v>
      </c>
      <c r="R112" s="165">
        <v>41.195999999999998</v>
      </c>
      <c r="S112" s="165" t="s">
        <v>172</v>
      </c>
      <c r="T112" s="165">
        <v>25</v>
      </c>
      <c r="U112" s="166" t="s">
        <v>516</v>
      </c>
      <c r="V112" s="158">
        <v>3.6340000000000003</v>
      </c>
      <c r="W112" s="158">
        <v>0.121</v>
      </c>
      <c r="X112" s="158">
        <v>0.70199999999999996</v>
      </c>
      <c r="Y112" s="157">
        <v>0.13700000000000001</v>
      </c>
      <c r="Z112" s="159">
        <v>-8888</v>
      </c>
      <c r="AA112" s="89">
        <v>5.1999999999999998E-2</v>
      </c>
      <c r="AB112" s="89">
        <v>2.3E-2</v>
      </c>
      <c r="AC112" s="89">
        <v>0.14499999999999999</v>
      </c>
      <c r="AD112" s="89">
        <v>1.7999999999999999E-2</v>
      </c>
      <c r="AE112" s="89">
        <v>1.669</v>
      </c>
      <c r="AF112" s="89">
        <v>4.4999999999999998E-2</v>
      </c>
      <c r="AG112" s="89">
        <v>4.2000000000000003E-2</v>
      </c>
      <c r="AH112" s="89">
        <v>3.45</v>
      </c>
      <c r="AI112" s="89">
        <v>-8888</v>
      </c>
      <c r="AJ112" s="89">
        <v>0.184</v>
      </c>
      <c r="AK112" s="89">
        <v>0.121</v>
      </c>
      <c r="AL112" s="89">
        <v>-8888</v>
      </c>
      <c r="AM112" s="89">
        <v>0.52</v>
      </c>
      <c r="AN112" s="89">
        <v>0.182</v>
      </c>
      <c r="AO112" s="89">
        <v>7.0000000000000001E-3</v>
      </c>
      <c r="AP112" s="89">
        <v>1.4E-2</v>
      </c>
      <c r="AQ112" s="89">
        <v>1.6E-2</v>
      </c>
      <c r="AR112" s="89">
        <v>4.2000000000000003E-2</v>
      </c>
      <c r="AS112" s="89">
        <v>0.1</v>
      </c>
      <c r="AT112" s="89">
        <v>4.3999999999999997E-2</v>
      </c>
      <c r="AU112" s="89">
        <v>-8888</v>
      </c>
      <c r="AV112" s="89">
        <v>4.4570000000000007</v>
      </c>
      <c r="AW112" s="89">
        <v>0.36499999999999999</v>
      </c>
      <c r="AX112" s="89">
        <v>1.766</v>
      </c>
      <c r="AY112" s="89">
        <v>6.2230000000000008</v>
      </c>
      <c r="AZ112" s="89">
        <v>2.1310000000000002</v>
      </c>
      <c r="BA112" s="89">
        <v>2.9540000000000002</v>
      </c>
      <c r="BB112" s="89">
        <v>6.588000000000001</v>
      </c>
      <c r="BC112" s="89">
        <v>1.952</v>
      </c>
      <c r="BD112" s="160">
        <v>0.81</v>
      </c>
      <c r="BE112" s="160">
        <v>0.83</v>
      </c>
      <c r="BF112" s="160">
        <v>0.17</v>
      </c>
      <c r="BG112" s="160">
        <v>2.09</v>
      </c>
      <c r="BH112" s="160">
        <v>0.06</v>
      </c>
      <c r="BI112" s="160">
        <v>0.94</v>
      </c>
      <c r="BJ112" s="160">
        <v>0.55000000000000004</v>
      </c>
      <c r="BL112" s="167" t="s">
        <v>718</v>
      </c>
    </row>
    <row r="113" spans="1:64" s="88" customFormat="1" ht="14.1" customHeight="1">
      <c r="A113" s="156" t="s">
        <v>375</v>
      </c>
      <c r="B113" s="169" t="s">
        <v>511</v>
      </c>
      <c r="C113" s="170" t="s">
        <v>719</v>
      </c>
      <c r="D113" s="169" t="s">
        <v>712</v>
      </c>
      <c r="E113" s="169" t="s">
        <v>170</v>
      </c>
      <c r="F113" s="169">
        <v>547</v>
      </c>
      <c r="G113" s="169">
        <v>4</v>
      </c>
      <c r="H113" s="169">
        <v>4</v>
      </c>
      <c r="I113" s="165">
        <v>27</v>
      </c>
      <c r="J113" s="165">
        <v>46</v>
      </c>
      <c r="K113" s="166" t="s">
        <v>514</v>
      </c>
      <c r="L113" s="165">
        <v>2024</v>
      </c>
      <c r="M113" s="165" t="s">
        <v>713</v>
      </c>
      <c r="N113" s="165">
        <v>7</v>
      </c>
      <c r="O113" s="181">
        <v>312</v>
      </c>
      <c r="P113" s="165" t="s">
        <v>720</v>
      </c>
      <c r="Q113" s="165">
        <v>-70.882000000000005</v>
      </c>
      <c r="R113" s="165">
        <v>41.030999999999999</v>
      </c>
      <c r="S113" s="165" t="s">
        <v>172</v>
      </c>
      <c r="T113" s="165">
        <v>25</v>
      </c>
      <c r="U113" s="166" t="s">
        <v>516</v>
      </c>
      <c r="V113" s="158">
        <v>2.7009999999999996</v>
      </c>
      <c r="W113" s="158">
        <v>0.14799999999999999</v>
      </c>
      <c r="X113" s="158">
        <v>0.53200000000000003</v>
      </c>
      <c r="Y113" s="157">
        <v>0.113</v>
      </c>
      <c r="Z113" s="159">
        <v>-8888</v>
      </c>
      <c r="AA113" s="89">
        <v>8.7999999999999995E-2</v>
      </c>
      <c r="AB113" s="89">
        <v>3.1E-2</v>
      </c>
      <c r="AC113" s="89">
        <v>0.12</v>
      </c>
      <c r="AD113" s="89">
        <v>1.2999999999999999E-2</v>
      </c>
      <c r="AE113" s="89">
        <v>1.1359999999999999</v>
      </c>
      <c r="AF113" s="89">
        <v>6.6000000000000003E-2</v>
      </c>
      <c r="AG113" s="89">
        <v>2.8000000000000001E-2</v>
      </c>
      <c r="AH113" s="89">
        <v>2.57</v>
      </c>
      <c r="AI113" s="89">
        <v>-8888</v>
      </c>
      <c r="AJ113" s="89">
        <v>0.13100000000000001</v>
      </c>
      <c r="AK113" s="89">
        <v>0.14799999999999999</v>
      </c>
      <c r="AL113" s="89">
        <v>-8888</v>
      </c>
      <c r="AM113" s="89">
        <v>0.374</v>
      </c>
      <c r="AN113" s="89">
        <v>0.158</v>
      </c>
      <c r="AO113" s="89">
        <v>6.0000000000000001E-3</v>
      </c>
      <c r="AP113" s="89">
        <v>1.7999999999999999E-2</v>
      </c>
      <c r="AQ113" s="89">
        <v>1.4999999999999999E-2</v>
      </c>
      <c r="AR113" s="89">
        <v>3.4000000000000002E-2</v>
      </c>
      <c r="AS113" s="89">
        <v>8.1000000000000003E-2</v>
      </c>
      <c r="AT113" s="89">
        <v>4.8000000000000001E-2</v>
      </c>
      <c r="AU113" s="89">
        <v>-8888</v>
      </c>
      <c r="AV113" s="89">
        <v>3.3809999999999998</v>
      </c>
      <c r="AW113" s="89">
        <v>0.30499999999999999</v>
      </c>
      <c r="AX113" s="89">
        <v>1.29</v>
      </c>
      <c r="AY113" s="89">
        <v>4.6709999999999994</v>
      </c>
      <c r="AZ113" s="89">
        <v>1.595</v>
      </c>
      <c r="BA113" s="89">
        <v>2.2749999999999999</v>
      </c>
      <c r="BB113" s="89">
        <v>4.9759999999999991</v>
      </c>
      <c r="BC113" s="89">
        <v>1.4970000000000001</v>
      </c>
      <c r="BD113" s="160">
        <v>0.84</v>
      </c>
      <c r="BE113" s="160">
        <v>0.81</v>
      </c>
      <c r="BF113" s="160">
        <v>0.19</v>
      </c>
      <c r="BG113" s="160">
        <v>2.12</v>
      </c>
      <c r="BH113" s="160">
        <v>0.06</v>
      </c>
      <c r="BI113" s="160">
        <v>0.94</v>
      </c>
      <c r="BJ113" s="160">
        <v>0.54</v>
      </c>
      <c r="BL113" s="167" t="s">
        <v>721</v>
      </c>
    </row>
    <row r="114" spans="1:64" s="88" customFormat="1" ht="14.1" customHeight="1">
      <c r="A114" s="156" t="s">
        <v>376</v>
      </c>
      <c r="B114" s="169" t="s">
        <v>511</v>
      </c>
      <c r="C114" s="170" t="s">
        <v>722</v>
      </c>
      <c r="D114" s="169" t="s">
        <v>712</v>
      </c>
      <c r="E114" s="169" t="s">
        <v>170</v>
      </c>
      <c r="F114" s="169">
        <v>549</v>
      </c>
      <c r="G114" s="169">
        <v>4</v>
      </c>
      <c r="H114" s="169">
        <v>10</v>
      </c>
      <c r="I114" s="165">
        <v>14.8</v>
      </c>
      <c r="J114" s="165">
        <v>46</v>
      </c>
      <c r="K114" s="166" t="s">
        <v>514</v>
      </c>
      <c r="L114" s="165">
        <v>2024</v>
      </c>
      <c r="M114" s="165" t="s">
        <v>713</v>
      </c>
      <c r="N114" s="165">
        <v>7</v>
      </c>
      <c r="O114" s="181">
        <v>312</v>
      </c>
      <c r="P114" s="165" t="s">
        <v>723</v>
      </c>
      <c r="Q114" s="165">
        <v>-70.881</v>
      </c>
      <c r="R114" s="165">
        <v>41.031999999999996</v>
      </c>
      <c r="S114" s="165" t="s">
        <v>172</v>
      </c>
      <c r="T114" s="165">
        <v>25</v>
      </c>
      <c r="U114" s="166" t="s">
        <v>516</v>
      </c>
      <c r="V114" s="158">
        <v>2.7810000000000001</v>
      </c>
      <c r="W114" s="158">
        <v>0.13700000000000001</v>
      </c>
      <c r="X114" s="158">
        <v>0.54100000000000004</v>
      </c>
      <c r="Y114" s="157">
        <v>0.11600000000000001</v>
      </c>
      <c r="Z114" s="159">
        <v>-8888</v>
      </c>
      <c r="AA114" s="89">
        <v>7.0999999999999994E-2</v>
      </c>
      <c r="AB114" s="89">
        <v>2.7E-2</v>
      </c>
      <c r="AC114" s="89">
        <v>0.126</v>
      </c>
      <c r="AD114" s="89">
        <v>1.7999999999999999E-2</v>
      </c>
      <c r="AE114" s="89">
        <v>1.2250000000000001</v>
      </c>
      <c r="AF114" s="89">
        <v>4.7E-2</v>
      </c>
      <c r="AG114" s="89">
        <v>2.7E-2</v>
      </c>
      <c r="AH114" s="89">
        <v>2.649</v>
      </c>
      <c r="AI114" s="89">
        <v>-8888</v>
      </c>
      <c r="AJ114" s="89">
        <v>0.13200000000000001</v>
      </c>
      <c r="AK114" s="89">
        <v>0.13700000000000001</v>
      </c>
      <c r="AL114" s="89">
        <v>-8888</v>
      </c>
      <c r="AM114" s="89">
        <v>0.38700000000000001</v>
      </c>
      <c r="AN114" s="89">
        <v>0.154</v>
      </c>
      <c r="AO114" s="89">
        <v>5.0000000000000001E-3</v>
      </c>
      <c r="AP114" s="89">
        <v>1.7000000000000001E-2</v>
      </c>
      <c r="AQ114" s="89">
        <v>1.4E-2</v>
      </c>
      <c r="AR114" s="89">
        <v>3.4000000000000002E-2</v>
      </c>
      <c r="AS114" s="89">
        <v>7.4999999999999997E-2</v>
      </c>
      <c r="AT114" s="89">
        <v>4.3999999999999997E-2</v>
      </c>
      <c r="AU114" s="89">
        <v>-8888</v>
      </c>
      <c r="AV114" s="89">
        <v>3.4590000000000001</v>
      </c>
      <c r="AW114" s="89">
        <v>0.314</v>
      </c>
      <c r="AX114" s="89">
        <v>1.343</v>
      </c>
      <c r="AY114" s="89">
        <v>4.8019999999999996</v>
      </c>
      <c r="AZ114" s="89">
        <v>1.657</v>
      </c>
      <c r="BA114" s="89">
        <v>2.335</v>
      </c>
      <c r="BB114" s="89">
        <v>5.1159999999999997</v>
      </c>
      <c r="BC114" s="89">
        <v>1.534</v>
      </c>
      <c r="BD114" s="160">
        <v>0.84</v>
      </c>
      <c r="BE114" s="160">
        <v>0.81</v>
      </c>
      <c r="BF114" s="160">
        <v>0.19</v>
      </c>
      <c r="BG114" s="160">
        <v>2.09</v>
      </c>
      <c r="BH114" s="160">
        <v>0.06</v>
      </c>
      <c r="BI114" s="160">
        <v>0.94</v>
      </c>
      <c r="BJ114" s="160">
        <v>0.54</v>
      </c>
      <c r="BL114" s="167" t="s">
        <v>724</v>
      </c>
    </row>
    <row r="115" spans="1:64" s="88" customFormat="1" ht="14.1" customHeight="1">
      <c r="A115" s="156" t="s">
        <v>377</v>
      </c>
      <c r="B115" s="169" t="s">
        <v>511</v>
      </c>
      <c r="C115" s="170" t="s">
        <v>725</v>
      </c>
      <c r="D115" s="169" t="s">
        <v>712</v>
      </c>
      <c r="E115" s="169" t="s">
        <v>170</v>
      </c>
      <c r="F115" s="169">
        <v>548</v>
      </c>
      <c r="G115" s="169">
        <v>4</v>
      </c>
      <c r="H115" s="169">
        <v>16</v>
      </c>
      <c r="I115" s="165">
        <v>2.9</v>
      </c>
      <c r="J115" s="165">
        <v>46</v>
      </c>
      <c r="K115" s="166" t="s">
        <v>514</v>
      </c>
      <c r="L115" s="165">
        <v>2024</v>
      </c>
      <c r="M115" s="165" t="s">
        <v>713</v>
      </c>
      <c r="N115" s="165">
        <v>7</v>
      </c>
      <c r="O115" s="181">
        <v>312</v>
      </c>
      <c r="P115" s="165" t="s">
        <v>726</v>
      </c>
      <c r="Q115" s="165">
        <v>-70.881</v>
      </c>
      <c r="R115" s="165">
        <v>41.031999999999996</v>
      </c>
      <c r="S115" s="165" t="s">
        <v>172</v>
      </c>
      <c r="T115" s="165">
        <v>25</v>
      </c>
      <c r="U115" s="166" t="s">
        <v>516</v>
      </c>
      <c r="V115" s="158">
        <v>2.6579999999999999</v>
      </c>
      <c r="W115" s="158">
        <v>0.13</v>
      </c>
      <c r="X115" s="158">
        <v>0.51700000000000002</v>
      </c>
      <c r="Y115" s="157">
        <v>0.114</v>
      </c>
      <c r="Z115" s="159">
        <v>-8888</v>
      </c>
      <c r="AA115" s="89">
        <v>6.8000000000000005E-2</v>
      </c>
      <c r="AB115" s="89">
        <v>2.7E-2</v>
      </c>
      <c r="AC115" s="89">
        <v>0.121</v>
      </c>
      <c r="AD115" s="89">
        <v>1.6E-2</v>
      </c>
      <c r="AE115" s="89">
        <v>1.145</v>
      </c>
      <c r="AF115" s="89">
        <v>4.5999999999999999E-2</v>
      </c>
      <c r="AG115" s="89">
        <v>2.9000000000000001E-2</v>
      </c>
      <c r="AH115" s="89">
        <v>2.5569999999999999</v>
      </c>
      <c r="AI115" s="89">
        <v>-8888</v>
      </c>
      <c r="AJ115" s="89">
        <v>0.10100000000000001</v>
      </c>
      <c r="AK115" s="89">
        <v>0.13</v>
      </c>
      <c r="AL115" s="89">
        <v>-8888</v>
      </c>
      <c r="AM115" s="89">
        <v>0.36799999999999999</v>
      </c>
      <c r="AN115" s="89">
        <v>0.14899999999999999</v>
      </c>
      <c r="AO115" s="89">
        <v>5.0000000000000001E-3</v>
      </c>
      <c r="AP115" s="89">
        <v>1.6E-2</v>
      </c>
      <c r="AQ115" s="89">
        <v>1.4E-2</v>
      </c>
      <c r="AR115" s="89">
        <v>3.3000000000000002E-2</v>
      </c>
      <c r="AS115" s="89">
        <v>7.0000000000000007E-2</v>
      </c>
      <c r="AT115" s="89">
        <v>0.03</v>
      </c>
      <c r="AU115" s="89">
        <v>-8888</v>
      </c>
      <c r="AV115" s="89">
        <v>3.3049999999999997</v>
      </c>
      <c r="AW115" s="89">
        <v>0.307</v>
      </c>
      <c r="AX115" s="89">
        <v>1.2590000000000001</v>
      </c>
      <c r="AY115" s="89">
        <v>4.5640000000000001</v>
      </c>
      <c r="AZ115" s="89">
        <v>1.5660000000000001</v>
      </c>
      <c r="BA115" s="89">
        <v>2.2130000000000001</v>
      </c>
      <c r="BB115" s="89">
        <v>4.8710000000000004</v>
      </c>
      <c r="BC115" s="89">
        <v>1.4450000000000001</v>
      </c>
      <c r="BD115" s="160">
        <v>0.83</v>
      </c>
      <c r="BE115" s="160">
        <v>0.8</v>
      </c>
      <c r="BF115" s="160">
        <v>0.2</v>
      </c>
      <c r="BG115" s="160">
        <v>2.11</v>
      </c>
      <c r="BH115" s="160">
        <v>0.06</v>
      </c>
      <c r="BI115" s="160">
        <v>0.94</v>
      </c>
      <c r="BJ115" s="160">
        <v>0.55000000000000004</v>
      </c>
      <c r="BL115" s="167" t="s">
        <v>727</v>
      </c>
    </row>
    <row r="116" spans="1:64" s="88" customFormat="1" ht="14.1" customHeight="1">
      <c r="A116" s="156" t="s">
        <v>378</v>
      </c>
      <c r="B116" s="169" t="s">
        <v>511</v>
      </c>
      <c r="C116" s="170" t="s">
        <v>728</v>
      </c>
      <c r="D116" s="169" t="s">
        <v>712</v>
      </c>
      <c r="E116" s="169" t="s">
        <v>170</v>
      </c>
      <c r="F116" s="169">
        <v>547</v>
      </c>
      <c r="G116" s="169">
        <v>5</v>
      </c>
      <c r="H116" s="169">
        <v>7</v>
      </c>
      <c r="I116" s="165">
        <v>36.799999999999997</v>
      </c>
      <c r="J116" s="165">
        <v>77</v>
      </c>
      <c r="K116" s="166" t="s">
        <v>514</v>
      </c>
      <c r="L116" s="165">
        <v>2024</v>
      </c>
      <c r="M116" s="165" t="s">
        <v>713</v>
      </c>
      <c r="N116" s="165">
        <v>7</v>
      </c>
      <c r="O116" s="181">
        <v>312</v>
      </c>
      <c r="P116" s="165" t="s">
        <v>729</v>
      </c>
      <c r="Q116" s="165">
        <v>-70.882000000000005</v>
      </c>
      <c r="R116" s="165">
        <v>40.514000000000003</v>
      </c>
      <c r="S116" s="165" t="s">
        <v>172</v>
      </c>
      <c r="T116" s="165">
        <v>25</v>
      </c>
      <c r="U116" s="166" t="s">
        <v>516</v>
      </c>
      <c r="V116" s="158">
        <v>0.93200000000000005</v>
      </c>
      <c r="W116" s="158">
        <v>0.12</v>
      </c>
      <c r="X116" s="158">
        <v>0.23299999999999998</v>
      </c>
      <c r="Y116" s="157">
        <v>4.4999999999999998E-2</v>
      </c>
      <c r="Z116" s="159">
        <v>3.7999999999999999E-2</v>
      </c>
      <c r="AA116" s="89">
        <v>0.13900000000000001</v>
      </c>
      <c r="AB116" s="89">
        <v>1.4999999999999999E-2</v>
      </c>
      <c r="AC116" s="89">
        <v>3.9E-2</v>
      </c>
      <c r="AD116" s="89">
        <v>3.0000000000000001E-3</v>
      </c>
      <c r="AE116" s="89">
        <v>0.27300000000000002</v>
      </c>
      <c r="AF116" s="89">
        <v>3.1E-2</v>
      </c>
      <c r="AG116" s="89">
        <v>1.9E-2</v>
      </c>
      <c r="AH116" s="89">
        <v>0.92200000000000004</v>
      </c>
      <c r="AI116" s="89">
        <v>-8888</v>
      </c>
      <c r="AJ116" s="89">
        <v>0.01</v>
      </c>
      <c r="AK116" s="89">
        <v>0.12</v>
      </c>
      <c r="AL116" s="89">
        <v>-8888</v>
      </c>
      <c r="AM116" s="89">
        <v>0.122</v>
      </c>
      <c r="AN116" s="89">
        <v>0.111</v>
      </c>
      <c r="AO116" s="89">
        <v>7.0000000000000001E-3</v>
      </c>
      <c r="AP116" s="89">
        <v>1.4E-2</v>
      </c>
      <c r="AQ116" s="89">
        <v>1.2E-2</v>
      </c>
      <c r="AR116" s="89">
        <v>1.6E-2</v>
      </c>
      <c r="AS116" s="89">
        <v>3.3000000000000002E-2</v>
      </c>
      <c r="AT116" s="89">
        <v>3.4000000000000002E-2</v>
      </c>
      <c r="AU116" s="89">
        <v>-8888</v>
      </c>
      <c r="AV116" s="89">
        <v>1.2850000000000001</v>
      </c>
      <c r="AW116" s="89">
        <v>0.121</v>
      </c>
      <c r="AX116" s="89">
        <v>0.48099999999999998</v>
      </c>
      <c r="AY116" s="89">
        <v>1.766</v>
      </c>
      <c r="AZ116" s="89">
        <v>0.60199999999999998</v>
      </c>
      <c r="BA116" s="89">
        <v>0.95499999999999996</v>
      </c>
      <c r="BB116" s="89">
        <v>1.887</v>
      </c>
      <c r="BC116" s="89">
        <v>0.63500000000000001</v>
      </c>
      <c r="BD116" s="160">
        <v>1.02</v>
      </c>
      <c r="BE116" s="160">
        <v>0.8</v>
      </c>
      <c r="BF116" s="160">
        <v>0.2</v>
      </c>
      <c r="BG116" s="160">
        <v>2.13</v>
      </c>
      <c r="BH116" s="160">
        <v>0.06</v>
      </c>
      <c r="BI116" s="160">
        <v>0.94</v>
      </c>
      <c r="BJ116" s="160">
        <v>0.49</v>
      </c>
      <c r="BL116" s="167" t="s">
        <v>730</v>
      </c>
    </row>
    <row r="117" spans="1:64" s="88" customFormat="1" ht="14.1" customHeight="1">
      <c r="A117" s="156" t="s">
        <v>379</v>
      </c>
      <c r="B117" s="169" t="s">
        <v>511</v>
      </c>
      <c r="C117" s="170" t="s">
        <v>731</v>
      </c>
      <c r="D117" s="169" t="s">
        <v>712</v>
      </c>
      <c r="E117" s="169" t="s">
        <v>170</v>
      </c>
      <c r="F117" s="169">
        <v>548</v>
      </c>
      <c r="G117" s="169">
        <v>5</v>
      </c>
      <c r="H117" s="169">
        <v>13</v>
      </c>
      <c r="I117" s="165">
        <v>3.7</v>
      </c>
      <c r="J117" s="165">
        <v>77</v>
      </c>
      <c r="K117" s="166" t="s">
        <v>514</v>
      </c>
      <c r="L117" s="165">
        <v>2024</v>
      </c>
      <c r="M117" s="165" t="s">
        <v>713</v>
      </c>
      <c r="N117" s="165">
        <v>7</v>
      </c>
      <c r="O117" s="181">
        <v>312</v>
      </c>
      <c r="P117" s="165" t="s">
        <v>732</v>
      </c>
      <c r="Q117" s="165">
        <v>-70.882000000000005</v>
      </c>
      <c r="R117" s="165">
        <v>40.514000000000003</v>
      </c>
      <c r="S117" s="165" t="s">
        <v>172</v>
      </c>
      <c r="T117" s="165">
        <v>25</v>
      </c>
      <c r="U117" s="166" t="s">
        <v>516</v>
      </c>
      <c r="V117" s="158">
        <v>0.88100000000000001</v>
      </c>
      <c r="W117" s="158">
        <v>0.13100000000000001</v>
      </c>
      <c r="X117" s="158">
        <v>0.21000000000000002</v>
      </c>
      <c r="Y117" s="157">
        <v>4.4999999999999998E-2</v>
      </c>
      <c r="Z117" s="159">
        <v>0.04</v>
      </c>
      <c r="AA117" s="89">
        <v>0.14199999999999999</v>
      </c>
      <c r="AB117" s="89">
        <v>1.6E-2</v>
      </c>
      <c r="AC117" s="89">
        <v>5.2999999999999999E-2</v>
      </c>
      <c r="AD117" s="89">
        <v>5.0000000000000001E-3</v>
      </c>
      <c r="AE117" s="89">
        <v>0.20799999999999999</v>
      </c>
      <c r="AF117" s="89">
        <v>3.4000000000000002E-2</v>
      </c>
      <c r="AG117" s="89">
        <v>2.9000000000000001E-2</v>
      </c>
      <c r="AH117" s="89">
        <v>0.871</v>
      </c>
      <c r="AI117" s="89">
        <v>-8888</v>
      </c>
      <c r="AJ117" s="89">
        <v>0.01</v>
      </c>
      <c r="AK117" s="89">
        <v>0.13100000000000001</v>
      </c>
      <c r="AL117" s="89">
        <v>-8888</v>
      </c>
      <c r="AM117" s="89">
        <v>0.113</v>
      </c>
      <c r="AN117" s="89">
        <v>9.7000000000000003E-2</v>
      </c>
      <c r="AO117" s="89">
        <v>8.0000000000000002E-3</v>
      </c>
      <c r="AP117" s="89">
        <v>1.4999999999999999E-2</v>
      </c>
      <c r="AQ117" s="89">
        <v>1.4E-2</v>
      </c>
      <c r="AR117" s="89">
        <v>1.4999999999999999E-2</v>
      </c>
      <c r="AS117" s="89">
        <v>2.5999999999999999E-2</v>
      </c>
      <c r="AT117" s="89">
        <v>3.5000000000000003E-2</v>
      </c>
      <c r="AU117" s="89">
        <v>-8888</v>
      </c>
      <c r="AV117" s="89">
        <v>1.222</v>
      </c>
      <c r="AW117" s="89">
        <v>0.14800000000000002</v>
      </c>
      <c r="AX117" s="89">
        <v>0.42400000000000004</v>
      </c>
      <c r="AY117" s="89">
        <v>1.6459999999999999</v>
      </c>
      <c r="AZ117" s="89">
        <v>0.57200000000000006</v>
      </c>
      <c r="BA117" s="89">
        <v>0.91300000000000003</v>
      </c>
      <c r="BB117" s="89">
        <v>1.794</v>
      </c>
      <c r="BC117" s="89">
        <v>0.60000000000000009</v>
      </c>
      <c r="BD117" s="160">
        <v>1.04</v>
      </c>
      <c r="BE117" s="160">
        <v>0.74</v>
      </c>
      <c r="BF117" s="160">
        <v>0.26</v>
      </c>
      <c r="BG117" s="160">
        <v>2.14</v>
      </c>
      <c r="BH117" s="160">
        <v>0.08</v>
      </c>
      <c r="BI117" s="160">
        <v>0.92</v>
      </c>
      <c r="BJ117" s="160">
        <v>0.49</v>
      </c>
      <c r="BL117" s="167" t="s">
        <v>733</v>
      </c>
    </row>
    <row r="118" spans="1:64" s="88" customFormat="1" ht="14.1" customHeight="1">
      <c r="A118" s="156" t="s">
        <v>380</v>
      </c>
      <c r="B118" s="169" t="s">
        <v>511</v>
      </c>
      <c r="C118" s="170" t="s">
        <v>734</v>
      </c>
      <c r="D118" s="169" t="s">
        <v>712</v>
      </c>
      <c r="E118" s="169" t="s">
        <v>170</v>
      </c>
      <c r="F118" s="169">
        <v>1060</v>
      </c>
      <c r="G118" s="169">
        <v>10</v>
      </c>
      <c r="H118" s="169">
        <v>8</v>
      </c>
      <c r="I118" s="165">
        <v>57.1</v>
      </c>
      <c r="J118" s="165">
        <v>1593</v>
      </c>
      <c r="K118" s="166" t="s">
        <v>514</v>
      </c>
      <c r="L118" s="165">
        <v>2024</v>
      </c>
      <c r="M118" s="165" t="s">
        <v>713</v>
      </c>
      <c r="N118" s="165">
        <v>8</v>
      </c>
      <c r="O118" s="181">
        <v>313</v>
      </c>
      <c r="P118" s="165" t="s">
        <v>735</v>
      </c>
      <c r="Q118" s="165">
        <v>-70.887</v>
      </c>
      <c r="R118" s="165">
        <v>39.770000000000003</v>
      </c>
      <c r="S118" s="165" t="s">
        <v>172</v>
      </c>
      <c r="T118" s="165">
        <v>25</v>
      </c>
      <c r="U118" s="166" t="s">
        <v>516</v>
      </c>
      <c r="V118" s="158">
        <v>0.35599999999999998</v>
      </c>
      <c r="W118" s="158">
        <v>0.16700000000000001</v>
      </c>
      <c r="X118" s="158">
        <v>0.112</v>
      </c>
      <c r="Y118" s="157">
        <v>3.4000000000000002E-2</v>
      </c>
      <c r="Z118" s="159">
        <v>6.7000000000000004E-2</v>
      </c>
      <c r="AA118" s="89">
        <v>7.5999999999999998E-2</v>
      </c>
      <c r="AB118" s="89">
        <v>3.0000000000000001E-3</v>
      </c>
      <c r="AC118" s="89">
        <v>8.0000000000000002E-3</v>
      </c>
      <c r="AD118" s="89">
        <v>-8888</v>
      </c>
      <c r="AE118" s="89">
        <v>4.3999999999999997E-2</v>
      </c>
      <c r="AF118" s="89">
        <v>4.0000000000000001E-3</v>
      </c>
      <c r="AG118" s="89">
        <v>2.1000000000000001E-2</v>
      </c>
      <c r="AH118" s="89">
        <v>0.28699999999999998</v>
      </c>
      <c r="AI118" s="89">
        <v>6.4000000000000001E-2</v>
      </c>
      <c r="AJ118" s="89">
        <v>5.0000000000000001E-3</v>
      </c>
      <c r="AK118" s="89">
        <v>6.7000000000000004E-2</v>
      </c>
      <c r="AL118" s="89">
        <v>0.1</v>
      </c>
      <c r="AM118" s="89">
        <v>4.2999999999999997E-2</v>
      </c>
      <c r="AN118" s="89">
        <v>6.9000000000000006E-2</v>
      </c>
      <c r="AO118" s="89">
        <v>1E-3</v>
      </c>
      <c r="AP118" s="89">
        <v>6.0000000000000001E-3</v>
      </c>
      <c r="AQ118" s="89">
        <v>2E-3</v>
      </c>
      <c r="AR118" s="89">
        <v>5.0000000000000001E-3</v>
      </c>
      <c r="AS118" s="89">
        <v>1.2E-2</v>
      </c>
      <c r="AT118" s="89">
        <v>1.2999999999999999E-2</v>
      </c>
      <c r="AU118" s="89">
        <v>-8888</v>
      </c>
      <c r="AV118" s="89">
        <v>0.63500000000000001</v>
      </c>
      <c r="AW118" s="89">
        <v>6.6000000000000003E-2</v>
      </c>
      <c r="AX118" s="89">
        <v>0.191</v>
      </c>
      <c r="AY118" s="89">
        <v>0.82600000000000007</v>
      </c>
      <c r="AZ118" s="89">
        <v>0.25700000000000001</v>
      </c>
      <c r="BA118" s="89">
        <v>0.53600000000000003</v>
      </c>
      <c r="BB118" s="89">
        <v>0.89200000000000002</v>
      </c>
      <c r="BC118" s="89">
        <v>0.38200000000000001</v>
      </c>
      <c r="BD118" s="160">
        <v>1.51</v>
      </c>
      <c r="BE118" s="160">
        <v>0.74</v>
      </c>
      <c r="BF118" s="160">
        <v>0.26</v>
      </c>
      <c r="BG118" s="160">
        <v>2.4700000000000002</v>
      </c>
      <c r="BH118" s="160">
        <v>7.0000000000000007E-2</v>
      </c>
      <c r="BI118" s="160">
        <v>0.93</v>
      </c>
      <c r="BJ118" s="160">
        <v>0.4</v>
      </c>
      <c r="BL118" s="167" t="s">
        <v>736</v>
      </c>
    </row>
    <row r="119" spans="1:64" s="88" customFormat="1" ht="14.1" customHeight="1">
      <c r="A119" s="156" t="s">
        <v>381</v>
      </c>
      <c r="B119" s="169" t="s">
        <v>511</v>
      </c>
      <c r="C119" s="170" t="s">
        <v>737</v>
      </c>
      <c r="D119" s="169" t="s">
        <v>712</v>
      </c>
      <c r="E119" s="169" t="s">
        <v>170</v>
      </c>
      <c r="F119" s="169">
        <v>1055</v>
      </c>
      <c r="G119" s="169">
        <v>10</v>
      </c>
      <c r="H119" s="169">
        <v>13</v>
      </c>
      <c r="I119" s="165">
        <v>41.6</v>
      </c>
      <c r="J119" s="165">
        <v>1593</v>
      </c>
      <c r="K119" s="166" t="s">
        <v>514</v>
      </c>
      <c r="L119" s="165">
        <v>2024</v>
      </c>
      <c r="M119" s="165" t="s">
        <v>713</v>
      </c>
      <c r="N119" s="165">
        <v>8</v>
      </c>
      <c r="O119" s="181">
        <v>313</v>
      </c>
      <c r="P119" s="165" t="s">
        <v>738</v>
      </c>
      <c r="Q119" s="165">
        <v>-70.888000000000005</v>
      </c>
      <c r="R119" s="165">
        <v>39.770000000000003</v>
      </c>
      <c r="S119" s="165" t="s">
        <v>172</v>
      </c>
      <c r="T119" s="165">
        <v>25</v>
      </c>
      <c r="U119" s="166" t="s">
        <v>516</v>
      </c>
      <c r="V119" s="158">
        <v>0.39999999999999997</v>
      </c>
      <c r="W119" s="158">
        <v>6.3E-2</v>
      </c>
      <c r="X119" s="158">
        <v>8.6999999999999994E-2</v>
      </c>
      <c r="Y119" s="157">
        <v>3.2000000000000001E-2</v>
      </c>
      <c r="Z119" s="159">
        <v>3.2000000000000001E-2</v>
      </c>
      <c r="AA119" s="89">
        <v>7.3999999999999996E-2</v>
      </c>
      <c r="AB119" s="89">
        <v>1.0999999999999999E-2</v>
      </c>
      <c r="AC119" s="89">
        <v>8.9999999999999993E-3</v>
      </c>
      <c r="AD119" s="89">
        <v>1E-3</v>
      </c>
      <c r="AE119" s="89">
        <v>4.1000000000000002E-2</v>
      </c>
      <c r="AF119" s="89">
        <v>6.0000000000000001E-3</v>
      </c>
      <c r="AG119" s="89">
        <v>4.5999999999999999E-2</v>
      </c>
      <c r="AH119" s="89">
        <v>0.34399999999999997</v>
      </c>
      <c r="AI119" s="89">
        <v>5.2999999999999999E-2</v>
      </c>
      <c r="AJ119" s="89">
        <v>3.0000000000000001E-3</v>
      </c>
      <c r="AK119" s="89">
        <v>5.0999999999999997E-2</v>
      </c>
      <c r="AL119" s="89">
        <v>1.2E-2</v>
      </c>
      <c r="AM119" s="89">
        <v>4.2999999999999997E-2</v>
      </c>
      <c r="AN119" s="89">
        <v>4.3999999999999997E-2</v>
      </c>
      <c r="AO119" s="89">
        <v>1E-3</v>
      </c>
      <c r="AP119" s="89">
        <v>5.0000000000000001E-3</v>
      </c>
      <c r="AQ119" s="89">
        <v>3.0000000000000001E-3</v>
      </c>
      <c r="AR119" s="89">
        <v>4.0000000000000001E-3</v>
      </c>
      <c r="AS119" s="89">
        <v>7.0000000000000001E-3</v>
      </c>
      <c r="AT119" s="89">
        <v>1.4E-2</v>
      </c>
      <c r="AU119" s="89">
        <v>-8888</v>
      </c>
      <c r="AV119" s="89">
        <v>0.54999999999999993</v>
      </c>
      <c r="AW119" s="89">
        <v>9.9000000000000005E-2</v>
      </c>
      <c r="AX119" s="89">
        <v>0.15300000000000002</v>
      </c>
      <c r="AY119" s="89">
        <v>0.70299999999999996</v>
      </c>
      <c r="AZ119" s="89">
        <v>0.252</v>
      </c>
      <c r="BA119" s="89">
        <v>0.40200000000000002</v>
      </c>
      <c r="BB119" s="89">
        <v>0.80200000000000005</v>
      </c>
      <c r="BC119" s="89">
        <v>0.27300000000000002</v>
      </c>
      <c r="BD119" s="160">
        <v>1.01</v>
      </c>
      <c r="BE119" s="160">
        <v>0.61</v>
      </c>
      <c r="BF119" s="160">
        <v>0.39</v>
      </c>
      <c r="BG119" s="160">
        <v>2.1800000000000002</v>
      </c>
      <c r="BH119" s="160">
        <v>0.12</v>
      </c>
      <c r="BI119" s="160">
        <v>0.88</v>
      </c>
      <c r="BJ119" s="160">
        <v>0.5</v>
      </c>
      <c r="BL119" s="167" t="s">
        <v>739</v>
      </c>
    </row>
    <row r="120" spans="1:64" s="88" customFormat="1" ht="14.1" customHeight="1">
      <c r="A120" s="156" t="s">
        <v>382</v>
      </c>
      <c r="B120" s="169" t="s">
        <v>511</v>
      </c>
      <c r="C120" s="170" t="s">
        <v>740</v>
      </c>
      <c r="D120" s="169" t="s">
        <v>712</v>
      </c>
      <c r="E120" s="169" t="s">
        <v>170</v>
      </c>
      <c r="F120" s="169">
        <v>1055</v>
      </c>
      <c r="G120" s="169">
        <v>10</v>
      </c>
      <c r="H120" s="169">
        <v>18</v>
      </c>
      <c r="I120" s="165">
        <v>2.5</v>
      </c>
      <c r="J120" s="165">
        <v>1593</v>
      </c>
      <c r="K120" s="166" t="s">
        <v>514</v>
      </c>
      <c r="L120" s="165">
        <v>2024</v>
      </c>
      <c r="M120" s="165" t="s">
        <v>713</v>
      </c>
      <c r="N120" s="165">
        <v>8</v>
      </c>
      <c r="O120" s="181">
        <v>313</v>
      </c>
      <c r="P120" s="165" t="s">
        <v>741</v>
      </c>
      <c r="Q120" s="165">
        <v>-70.888000000000005</v>
      </c>
      <c r="R120" s="165">
        <v>39.768999999999998</v>
      </c>
      <c r="S120" s="165" t="s">
        <v>172</v>
      </c>
      <c r="T120" s="165">
        <v>25</v>
      </c>
      <c r="U120" s="166" t="s">
        <v>516</v>
      </c>
      <c r="V120" s="158">
        <v>0.41299999999999998</v>
      </c>
      <c r="W120" s="158">
        <v>6.7000000000000004E-2</v>
      </c>
      <c r="X120" s="158">
        <v>9.4E-2</v>
      </c>
      <c r="Y120" s="157">
        <v>3.2000000000000001E-2</v>
      </c>
      <c r="Z120" s="159">
        <v>3.5000000000000003E-2</v>
      </c>
      <c r="AA120" s="89">
        <v>8.3000000000000004E-2</v>
      </c>
      <c r="AB120" s="89">
        <v>1.0999999999999999E-2</v>
      </c>
      <c r="AC120" s="89">
        <v>0.01</v>
      </c>
      <c r="AD120" s="89">
        <v>-8888</v>
      </c>
      <c r="AE120" s="89">
        <v>4.1000000000000002E-2</v>
      </c>
      <c r="AF120" s="89">
        <v>6.0000000000000001E-3</v>
      </c>
      <c r="AG120" s="89">
        <v>4.9000000000000002E-2</v>
      </c>
      <c r="AH120" s="89">
        <v>0.35</v>
      </c>
      <c r="AI120" s="89">
        <v>5.3999999999999999E-2</v>
      </c>
      <c r="AJ120" s="89">
        <v>8.9999999999999993E-3</v>
      </c>
      <c r="AK120" s="89">
        <v>5.5E-2</v>
      </c>
      <c r="AL120" s="89">
        <v>1.2E-2</v>
      </c>
      <c r="AM120" s="89">
        <v>4.5999999999999999E-2</v>
      </c>
      <c r="AN120" s="89">
        <v>4.8000000000000001E-2</v>
      </c>
      <c r="AO120" s="89">
        <v>1E-3</v>
      </c>
      <c r="AP120" s="89">
        <v>6.0000000000000001E-3</v>
      </c>
      <c r="AQ120" s="89">
        <v>3.0000000000000001E-3</v>
      </c>
      <c r="AR120" s="89">
        <v>4.0000000000000001E-3</v>
      </c>
      <c r="AS120" s="89">
        <v>0.01</v>
      </c>
      <c r="AT120" s="89">
        <v>1.4E-2</v>
      </c>
      <c r="AU120" s="89">
        <v>-8888</v>
      </c>
      <c r="AV120" s="89">
        <v>0.57399999999999995</v>
      </c>
      <c r="AW120" s="89">
        <v>0.10200000000000001</v>
      </c>
      <c r="AX120" s="89">
        <v>0.16500000000000004</v>
      </c>
      <c r="AY120" s="89">
        <v>0.73899999999999999</v>
      </c>
      <c r="AZ120" s="89">
        <v>0.26700000000000002</v>
      </c>
      <c r="BA120" s="89">
        <v>0.42800000000000005</v>
      </c>
      <c r="BB120" s="89">
        <v>0.84099999999999997</v>
      </c>
      <c r="BC120" s="89">
        <v>0.29200000000000004</v>
      </c>
      <c r="BD120" s="160">
        <v>1.04</v>
      </c>
      <c r="BE120" s="160">
        <v>0.62</v>
      </c>
      <c r="BF120" s="160">
        <v>0.38</v>
      </c>
      <c r="BG120" s="160">
        <v>2.15</v>
      </c>
      <c r="BH120" s="160">
        <v>0.12</v>
      </c>
      <c r="BI120" s="160">
        <v>0.88</v>
      </c>
      <c r="BJ120" s="160">
        <v>0.49</v>
      </c>
      <c r="BL120" s="167" t="s">
        <v>742</v>
      </c>
    </row>
    <row r="121" spans="1:64" s="88" customFormat="1" ht="14.1" customHeight="1">
      <c r="A121" s="156" t="s">
        <v>383</v>
      </c>
      <c r="B121" s="169" t="s">
        <v>511</v>
      </c>
      <c r="C121" s="170" t="s">
        <v>743</v>
      </c>
      <c r="D121" s="169" t="s">
        <v>712</v>
      </c>
      <c r="E121" s="169" t="s">
        <v>170</v>
      </c>
      <c r="F121" s="169">
        <v>1055</v>
      </c>
      <c r="G121" s="169">
        <v>11</v>
      </c>
      <c r="H121" s="169">
        <v>6</v>
      </c>
      <c r="I121" s="165">
        <v>53</v>
      </c>
      <c r="J121" s="165">
        <v>452</v>
      </c>
      <c r="K121" s="166" t="s">
        <v>514</v>
      </c>
      <c r="L121" s="165">
        <v>2024</v>
      </c>
      <c r="M121" s="165" t="s">
        <v>713</v>
      </c>
      <c r="N121" s="165">
        <v>8</v>
      </c>
      <c r="O121" s="181">
        <v>313</v>
      </c>
      <c r="P121" s="165" t="s">
        <v>744</v>
      </c>
      <c r="Q121" s="165">
        <v>-70.867000000000004</v>
      </c>
      <c r="R121" s="165">
        <v>39.93</v>
      </c>
      <c r="S121" s="165" t="s">
        <v>172</v>
      </c>
      <c r="T121" s="165">
        <v>25</v>
      </c>
      <c r="U121" s="166" t="s">
        <v>516</v>
      </c>
      <c r="V121" s="158">
        <v>0.16799999999999998</v>
      </c>
      <c r="W121" s="158">
        <v>6.6000000000000003E-2</v>
      </c>
      <c r="X121" s="158">
        <v>5.6000000000000001E-2</v>
      </c>
      <c r="Y121" s="157">
        <v>1.4999999999999999E-2</v>
      </c>
      <c r="Z121" s="159">
        <v>0.03</v>
      </c>
      <c r="AA121" s="89">
        <v>2.5999999999999999E-2</v>
      </c>
      <c r="AB121" s="89">
        <v>-8888</v>
      </c>
      <c r="AC121" s="89">
        <v>4.0000000000000001E-3</v>
      </c>
      <c r="AD121" s="89">
        <v>-8888</v>
      </c>
      <c r="AE121" s="89">
        <v>3.7999999999999999E-2</v>
      </c>
      <c r="AF121" s="89">
        <v>4.0000000000000001E-3</v>
      </c>
      <c r="AG121" s="89">
        <v>8.9999999999999993E-3</v>
      </c>
      <c r="AH121" s="89">
        <v>0.14399999999999999</v>
      </c>
      <c r="AI121" s="89">
        <v>2.3E-2</v>
      </c>
      <c r="AJ121" s="89">
        <v>1E-3</v>
      </c>
      <c r="AK121" s="89">
        <v>2.9000000000000001E-2</v>
      </c>
      <c r="AL121" s="89">
        <v>3.6999999999999998E-2</v>
      </c>
      <c r="AM121" s="89">
        <v>2.1999999999999999E-2</v>
      </c>
      <c r="AN121" s="89">
        <v>3.4000000000000002E-2</v>
      </c>
      <c r="AO121" s="89">
        <v>1E-3</v>
      </c>
      <c r="AP121" s="89">
        <v>3.0000000000000001E-3</v>
      </c>
      <c r="AQ121" s="89">
        <v>1E-3</v>
      </c>
      <c r="AR121" s="89">
        <v>3.0000000000000001E-3</v>
      </c>
      <c r="AS121" s="89">
        <v>8.0000000000000002E-3</v>
      </c>
      <c r="AT121" s="89">
        <v>6.0000000000000001E-3</v>
      </c>
      <c r="AU121" s="89">
        <v>-8888</v>
      </c>
      <c r="AV121" s="89">
        <v>0.28999999999999998</v>
      </c>
      <c r="AW121" s="89">
        <v>2.7999999999999997E-2</v>
      </c>
      <c r="AX121" s="89">
        <v>9.8000000000000004E-2</v>
      </c>
      <c r="AY121" s="89">
        <v>0.38800000000000001</v>
      </c>
      <c r="AZ121" s="89">
        <v>0.126</v>
      </c>
      <c r="BA121" s="89">
        <v>0.248</v>
      </c>
      <c r="BB121" s="89">
        <v>0.41599999999999998</v>
      </c>
      <c r="BC121" s="89">
        <v>0.17299999999999999</v>
      </c>
      <c r="BD121" s="160">
        <v>1.48</v>
      </c>
      <c r="BE121" s="160">
        <v>0.78</v>
      </c>
      <c r="BF121" s="160">
        <v>0.22</v>
      </c>
      <c r="BG121" s="160">
        <v>2.2999999999999998</v>
      </c>
      <c r="BH121" s="160">
        <v>7.0000000000000007E-2</v>
      </c>
      <c r="BI121" s="160">
        <v>0.93</v>
      </c>
      <c r="BJ121" s="160">
        <v>0.4</v>
      </c>
      <c r="BL121" s="167" t="s">
        <v>745</v>
      </c>
    </row>
    <row r="122" spans="1:64" s="88" customFormat="1" ht="14.1" customHeight="1">
      <c r="A122" s="156" t="s">
        <v>384</v>
      </c>
      <c r="B122" s="169" t="s">
        <v>511</v>
      </c>
      <c r="C122" s="170" t="s">
        <v>746</v>
      </c>
      <c r="D122" s="169" t="s">
        <v>712</v>
      </c>
      <c r="E122" s="169" t="s">
        <v>170</v>
      </c>
      <c r="F122" s="169">
        <v>1060</v>
      </c>
      <c r="G122" s="169">
        <v>11</v>
      </c>
      <c r="H122" s="169">
        <v>11</v>
      </c>
      <c r="I122" s="165">
        <v>30.8</v>
      </c>
      <c r="J122" s="165">
        <v>452</v>
      </c>
      <c r="K122" s="166" t="s">
        <v>514</v>
      </c>
      <c r="L122" s="165">
        <v>2024</v>
      </c>
      <c r="M122" s="165" t="s">
        <v>713</v>
      </c>
      <c r="N122" s="165">
        <v>8</v>
      </c>
      <c r="O122" s="181">
        <v>313</v>
      </c>
      <c r="P122" s="165" t="s">
        <v>747</v>
      </c>
      <c r="Q122" s="165">
        <v>-70.866</v>
      </c>
      <c r="R122" s="165">
        <v>39.929000000000002</v>
      </c>
      <c r="S122" s="165" t="s">
        <v>172</v>
      </c>
      <c r="T122" s="165">
        <v>25</v>
      </c>
      <c r="U122" s="166" t="s">
        <v>516</v>
      </c>
      <c r="V122" s="158">
        <v>0.76100000000000001</v>
      </c>
      <c r="W122" s="158">
        <v>0.16300000000000001</v>
      </c>
      <c r="X122" s="158">
        <v>0.19800000000000001</v>
      </c>
      <c r="Y122" s="157">
        <v>4.7E-2</v>
      </c>
      <c r="Z122" s="159">
        <v>4.7E-2</v>
      </c>
      <c r="AA122" s="89">
        <v>0.13200000000000001</v>
      </c>
      <c r="AB122" s="89">
        <v>2.1000000000000001E-2</v>
      </c>
      <c r="AC122" s="89">
        <v>1.9E-2</v>
      </c>
      <c r="AD122" s="89">
        <v>1E-3</v>
      </c>
      <c r="AE122" s="89">
        <v>0.127</v>
      </c>
      <c r="AF122" s="89">
        <v>3.7999999999999999E-2</v>
      </c>
      <c r="AG122" s="89">
        <v>4.4999999999999998E-2</v>
      </c>
      <c r="AH122" s="89">
        <v>0.72499999999999998</v>
      </c>
      <c r="AI122" s="89">
        <v>2.7E-2</v>
      </c>
      <c r="AJ122" s="89">
        <v>8.9999999999999993E-3</v>
      </c>
      <c r="AK122" s="89">
        <v>0.152</v>
      </c>
      <c r="AL122" s="89">
        <v>1.0999999999999999E-2</v>
      </c>
      <c r="AM122" s="89">
        <v>9.9000000000000005E-2</v>
      </c>
      <c r="AN122" s="89">
        <v>9.9000000000000005E-2</v>
      </c>
      <c r="AO122" s="89">
        <v>3.0000000000000001E-3</v>
      </c>
      <c r="AP122" s="89">
        <v>1.4999999999999999E-2</v>
      </c>
      <c r="AQ122" s="89">
        <v>6.0000000000000001E-3</v>
      </c>
      <c r="AR122" s="89">
        <v>8.9999999999999993E-3</v>
      </c>
      <c r="AS122" s="89">
        <v>2.1000000000000001E-2</v>
      </c>
      <c r="AT122" s="89">
        <v>4.1000000000000002E-2</v>
      </c>
      <c r="AU122" s="89">
        <v>-8888</v>
      </c>
      <c r="AV122" s="89">
        <v>1.1220000000000001</v>
      </c>
      <c r="AW122" s="89">
        <v>0.13300000000000001</v>
      </c>
      <c r="AX122" s="89">
        <v>0.34399999999999997</v>
      </c>
      <c r="AY122" s="89">
        <v>1.4660000000000002</v>
      </c>
      <c r="AZ122" s="89">
        <v>0.47699999999999998</v>
      </c>
      <c r="BA122" s="89">
        <v>0.83800000000000008</v>
      </c>
      <c r="BB122" s="89">
        <v>1.5990000000000002</v>
      </c>
      <c r="BC122" s="89">
        <v>0.57299999999999995</v>
      </c>
      <c r="BD122" s="160">
        <v>1.1000000000000001</v>
      </c>
      <c r="BE122" s="160">
        <v>0.72</v>
      </c>
      <c r="BF122" s="160">
        <v>0.28000000000000003</v>
      </c>
      <c r="BG122" s="160">
        <v>2.35</v>
      </c>
      <c r="BH122" s="160">
        <v>0.08</v>
      </c>
      <c r="BI122" s="160">
        <v>0.92</v>
      </c>
      <c r="BJ122" s="160">
        <v>0.48</v>
      </c>
      <c r="BL122" s="167" t="s">
        <v>748</v>
      </c>
    </row>
    <row r="123" spans="1:64" s="88" customFormat="1" ht="14.1" customHeight="1">
      <c r="A123" s="156" t="s">
        <v>385</v>
      </c>
      <c r="B123" s="169" t="s">
        <v>511</v>
      </c>
      <c r="C123" s="170" t="s">
        <v>749</v>
      </c>
      <c r="D123" s="169" t="s">
        <v>712</v>
      </c>
      <c r="E123" s="169" t="s">
        <v>170</v>
      </c>
      <c r="F123" s="169">
        <v>1060</v>
      </c>
      <c r="G123" s="169">
        <v>11</v>
      </c>
      <c r="H123" s="169">
        <v>21</v>
      </c>
      <c r="I123" s="165">
        <v>3.1</v>
      </c>
      <c r="J123" s="165">
        <v>452</v>
      </c>
      <c r="K123" s="166" t="s">
        <v>514</v>
      </c>
      <c r="L123" s="165">
        <v>2024</v>
      </c>
      <c r="M123" s="165" t="s">
        <v>713</v>
      </c>
      <c r="N123" s="165">
        <v>8</v>
      </c>
      <c r="O123" s="181">
        <v>313</v>
      </c>
      <c r="P123" s="165" t="s">
        <v>750</v>
      </c>
      <c r="Q123" s="165">
        <v>-70.864000000000004</v>
      </c>
      <c r="R123" s="165">
        <v>39.927999999999997</v>
      </c>
      <c r="S123" s="165" t="s">
        <v>172</v>
      </c>
      <c r="T123" s="165">
        <v>25</v>
      </c>
      <c r="U123" s="166" t="s">
        <v>516</v>
      </c>
      <c r="V123" s="158">
        <v>0.40300000000000002</v>
      </c>
      <c r="W123" s="158">
        <v>6.7000000000000004E-2</v>
      </c>
      <c r="X123" s="158">
        <v>8.2000000000000003E-2</v>
      </c>
      <c r="Y123" s="157">
        <v>2.9000000000000001E-2</v>
      </c>
      <c r="Z123" s="159">
        <v>2.4E-2</v>
      </c>
      <c r="AA123" s="89">
        <v>7.1999999999999995E-2</v>
      </c>
      <c r="AB123" s="89">
        <v>6.0000000000000001E-3</v>
      </c>
      <c r="AC123" s="89">
        <v>3.1E-2</v>
      </c>
      <c r="AD123" s="89">
        <v>6.0000000000000001E-3</v>
      </c>
      <c r="AE123" s="89">
        <v>6.7000000000000004E-2</v>
      </c>
      <c r="AF123" s="89">
        <v>8.9999999999999993E-3</v>
      </c>
      <c r="AG123" s="89">
        <v>5.0999999999999997E-2</v>
      </c>
      <c r="AH123" s="89">
        <v>0.375</v>
      </c>
      <c r="AI123" s="89">
        <v>1.4999999999999999E-2</v>
      </c>
      <c r="AJ123" s="89">
        <v>1.2999999999999999E-2</v>
      </c>
      <c r="AK123" s="89">
        <v>6.4000000000000001E-2</v>
      </c>
      <c r="AL123" s="89">
        <v>3.0000000000000001E-3</v>
      </c>
      <c r="AM123" s="89">
        <v>4.1000000000000002E-2</v>
      </c>
      <c r="AN123" s="89">
        <v>4.1000000000000002E-2</v>
      </c>
      <c r="AO123" s="89">
        <v>4.0000000000000001E-3</v>
      </c>
      <c r="AP123" s="89">
        <v>7.0000000000000001E-3</v>
      </c>
      <c r="AQ123" s="89">
        <v>8.0000000000000002E-3</v>
      </c>
      <c r="AR123" s="89">
        <v>4.0000000000000001E-3</v>
      </c>
      <c r="AS123" s="89">
        <v>7.0000000000000001E-3</v>
      </c>
      <c r="AT123" s="89">
        <v>1.9E-2</v>
      </c>
      <c r="AU123" s="89">
        <v>-8888</v>
      </c>
      <c r="AV123" s="89">
        <v>0.55200000000000005</v>
      </c>
      <c r="AW123" s="89">
        <v>0.123</v>
      </c>
      <c r="AX123" s="89">
        <v>0.17199999999999999</v>
      </c>
      <c r="AY123" s="89">
        <v>0.72399999999999998</v>
      </c>
      <c r="AZ123" s="89">
        <v>0.29499999999999998</v>
      </c>
      <c r="BA123" s="89">
        <v>0.44400000000000001</v>
      </c>
      <c r="BB123" s="89">
        <v>0.84699999999999998</v>
      </c>
      <c r="BC123" s="89">
        <v>0.29599999999999999</v>
      </c>
      <c r="BD123" s="160">
        <v>1.1000000000000001</v>
      </c>
      <c r="BE123" s="160">
        <v>0.57999999999999996</v>
      </c>
      <c r="BF123" s="160">
        <v>0.42</v>
      </c>
      <c r="BG123" s="160">
        <v>1.87</v>
      </c>
      <c r="BH123" s="160">
        <v>0.15</v>
      </c>
      <c r="BI123" s="160">
        <v>0.85</v>
      </c>
      <c r="BJ123" s="160">
        <v>0.48</v>
      </c>
      <c r="BL123" s="167" t="s">
        <v>751</v>
      </c>
    </row>
    <row r="124" spans="1:64" s="88" customFormat="1" ht="14.1" customHeight="1">
      <c r="A124" s="156" t="s">
        <v>386</v>
      </c>
      <c r="B124" s="169" t="s">
        <v>511</v>
      </c>
      <c r="C124" s="170" t="s">
        <v>752</v>
      </c>
      <c r="D124" s="169" t="s">
        <v>712</v>
      </c>
      <c r="E124" s="169" t="s">
        <v>170</v>
      </c>
      <c r="F124" s="169">
        <v>1060</v>
      </c>
      <c r="G124" s="169">
        <v>12</v>
      </c>
      <c r="H124" s="169">
        <v>16</v>
      </c>
      <c r="I124" s="165">
        <v>24.6</v>
      </c>
      <c r="J124" s="165">
        <v>205</v>
      </c>
      <c r="K124" s="166" t="s">
        <v>514</v>
      </c>
      <c r="L124" s="165">
        <v>2024</v>
      </c>
      <c r="M124" s="165" t="s">
        <v>713</v>
      </c>
      <c r="N124" s="165">
        <v>9</v>
      </c>
      <c r="O124" s="181">
        <v>314</v>
      </c>
      <c r="P124" s="165" t="s">
        <v>753</v>
      </c>
      <c r="Q124" s="165">
        <v>-70.884</v>
      </c>
      <c r="R124" s="165">
        <v>40.048000000000002</v>
      </c>
      <c r="S124" s="165" t="s">
        <v>172</v>
      </c>
      <c r="T124" s="165">
        <v>25</v>
      </c>
      <c r="U124" s="166" t="s">
        <v>516</v>
      </c>
      <c r="V124" s="158">
        <v>0.48499999999999999</v>
      </c>
      <c r="W124" s="158">
        <v>8.5999999999999993E-2</v>
      </c>
      <c r="X124" s="158">
        <v>0.12</v>
      </c>
      <c r="Y124" s="157">
        <v>2.7E-2</v>
      </c>
      <c r="Z124" s="159">
        <v>3.4000000000000002E-2</v>
      </c>
      <c r="AA124" s="89">
        <v>9.2999999999999999E-2</v>
      </c>
      <c r="AB124" s="89">
        <v>8.9999999999999993E-3</v>
      </c>
      <c r="AC124" s="89">
        <v>0.03</v>
      </c>
      <c r="AD124" s="89">
        <v>3.0000000000000001E-3</v>
      </c>
      <c r="AE124" s="89">
        <v>0.10100000000000001</v>
      </c>
      <c r="AF124" s="89">
        <v>1.4999999999999999E-2</v>
      </c>
      <c r="AG124" s="89">
        <v>2.7E-2</v>
      </c>
      <c r="AH124" s="89">
        <v>0.47599999999999998</v>
      </c>
      <c r="AI124" s="89">
        <v>3.0000000000000001E-3</v>
      </c>
      <c r="AJ124" s="89">
        <v>6.0000000000000001E-3</v>
      </c>
      <c r="AK124" s="89">
        <v>8.5999999999999993E-2</v>
      </c>
      <c r="AL124" s="89">
        <v>-8888</v>
      </c>
      <c r="AM124" s="89">
        <v>5.8999999999999997E-2</v>
      </c>
      <c r="AN124" s="89">
        <v>6.0999999999999999E-2</v>
      </c>
      <c r="AO124" s="89">
        <v>4.0000000000000001E-3</v>
      </c>
      <c r="AP124" s="89">
        <v>0.01</v>
      </c>
      <c r="AQ124" s="89">
        <v>8.0000000000000002E-3</v>
      </c>
      <c r="AR124" s="89">
        <v>7.0000000000000001E-3</v>
      </c>
      <c r="AS124" s="89">
        <v>1.2E-2</v>
      </c>
      <c r="AT124" s="89">
        <v>2.8000000000000001E-2</v>
      </c>
      <c r="AU124" s="89">
        <v>-8888</v>
      </c>
      <c r="AV124" s="89">
        <v>0.69099999999999995</v>
      </c>
      <c r="AW124" s="89">
        <v>9.6000000000000002E-2</v>
      </c>
      <c r="AX124" s="89">
        <v>0.24299999999999999</v>
      </c>
      <c r="AY124" s="89">
        <v>0.93399999999999994</v>
      </c>
      <c r="AZ124" s="89">
        <v>0.33899999999999997</v>
      </c>
      <c r="BA124" s="89">
        <v>0.54499999999999993</v>
      </c>
      <c r="BB124" s="89">
        <v>1.0299999999999998</v>
      </c>
      <c r="BC124" s="89">
        <v>0.36499999999999999</v>
      </c>
      <c r="BD124" s="160">
        <v>1.1200000000000001</v>
      </c>
      <c r="BE124" s="160">
        <v>0.72</v>
      </c>
      <c r="BF124" s="160">
        <v>0.28000000000000003</v>
      </c>
      <c r="BG124" s="160">
        <v>2.04</v>
      </c>
      <c r="BH124" s="160">
        <v>0.09</v>
      </c>
      <c r="BI124" s="160">
        <v>0.91</v>
      </c>
      <c r="BJ124" s="160">
        <v>0.47</v>
      </c>
      <c r="BL124" s="167" t="s">
        <v>754</v>
      </c>
    </row>
    <row r="125" spans="1:64" s="88" customFormat="1" ht="14.1" customHeight="1">
      <c r="A125" s="156" t="s">
        <v>388</v>
      </c>
      <c r="B125" s="169" t="s">
        <v>511</v>
      </c>
      <c r="C125" s="169" t="s">
        <v>757</v>
      </c>
      <c r="D125" s="169" t="s">
        <v>712</v>
      </c>
      <c r="E125" s="169" t="s">
        <v>173</v>
      </c>
      <c r="F125" s="169">
        <v>547</v>
      </c>
      <c r="G125" s="169">
        <v>15</v>
      </c>
      <c r="H125" s="169">
        <v>14</v>
      </c>
      <c r="I125" s="165">
        <v>20</v>
      </c>
      <c r="J125" s="165">
        <v>122</v>
      </c>
      <c r="K125" s="166" t="s">
        <v>514</v>
      </c>
      <c r="L125" s="165">
        <v>2024</v>
      </c>
      <c r="M125" s="165" t="s">
        <v>713</v>
      </c>
      <c r="N125" s="165">
        <v>10</v>
      </c>
      <c r="O125" s="181">
        <v>315</v>
      </c>
      <c r="P125" s="165" t="s">
        <v>758</v>
      </c>
      <c r="Q125" s="165">
        <v>-70.882999999999996</v>
      </c>
      <c r="R125" s="165">
        <v>40.256999999999998</v>
      </c>
      <c r="S125" s="165" t="s">
        <v>172</v>
      </c>
      <c r="T125" s="165">
        <v>25</v>
      </c>
      <c r="U125" s="166" t="s">
        <v>516</v>
      </c>
      <c r="V125" s="158">
        <v>1.764</v>
      </c>
      <c r="W125" s="158">
        <v>0.23899999999999999</v>
      </c>
      <c r="X125" s="158">
        <v>0.35099999999999998</v>
      </c>
      <c r="Y125" s="157">
        <v>8.1000000000000003E-2</v>
      </c>
      <c r="Z125" s="159">
        <v>3.1E-2</v>
      </c>
      <c r="AA125" s="89">
        <v>0.153</v>
      </c>
      <c r="AB125" s="89">
        <v>4.9000000000000002E-2</v>
      </c>
      <c r="AC125" s="89">
        <v>7.0999999999999994E-2</v>
      </c>
      <c r="AD125" s="89">
        <v>6.0000000000000001E-3</v>
      </c>
      <c r="AE125" s="89">
        <v>0.505</v>
      </c>
      <c r="AF125" s="89">
        <v>7.8E-2</v>
      </c>
      <c r="AG125" s="89">
        <v>3.1E-2</v>
      </c>
      <c r="AH125" s="89">
        <v>1.7470000000000001</v>
      </c>
      <c r="AI125" s="89">
        <v>-8888</v>
      </c>
      <c r="AJ125" s="89">
        <v>1.7000000000000001E-2</v>
      </c>
      <c r="AK125" s="89">
        <v>0.23899999999999999</v>
      </c>
      <c r="AL125" s="89">
        <v>-8888</v>
      </c>
      <c r="AM125" s="89">
        <v>0.21199999999999999</v>
      </c>
      <c r="AN125" s="89">
        <v>0.13900000000000001</v>
      </c>
      <c r="AO125" s="89">
        <v>8.9999999999999993E-3</v>
      </c>
      <c r="AP125" s="89">
        <v>2.7E-2</v>
      </c>
      <c r="AQ125" s="89">
        <v>2.1999999999999999E-2</v>
      </c>
      <c r="AR125" s="89">
        <v>2.1000000000000001E-2</v>
      </c>
      <c r="AS125" s="89">
        <v>4.7E-2</v>
      </c>
      <c r="AT125" s="89">
        <v>4.8000000000000001E-2</v>
      </c>
      <c r="AU125" s="89">
        <v>-8888</v>
      </c>
      <c r="AV125" s="89">
        <v>2.3540000000000001</v>
      </c>
      <c r="AW125" s="89">
        <v>0.23799999999999999</v>
      </c>
      <c r="AX125" s="89">
        <v>0.76700000000000002</v>
      </c>
      <c r="AY125" s="89">
        <v>3.121</v>
      </c>
      <c r="AZ125" s="89">
        <v>1.0049999999999999</v>
      </c>
      <c r="BA125" s="89">
        <v>1.5949999999999998</v>
      </c>
      <c r="BB125" s="89">
        <v>3.359</v>
      </c>
      <c r="BC125" s="89">
        <v>1.0859999999999999</v>
      </c>
      <c r="BD125" s="160">
        <v>0.9</v>
      </c>
      <c r="BE125" s="160">
        <v>0.76</v>
      </c>
      <c r="BF125" s="160">
        <v>0.24</v>
      </c>
      <c r="BG125" s="160">
        <v>2.34</v>
      </c>
      <c r="BH125" s="160">
        <v>7.0000000000000007E-2</v>
      </c>
      <c r="BI125" s="160">
        <v>0.93</v>
      </c>
      <c r="BJ125" s="160">
        <v>0.53</v>
      </c>
      <c r="BL125" s="167"/>
    </row>
    <row r="126" spans="1:64" s="88" customFormat="1" ht="14.1" customHeight="1">
      <c r="A126" s="156" t="s">
        <v>389</v>
      </c>
      <c r="B126" s="169" t="s">
        <v>511</v>
      </c>
      <c r="C126" s="169" t="s">
        <v>759</v>
      </c>
      <c r="D126" s="169" t="s">
        <v>712</v>
      </c>
      <c r="E126" s="169" t="s">
        <v>173</v>
      </c>
      <c r="F126" s="169">
        <v>547</v>
      </c>
      <c r="G126" s="169">
        <v>15</v>
      </c>
      <c r="H126" s="169">
        <v>14</v>
      </c>
      <c r="I126" s="165">
        <v>20</v>
      </c>
      <c r="J126" s="165">
        <v>122</v>
      </c>
      <c r="K126" s="166" t="s">
        <v>514</v>
      </c>
      <c r="L126" s="165">
        <v>2024</v>
      </c>
      <c r="M126" s="165" t="s">
        <v>713</v>
      </c>
      <c r="N126" s="165">
        <v>10</v>
      </c>
      <c r="O126" s="181">
        <v>315</v>
      </c>
      <c r="P126" s="165" t="s">
        <v>758</v>
      </c>
      <c r="Q126" s="165">
        <v>-70.882999999999996</v>
      </c>
      <c r="R126" s="165">
        <v>40.256999999999998</v>
      </c>
      <c r="S126" s="165" t="s">
        <v>172</v>
      </c>
      <c r="T126" s="165">
        <v>25</v>
      </c>
      <c r="U126" s="166" t="s">
        <v>516</v>
      </c>
      <c r="V126" s="158">
        <v>1.6919999999999999</v>
      </c>
      <c r="W126" s="158">
        <v>0.23699999999999999</v>
      </c>
      <c r="X126" s="158">
        <v>0.33200000000000002</v>
      </c>
      <c r="Y126" s="157">
        <v>7.6999999999999999E-2</v>
      </c>
      <c r="Z126" s="159">
        <v>3.2000000000000001E-2</v>
      </c>
      <c r="AA126" s="89">
        <v>0.152</v>
      </c>
      <c r="AB126" s="89">
        <v>4.9000000000000002E-2</v>
      </c>
      <c r="AC126" s="89">
        <v>6.9000000000000006E-2</v>
      </c>
      <c r="AD126" s="89">
        <v>6.0000000000000001E-3</v>
      </c>
      <c r="AE126" s="89">
        <v>0.47099999999999997</v>
      </c>
      <c r="AF126" s="89">
        <v>8.2000000000000003E-2</v>
      </c>
      <c r="AG126" s="89">
        <v>2.9000000000000001E-2</v>
      </c>
      <c r="AH126" s="89">
        <v>1.675</v>
      </c>
      <c r="AI126" s="89">
        <v>-8888</v>
      </c>
      <c r="AJ126" s="89">
        <v>1.7000000000000001E-2</v>
      </c>
      <c r="AK126" s="89">
        <v>0.23699999999999999</v>
      </c>
      <c r="AL126" s="89">
        <v>-8888</v>
      </c>
      <c r="AM126" s="89">
        <v>0.20100000000000001</v>
      </c>
      <c r="AN126" s="89">
        <v>0.13100000000000001</v>
      </c>
      <c r="AO126" s="89">
        <v>8.9999999999999993E-3</v>
      </c>
      <c r="AP126" s="89">
        <v>2.7E-2</v>
      </c>
      <c r="AQ126" s="89">
        <v>2.1999999999999999E-2</v>
      </c>
      <c r="AR126" s="89">
        <v>0.02</v>
      </c>
      <c r="AS126" s="89">
        <v>4.7E-2</v>
      </c>
      <c r="AT126" s="89">
        <v>5.7000000000000002E-2</v>
      </c>
      <c r="AU126" s="89">
        <v>-8888</v>
      </c>
      <c r="AV126" s="89">
        <v>2.2609999999999997</v>
      </c>
      <c r="AW126" s="89">
        <v>0.23000000000000004</v>
      </c>
      <c r="AX126" s="89">
        <v>0.73699999999999999</v>
      </c>
      <c r="AY126" s="89">
        <v>2.9979999999999998</v>
      </c>
      <c r="AZ126" s="89">
        <v>0.96700000000000008</v>
      </c>
      <c r="BA126" s="89">
        <v>1.5360000000000003</v>
      </c>
      <c r="BB126" s="89">
        <v>3.2280000000000002</v>
      </c>
      <c r="BC126" s="89">
        <v>1.052</v>
      </c>
      <c r="BD126" s="160">
        <v>0.91</v>
      </c>
      <c r="BE126" s="160">
        <v>0.76</v>
      </c>
      <c r="BF126" s="160">
        <v>0.24</v>
      </c>
      <c r="BG126" s="160">
        <v>2.34</v>
      </c>
      <c r="BH126" s="160">
        <v>7.0000000000000007E-2</v>
      </c>
      <c r="BI126" s="160">
        <v>0.93</v>
      </c>
      <c r="BJ126" s="160">
        <v>0.52</v>
      </c>
      <c r="BL126" s="167"/>
    </row>
    <row r="127" spans="1:64" s="88" customFormat="1" ht="14.1" customHeight="1">
      <c r="A127" s="156" t="s">
        <v>390</v>
      </c>
      <c r="B127" s="169" t="s">
        <v>511</v>
      </c>
      <c r="C127" s="169" t="s">
        <v>760</v>
      </c>
      <c r="D127" s="169" t="s">
        <v>712</v>
      </c>
      <c r="E127" s="169" t="s">
        <v>173</v>
      </c>
      <c r="F127" s="169">
        <v>548</v>
      </c>
      <c r="G127" s="169">
        <v>15</v>
      </c>
      <c r="H127" s="169">
        <v>18</v>
      </c>
      <c r="I127" s="165">
        <v>3.8</v>
      </c>
      <c r="J127" s="165">
        <v>122</v>
      </c>
      <c r="K127" s="166" t="s">
        <v>514</v>
      </c>
      <c r="L127" s="165">
        <v>2024</v>
      </c>
      <c r="M127" s="165" t="s">
        <v>713</v>
      </c>
      <c r="N127" s="165">
        <v>10</v>
      </c>
      <c r="O127" s="181">
        <v>315</v>
      </c>
      <c r="P127" s="165" t="s">
        <v>761</v>
      </c>
      <c r="Q127" s="165">
        <v>-70.882999999999996</v>
      </c>
      <c r="R127" s="165">
        <v>40.256999999999998</v>
      </c>
      <c r="S127" s="165" t="s">
        <v>172</v>
      </c>
      <c r="T127" s="165">
        <v>25</v>
      </c>
      <c r="U127" s="166" t="s">
        <v>516</v>
      </c>
      <c r="V127" s="158">
        <v>1.68</v>
      </c>
      <c r="W127" s="158">
        <v>0.23499999999999999</v>
      </c>
      <c r="X127" s="158">
        <v>0.32600000000000001</v>
      </c>
      <c r="Y127" s="157">
        <v>7.9000000000000001E-2</v>
      </c>
      <c r="Z127" s="159">
        <v>3.2000000000000001E-2</v>
      </c>
      <c r="AA127" s="89">
        <v>0.154</v>
      </c>
      <c r="AB127" s="89">
        <v>5.1999999999999998E-2</v>
      </c>
      <c r="AC127" s="89">
        <v>7.0000000000000007E-2</v>
      </c>
      <c r="AD127" s="89">
        <v>6.0000000000000001E-3</v>
      </c>
      <c r="AE127" s="89">
        <v>0.45800000000000002</v>
      </c>
      <c r="AF127" s="89">
        <v>8.2000000000000003E-2</v>
      </c>
      <c r="AG127" s="89">
        <v>0.03</v>
      </c>
      <c r="AH127" s="89">
        <v>1.671</v>
      </c>
      <c r="AI127" s="89">
        <v>-8888</v>
      </c>
      <c r="AJ127" s="89">
        <v>8.9999999999999993E-3</v>
      </c>
      <c r="AK127" s="89">
        <v>0.23499999999999999</v>
      </c>
      <c r="AL127" s="89">
        <v>-8888</v>
      </c>
      <c r="AM127" s="89">
        <v>0.19800000000000001</v>
      </c>
      <c r="AN127" s="89">
        <v>0.128</v>
      </c>
      <c r="AO127" s="89">
        <v>8.0000000000000002E-3</v>
      </c>
      <c r="AP127" s="89">
        <v>2.7E-2</v>
      </c>
      <c r="AQ127" s="89">
        <v>2.1999999999999999E-2</v>
      </c>
      <c r="AR127" s="89">
        <v>2.1999999999999999E-2</v>
      </c>
      <c r="AS127" s="89">
        <v>4.7E-2</v>
      </c>
      <c r="AT127" s="89">
        <v>4.2999999999999997E-2</v>
      </c>
      <c r="AU127" s="89">
        <v>-8888</v>
      </c>
      <c r="AV127" s="89">
        <v>2.2410000000000001</v>
      </c>
      <c r="AW127" s="89">
        <v>0.23699999999999999</v>
      </c>
      <c r="AX127" s="89">
        <v>0.72599999999999998</v>
      </c>
      <c r="AY127" s="89">
        <v>2.9670000000000001</v>
      </c>
      <c r="AZ127" s="89">
        <v>0.96299999999999997</v>
      </c>
      <c r="BA127" s="89">
        <v>1.524</v>
      </c>
      <c r="BB127" s="89">
        <v>3.2039999999999997</v>
      </c>
      <c r="BC127" s="89">
        <v>1.0429999999999999</v>
      </c>
      <c r="BD127" s="160">
        <v>0.91</v>
      </c>
      <c r="BE127" s="160">
        <v>0.75</v>
      </c>
      <c r="BF127" s="160">
        <v>0.25</v>
      </c>
      <c r="BG127" s="160">
        <v>2.33</v>
      </c>
      <c r="BH127" s="160">
        <v>7.0000000000000007E-2</v>
      </c>
      <c r="BI127" s="160">
        <v>0.93</v>
      </c>
      <c r="BJ127" s="160">
        <v>0.52</v>
      </c>
      <c r="BL127" s="167"/>
    </row>
    <row r="128" spans="1:64" s="88" customFormat="1" ht="14.1" customHeight="1">
      <c r="A128" s="156" t="s">
        <v>391</v>
      </c>
      <c r="B128" s="169" t="s">
        <v>511</v>
      </c>
      <c r="C128" s="169" t="s">
        <v>762</v>
      </c>
      <c r="D128" s="169" t="s">
        <v>712</v>
      </c>
      <c r="E128" s="169" t="s">
        <v>173</v>
      </c>
      <c r="F128" s="169">
        <v>548</v>
      </c>
      <c r="G128" s="169">
        <v>15</v>
      </c>
      <c r="H128" s="169">
        <v>18</v>
      </c>
      <c r="I128" s="165">
        <v>3.8</v>
      </c>
      <c r="J128" s="165">
        <v>122</v>
      </c>
      <c r="K128" s="166" t="s">
        <v>514</v>
      </c>
      <c r="L128" s="165">
        <v>2024</v>
      </c>
      <c r="M128" s="165" t="s">
        <v>713</v>
      </c>
      <c r="N128" s="165">
        <v>10</v>
      </c>
      <c r="O128" s="181">
        <v>315</v>
      </c>
      <c r="P128" s="165" t="s">
        <v>761</v>
      </c>
      <c r="Q128" s="165">
        <v>-70.882999999999996</v>
      </c>
      <c r="R128" s="165">
        <v>40.256999999999998</v>
      </c>
      <c r="S128" s="165" t="s">
        <v>172</v>
      </c>
      <c r="T128" s="165">
        <v>25</v>
      </c>
      <c r="U128" s="166" t="s">
        <v>516</v>
      </c>
      <c r="V128" s="158">
        <v>1.649</v>
      </c>
      <c r="W128" s="158">
        <v>0.23699999999999999</v>
      </c>
      <c r="X128" s="158">
        <v>0.32800000000000001</v>
      </c>
      <c r="Y128" s="157">
        <v>7.4999999999999997E-2</v>
      </c>
      <c r="Z128" s="159">
        <v>3.1E-2</v>
      </c>
      <c r="AA128" s="89">
        <v>0.151</v>
      </c>
      <c r="AB128" s="89">
        <v>0.05</v>
      </c>
      <c r="AC128" s="89">
        <v>6.7000000000000004E-2</v>
      </c>
      <c r="AD128" s="89">
        <v>6.0000000000000001E-3</v>
      </c>
      <c r="AE128" s="89">
        <v>0.443</v>
      </c>
      <c r="AF128" s="89">
        <v>8.1000000000000003E-2</v>
      </c>
      <c r="AG128" s="89">
        <v>3.2000000000000001E-2</v>
      </c>
      <c r="AH128" s="89">
        <v>1.635</v>
      </c>
      <c r="AI128" s="89">
        <v>-8888</v>
      </c>
      <c r="AJ128" s="89">
        <v>1.4E-2</v>
      </c>
      <c r="AK128" s="89">
        <v>0.23699999999999999</v>
      </c>
      <c r="AL128" s="89">
        <v>-8888</v>
      </c>
      <c r="AM128" s="89">
        <v>0.19700000000000001</v>
      </c>
      <c r="AN128" s="89">
        <v>0.13100000000000001</v>
      </c>
      <c r="AO128" s="89">
        <v>8.9999999999999993E-3</v>
      </c>
      <c r="AP128" s="89">
        <v>2.5999999999999999E-2</v>
      </c>
      <c r="AQ128" s="89">
        <v>2.1000000000000001E-2</v>
      </c>
      <c r="AR128" s="89">
        <v>1.9E-2</v>
      </c>
      <c r="AS128" s="89">
        <v>4.1000000000000002E-2</v>
      </c>
      <c r="AT128" s="89">
        <v>4.4999999999999998E-2</v>
      </c>
      <c r="AU128" s="89">
        <v>-8888</v>
      </c>
      <c r="AV128" s="89">
        <v>2.214</v>
      </c>
      <c r="AW128" s="89">
        <v>0.23000000000000004</v>
      </c>
      <c r="AX128" s="89">
        <v>0.70599999999999996</v>
      </c>
      <c r="AY128" s="89">
        <v>2.92</v>
      </c>
      <c r="AZ128" s="89">
        <v>0.93599999999999994</v>
      </c>
      <c r="BA128" s="89">
        <v>1.5010000000000001</v>
      </c>
      <c r="BB128" s="89">
        <v>3.1500000000000004</v>
      </c>
      <c r="BC128" s="89">
        <v>1.0249999999999999</v>
      </c>
      <c r="BD128" s="160">
        <v>0.91</v>
      </c>
      <c r="BE128" s="160">
        <v>0.75</v>
      </c>
      <c r="BF128" s="160">
        <v>0.25</v>
      </c>
      <c r="BG128" s="160">
        <v>2.37</v>
      </c>
      <c r="BH128" s="160">
        <v>7.0000000000000007E-2</v>
      </c>
      <c r="BI128" s="160">
        <v>0.93</v>
      </c>
      <c r="BJ128" s="160">
        <v>0.52</v>
      </c>
      <c r="BL128" s="167"/>
    </row>
    <row r="129" spans="1:64" s="88" customFormat="1" ht="14.1" customHeight="1">
      <c r="A129" s="156" t="s">
        <v>393</v>
      </c>
      <c r="B129" s="169" t="s">
        <v>511</v>
      </c>
      <c r="C129" s="169" t="s">
        <v>763</v>
      </c>
      <c r="D129" s="169" t="s">
        <v>712</v>
      </c>
      <c r="E129" s="169" t="s">
        <v>173</v>
      </c>
      <c r="F129" s="169">
        <v>1060</v>
      </c>
      <c r="G129" s="169">
        <v>16</v>
      </c>
      <c r="H129" s="169">
        <v>6</v>
      </c>
      <c r="I129" s="165">
        <v>65.099999999999994</v>
      </c>
      <c r="J129" s="165">
        <v>139</v>
      </c>
      <c r="K129" s="166" t="s">
        <v>514</v>
      </c>
      <c r="L129" s="165">
        <v>2024</v>
      </c>
      <c r="M129" s="165" t="s">
        <v>713</v>
      </c>
      <c r="N129" s="165">
        <v>10</v>
      </c>
      <c r="O129" s="181">
        <v>315</v>
      </c>
      <c r="P129" s="165" t="s">
        <v>764</v>
      </c>
      <c r="Q129" s="165">
        <v>-70.891000000000005</v>
      </c>
      <c r="R129" s="165">
        <v>40.149000000000001</v>
      </c>
      <c r="S129" s="165" t="s">
        <v>172</v>
      </c>
      <c r="T129" s="165">
        <v>25</v>
      </c>
      <c r="U129" s="166" t="s">
        <v>516</v>
      </c>
      <c r="V129" s="158">
        <v>0.10400000000000001</v>
      </c>
      <c r="W129" s="158">
        <v>1.6E-2</v>
      </c>
      <c r="X129" s="158">
        <v>2.8999999999999998E-2</v>
      </c>
      <c r="Y129" s="157">
        <v>6.0000000000000001E-3</v>
      </c>
      <c r="Z129" s="159">
        <v>7.0000000000000001E-3</v>
      </c>
      <c r="AA129" s="89">
        <v>8.0000000000000002E-3</v>
      </c>
      <c r="AB129" s="89">
        <v>3.0000000000000001E-3</v>
      </c>
      <c r="AC129" s="89">
        <v>4.0000000000000001E-3</v>
      </c>
      <c r="AD129" s="89">
        <v>-8888</v>
      </c>
      <c r="AE129" s="89">
        <v>4.4999999999999998E-2</v>
      </c>
      <c r="AF129" s="89">
        <v>5.0000000000000001E-3</v>
      </c>
      <c r="AG129" s="89">
        <v>3.0000000000000001E-3</v>
      </c>
      <c r="AH129" s="89">
        <v>0.1</v>
      </c>
      <c r="AI129" s="89">
        <v>2E-3</v>
      </c>
      <c r="AJ129" s="89">
        <v>2E-3</v>
      </c>
      <c r="AK129" s="89">
        <v>1.2E-2</v>
      </c>
      <c r="AL129" s="89">
        <v>4.0000000000000001E-3</v>
      </c>
      <c r="AM129" s="89">
        <v>1.2999999999999999E-2</v>
      </c>
      <c r="AN129" s="89">
        <v>1.6E-2</v>
      </c>
      <c r="AO129" s="89">
        <v>1E-3</v>
      </c>
      <c r="AP129" s="89">
        <v>1E-3</v>
      </c>
      <c r="AQ129" s="89">
        <v>1E-3</v>
      </c>
      <c r="AR129" s="89">
        <v>4.0000000000000001E-3</v>
      </c>
      <c r="AS129" s="89">
        <v>1.2E-2</v>
      </c>
      <c r="AT129" s="89">
        <v>3.0000000000000001E-3</v>
      </c>
      <c r="AU129" s="89">
        <v>-8888</v>
      </c>
      <c r="AV129" s="89">
        <v>0.14900000000000002</v>
      </c>
      <c r="AW129" s="89">
        <v>1.6E-2</v>
      </c>
      <c r="AX129" s="89">
        <v>6.5000000000000002E-2</v>
      </c>
      <c r="AY129" s="89">
        <v>0.21400000000000002</v>
      </c>
      <c r="AZ129" s="89">
        <v>8.1000000000000003E-2</v>
      </c>
      <c r="BA129" s="89">
        <v>0.126</v>
      </c>
      <c r="BB129" s="89">
        <v>0.23</v>
      </c>
      <c r="BC129" s="89">
        <v>8.6999999999999994E-2</v>
      </c>
      <c r="BD129" s="160">
        <v>1.21</v>
      </c>
      <c r="BE129" s="160">
        <v>0.8</v>
      </c>
      <c r="BF129" s="160">
        <v>0.2</v>
      </c>
      <c r="BG129" s="160">
        <v>1.84</v>
      </c>
      <c r="BH129" s="160">
        <v>7.0000000000000007E-2</v>
      </c>
      <c r="BI129" s="160">
        <v>0.93</v>
      </c>
      <c r="BJ129" s="160">
        <v>0.45</v>
      </c>
      <c r="BL129" s="167"/>
    </row>
    <row r="130" spans="1:64" s="88" customFormat="1" ht="14.1" customHeight="1">
      <c r="A130" s="156" t="s">
        <v>394</v>
      </c>
      <c r="B130" s="169" t="s">
        <v>511</v>
      </c>
      <c r="C130" s="169" t="s">
        <v>765</v>
      </c>
      <c r="D130" s="169" t="s">
        <v>712</v>
      </c>
      <c r="E130" s="169" t="s">
        <v>173</v>
      </c>
      <c r="F130" s="169">
        <v>1055</v>
      </c>
      <c r="G130" s="169">
        <v>16</v>
      </c>
      <c r="H130" s="169">
        <v>6</v>
      </c>
      <c r="I130" s="165">
        <v>65.099999999999994</v>
      </c>
      <c r="J130" s="165">
        <v>139</v>
      </c>
      <c r="K130" s="166" t="s">
        <v>514</v>
      </c>
      <c r="L130" s="165">
        <v>2024</v>
      </c>
      <c r="M130" s="165" t="s">
        <v>713</v>
      </c>
      <c r="N130" s="165">
        <v>10</v>
      </c>
      <c r="O130" s="181">
        <v>315</v>
      </c>
      <c r="P130" s="165" t="s">
        <v>764</v>
      </c>
      <c r="Q130" s="165">
        <v>-70.891000000000005</v>
      </c>
      <c r="R130" s="165">
        <v>40.149000000000001</v>
      </c>
      <c r="S130" s="165" t="s">
        <v>172</v>
      </c>
      <c r="T130" s="165">
        <v>25</v>
      </c>
      <c r="U130" s="166" t="s">
        <v>516</v>
      </c>
      <c r="V130" s="158">
        <v>0.128</v>
      </c>
      <c r="W130" s="158">
        <v>1.7000000000000001E-2</v>
      </c>
      <c r="X130" s="158">
        <v>3.5000000000000003E-2</v>
      </c>
      <c r="Y130" s="157">
        <v>6.0000000000000001E-3</v>
      </c>
      <c r="Z130" s="159">
        <v>7.0000000000000001E-3</v>
      </c>
      <c r="AA130" s="89">
        <v>8.9999999999999993E-3</v>
      </c>
      <c r="AB130" s="89">
        <v>1E-3</v>
      </c>
      <c r="AC130" s="89">
        <v>4.0000000000000001E-3</v>
      </c>
      <c r="AD130" s="89">
        <v>-8888</v>
      </c>
      <c r="AE130" s="89">
        <v>5.6000000000000001E-2</v>
      </c>
      <c r="AF130" s="89">
        <v>5.0000000000000001E-3</v>
      </c>
      <c r="AG130" s="89">
        <v>3.0000000000000001E-3</v>
      </c>
      <c r="AH130" s="89">
        <v>0.122</v>
      </c>
      <c r="AI130" s="89">
        <v>3.0000000000000001E-3</v>
      </c>
      <c r="AJ130" s="89">
        <v>3.0000000000000001E-3</v>
      </c>
      <c r="AK130" s="89">
        <v>1.2999999999999999E-2</v>
      </c>
      <c r="AL130" s="89">
        <v>4.0000000000000001E-3</v>
      </c>
      <c r="AM130" s="89">
        <v>1.6E-2</v>
      </c>
      <c r="AN130" s="89">
        <v>1.9E-2</v>
      </c>
      <c r="AO130" s="89">
        <v>1E-3</v>
      </c>
      <c r="AP130" s="89">
        <v>1E-3</v>
      </c>
      <c r="AQ130" s="89">
        <v>1E-3</v>
      </c>
      <c r="AR130" s="89">
        <v>4.0000000000000001E-3</v>
      </c>
      <c r="AS130" s="89">
        <v>1.2999999999999999E-2</v>
      </c>
      <c r="AT130" s="89">
        <v>3.0000000000000001E-3</v>
      </c>
      <c r="AU130" s="89">
        <v>-8888</v>
      </c>
      <c r="AV130" s="89">
        <v>0.18000000000000002</v>
      </c>
      <c r="AW130" s="89">
        <v>1.4E-2</v>
      </c>
      <c r="AX130" s="89">
        <v>7.6999999999999999E-2</v>
      </c>
      <c r="AY130" s="89">
        <v>0.25700000000000001</v>
      </c>
      <c r="AZ130" s="89">
        <v>9.0999999999999998E-2</v>
      </c>
      <c r="BA130" s="89">
        <v>0.14300000000000002</v>
      </c>
      <c r="BB130" s="89">
        <v>0.27100000000000002</v>
      </c>
      <c r="BC130" s="89">
        <v>9.8000000000000004E-2</v>
      </c>
      <c r="BD130" s="160">
        <v>1.1200000000000001</v>
      </c>
      <c r="BE130" s="160">
        <v>0.85</v>
      </c>
      <c r="BF130" s="160">
        <v>0.15</v>
      </c>
      <c r="BG130" s="160">
        <v>1.98</v>
      </c>
      <c r="BH130" s="160">
        <v>0.05</v>
      </c>
      <c r="BI130" s="160">
        <v>0.95</v>
      </c>
      <c r="BJ130" s="160">
        <v>0.47</v>
      </c>
      <c r="BL130" s="167"/>
    </row>
    <row r="131" spans="1:64" s="88" customFormat="1" ht="14.1" customHeight="1">
      <c r="A131" s="156" t="s">
        <v>395</v>
      </c>
      <c r="B131" s="169" t="s">
        <v>511</v>
      </c>
      <c r="C131" s="169" t="s">
        <v>766</v>
      </c>
      <c r="D131" s="169" t="s">
        <v>712</v>
      </c>
      <c r="E131" s="169" t="s">
        <v>170</v>
      </c>
      <c r="F131" s="169">
        <v>547</v>
      </c>
      <c r="G131" s="169">
        <v>16</v>
      </c>
      <c r="H131" s="169">
        <v>13</v>
      </c>
      <c r="I131" s="165">
        <v>20</v>
      </c>
      <c r="J131" s="165">
        <v>139</v>
      </c>
      <c r="K131" s="166" t="s">
        <v>514</v>
      </c>
      <c r="L131" s="165">
        <v>2024</v>
      </c>
      <c r="M131" s="165" t="s">
        <v>713</v>
      </c>
      <c r="N131" s="165">
        <v>10</v>
      </c>
      <c r="O131" s="181">
        <v>315</v>
      </c>
      <c r="P131" s="165" t="s">
        <v>767</v>
      </c>
      <c r="Q131" s="165">
        <v>-70.893000000000001</v>
      </c>
      <c r="R131" s="165">
        <v>40.149000000000001</v>
      </c>
      <c r="S131" s="165" t="s">
        <v>172</v>
      </c>
      <c r="T131" s="165">
        <v>25</v>
      </c>
      <c r="U131" s="166" t="s">
        <v>516</v>
      </c>
      <c r="V131" s="158">
        <v>1.502</v>
      </c>
      <c r="W131" s="158">
        <v>0.222</v>
      </c>
      <c r="X131" s="158">
        <v>0.308</v>
      </c>
      <c r="Y131" s="157">
        <v>7.2999999999999995E-2</v>
      </c>
      <c r="Z131" s="159">
        <v>3.2000000000000001E-2</v>
      </c>
      <c r="AA131" s="89">
        <v>0.16600000000000001</v>
      </c>
      <c r="AB131" s="89">
        <v>5.0999999999999997E-2</v>
      </c>
      <c r="AC131" s="89">
        <v>0.06</v>
      </c>
      <c r="AD131" s="89">
        <v>5.0000000000000001E-3</v>
      </c>
      <c r="AE131" s="89">
        <v>0.35</v>
      </c>
      <c r="AF131" s="89">
        <v>0.09</v>
      </c>
      <c r="AG131" s="89">
        <v>0.03</v>
      </c>
      <c r="AH131" s="89">
        <v>1.482</v>
      </c>
      <c r="AI131" s="89">
        <v>-8888</v>
      </c>
      <c r="AJ131" s="89">
        <v>0.02</v>
      </c>
      <c r="AK131" s="89">
        <v>0.222</v>
      </c>
      <c r="AL131" s="89">
        <v>-8888</v>
      </c>
      <c r="AM131" s="89">
        <v>0.18</v>
      </c>
      <c r="AN131" s="89">
        <v>0.128</v>
      </c>
      <c r="AO131" s="89">
        <v>1.2999999999999999E-2</v>
      </c>
      <c r="AP131" s="89">
        <v>2.5000000000000001E-2</v>
      </c>
      <c r="AQ131" s="89">
        <v>2.1000000000000001E-2</v>
      </c>
      <c r="AR131" s="89">
        <v>1.9E-2</v>
      </c>
      <c r="AS131" s="89">
        <v>4.5999999999999999E-2</v>
      </c>
      <c r="AT131" s="89">
        <v>0.04</v>
      </c>
      <c r="AU131" s="89">
        <v>-8888</v>
      </c>
      <c r="AV131" s="89">
        <v>2.032</v>
      </c>
      <c r="AW131" s="89">
        <v>0.21899999999999997</v>
      </c>
      <c r="AX131" s="89">
        <v>0.63800000000000001</v>
      </c>
      <c r="AY131" s="89">
        <v>2.67</v>
      </c>
      <c r="AZ131" s="89">
        <v>0.85699999999999998</v>
      </c>
      <c r="BA131" s="89">
        <v>1.387</v>
      </c>
      <c r="BB131" s="89">
        <v>2.8890000000000002</v>
      </c>
      <c r="BC131" s="89">
        <v>0.94100000000000006</v>
      </c>
      <c r="BD131" s="160">
        <v>0.92</v>
      </c>
      <c r="BE131" s="160">
        <v>0.74</v>
      </c>
      <c r="BF131" s="160">
        <v>0.26</v>
      </c>
      <c r="BG131" s="160">
        <v>2.37</v>
      </c>
      <c r="BH131" s="160">
        <v>0.08</v>
      </c>
      <c r="BI131" s="160">
        <v>0.92</v>
      </c>
      <c r="BJ131" s="160">
        <v>0.52</v>
      </c>
      <c r="BL131" s="167"/>
    </row>
    <row r="132" spans="1:64" s="88" customFormat="1" ht="14.1" customHeight="1">
      <c r="A132" s="156" t="s">
        <v>396</v>
      </c>
      <c r="B132" s="169" t="s">
        <v>511</v>
      </c>
      <c r="C132" s="169" t="s">
        <v>768</v>
      </c>
      <c r="D132" s="169" t="s">
        <v>712</v>
      </c>
      <c r="E132" s="169" t="s">
        <v>170</v>
      </c>
      <c r="F132" s="169">
        <v>548</v>
      </c>
      <c r="G132" s="169">
        <v>16</v>
      </c>
      <c r="H132" s="169">
        <v>19</v>
      </c>
      <c r="I132" s="165">
        <v>3.3</v>
      </c>
      <c r="J132" s="165">
        <v>139</v>
      </c>
      <c r="K132" s="166" t="s">
        <v>514</v>
      </c>
      <c r="L132" s="165">
        <v>2024</v>
      </c>
      <c r="M132" s="165" t="s">
        <v>713</v>
      </c>
      <c r="N132" s="165">
        <v>10</v>
      </c>
      <c r="O132" s="181">
        <v>315</v>
      </c>
      <c r="P132" s="165" t="s">
        <v>769</v>
      </c>
      <c r="Q132" s="165">
        <v>-70.894000000000005</v>
      </c>
      <c r="R132" s="165">
        <v>40.148000000000003</v>
      </c>
      <c r="S132" s="165" t="s">
        <v>172</v>
      </c>
      <c r="T132" s="165">
        <v>25</v>
      </c>
      <c r="U132" s="166" t="s">
        <v>516</v>
      </c>
      <c r="V132" s="158">
        <v>1.609</v>
      </c>
      <c r="W132" s="158">
        <v>0.22700000000000001</v>
      </c>
      <c r="X132" s="158">
        <v>0.32700000000000001</v>
      </c>
      <c r="Y132" s="157">
        <v>7.5999999999999998E-2</v>
      </c>
      <c r="Z132" s="159">
        <v>3.4000000000000002E-2</v>
      </c>
      <c r="AA132" s="89">
        <v>0.17199999999999999</v>
      </c>
      <c r="AB132" s="89">
        <v>5.5E-2</v>
      </c>
      <c r="AC132" s="89">
        <v>6.0999999999999999E-2</v>
      </c>
      <c r="AD132" s="89">
        <v>5.0000000000000001E-3</v>
      </c>
      <c r="AE132" s="89">
        <v>0.38900000000000001</v>
      </c>
      <c r="AF132" s="89">
        <v>8.2000000000000003E-2</v>
      </c>
      <c r="AG132" s="89">
        <v>2.7E-2</v>
      </c>
      <c r="AH132" s="89">
        <v>1.591</v>
      </c>
      <c r="AI132" s="89">
        <v>-8888</v>
      </c>
      <c r="AJ132" s="89">
        <v>1.7999999999999999E-2</v>
      </c>
      <c r="AK132" s="89">
        <v>0.22700000000000001</v>
      </c>
      <c r="AL132" s="89">
        <v>-8888</v>
      </c>
      <c r="AM132" s="89">
        <v>0.193</v>
      </c>
      <c r="AN132" s="89">
        <v>0.13400000000000001</v>
      </c>
      <c r="AO132" s="89">
        <v>0.01</v>
      </c>
      <c r="AP132" s="89">
        <v>2.5999999999999999E-2</v>
      </c>
      <c r="AQ132" s="89">
        <v>2.1000000000000001E-2</v>
      </c>
      <c r="AR132" s="89">
        <v>2.3E-2</v>
      </c>
      <c r="AS132" s="89">
        <v>4.5999999999999999E-2</v>
      </c>
      <c r="AT132" s="89">
        <v>0.04</v>
      </c>
      <c r="AU132" s="89">
        <v>-8888</v>
      </c>
      <c r="AV132" s="89">
        <v>2.1630000000000003</v>
      </c>
      <c r="AW132" s="89">
        <v>0.22399999999999998</v>
      </c>
      <c r="AX132" s="89">
        <v>0.67699999999999994</v>
      </c>
      <c r="AY132" s="89">
        <v>2.8400000000000003</v>
      </c>
      <c r="AZ132" s="89">
        <v>0.90099999999999991</v>
      </c>
      <c r="BA132" s="89">
        <v>1.4549999999999998</v>
      </c>
      <c r="BB132" s="89">
        <v>3.0640000000000001</v>
      </c>
      <c r="BC132" s="89">
        <v>0.98599999999999999</v>
      </c>
      <c r="BD132" s="160">
        <v>0.9</v>
      </c>
      <c r="BE132" s="160">
        <v>0.75</v>
      </c>
      <c r="BF132" s="160">
        <v>0.25</v>
      </c>
      <c r="BG132" s="160">
        <v>2.4</v>
      </c>
      <c r="BH132" s="160">
        <v>7.0000000000000007E-2</v>
      </c>
      <c r="BI132" s="160">
        <v>0.93</v>
      </c>
      <c r="BJ132" s="160">
        <v>0.53</v>
      </c>
      <c r="BL132" s="167"/>
    </row>
    <row r="133" spans="1:64" s="88" customFormat="1" ht="14.1" customHeight="1">
      <c r="A133" s="156" t="s">
        <v>397</v>
      </c>
      <c r="B133" s="169" t="s">
        <v>511</v>
      </c>
      <c r="C133" s="169" t="s">
        <v>770</v>
      </c>
      <c r="D133" s="169" t="s">
        <v>712</v>
      </c>
      <c r="E133" s="169" t="s">
        <v>170</v>
      </c>
      <c r="F133" s="169">
        <v>1055</v>
      </c>
      <c r="G133" s="169">
        <v>17</v>
      </c>
      <c r="H133" s="169">
        <v>4</v>
      </c>
      <c r="I133" s="165">
        <v>52.4</v>
      </c>
      <c r="J133" s="165">
        <v>88</v>
      </c>
      <c r="K133" s="166" t="s">
        <v>514</v>
      </c>
      <c r="L133" s="165">
        <v>2024</v>
      </c>
      <c r="M133" s="165" t="s">
        <v>713</v>
      </c>
      <c r="N133" s="165">
        <v>10</v>
      </c>
      <c r="O133" s="181">
        <v>315</v>
      </c>
      <c r="P133" s="165" t="s">
        <v>771</v>
      </c>
      <c r="Q133" s="165">
        <v>-70.882000000000005</v>
      </c>
      <c r="R133" s="165">
        <v>40.363</v>
      </c>
      <c r="S133" s="165" t="s">
        <v>172</v>
      </c>
      <c r="T133" s="165">
        <v>25</v>
      </c>
      <c r="U133" s="166" t="s">
        <v>516</v>
      </c>
      <c r="V133" s="158">
        <v>0.34700000000000003</v>
      </c>
      <c r="W133" s="158">
        <v>2.1000000000000001E-2</v>
      </c>
      <c r="X133" s="158">
        <v>9.4E-2</v>
      </c>
      <c r="Y133" s="157">
        <v>1.4999999999999999E-2</v>
      </c>
      <c r="Z133" s="159">
        <v>-8888</v>
      </c>
      <c r="AA133" s="89">
        <v>1.0999999999999999E-2</v>
      </c>
      <c r="AB133" s="89">
        <v>2E-3</v>
      </c>
      <c r="AC133" s="89">
        <v>1.2E-2</v>
      </c>
      <c r="AD133" s="89">
        <v>1E-3</v>
      </c>
      <c r="AE133" s="89">
        <v>0.185</v>
      </c>
      <c r="AF133" s="89">
        <v>1.2E-2</v>
      </c>
      <c r="AG133" s="89">
        <v>7.0000000000000001E-3</v>
      </c>
      <c r="AH133" s="89">
        <v>0.34200000000000003</v>
      </c>
      <c r="AI133" s="89">
        <v>-8888</v>
      </c>
      <c r="AJ133" s="89">
        <v>5.0000000000000001E-3</v>
      </c>
      <c r="AK133" s="89">
        <v>2.1000000000000001E-2</v>
      </c>
      <c r="AL133" s="89">
        <v>-8888</v>
      </c>
      <c r="AM133" s="89">
        <v>3.5999999999999997E-2</v>
      </c>
      <c r="AN133" s="89">
        <v>5.8000000000000003E-2</v>
      </c>
      <c r="AO133" s="89">
        <v>2E-3</v>
      </c>
      <c r="AP133" s="89">
        <v>2E-3</v>
      </c>
      <c r="AQ133" s="89">
        <v>2E-3</v>
      </c>
      <c r="AR133" s="89">
        <v>1.4E-2</v>
      </c>
      <c r="AS133" s="89">
        <v>2.5999999999999999E-2</v>
      </c>
      <c r="AT133" s="89">
        <v>-8888</v>
      </c>
      <c r="AU133" s="89">
        <v>-8888</v>
      </c>
      <c r="AV133" s="89">
        <v>0.46200000000000008</v>
      </c>
      <c r="AW133" s="89">
        <v>3.6999999999999998E-2</v>
      </c>
      <c r="AX133" s="89">
        <v>0.20800000000000002</v>
      </c>
      <c r="AY133" s="89">
        <v>0.67000000000000015</v>
      </c>
      <c r="AZ133" s="89">
        <v>0.24500000000000002</v>
      </c>
      <c r="BA133" s="89">
        <v>0.36</v>
      </c>
      <c r="BB133" s="89">
        <v>0.70700000000000007</v>
      </c>
      <c r="BC133" s="89">
        <v>0.23800000000000002</v>
      </c>
      <c r="BD133" s="160">
        <v>1.04</v>
      </c>
      <c r="BE133" s="160">
        <v>0.85</v>
      </c>
      <c r="BF133" s="160">
        <v>0.15</v>
      </c>
      <c r="BG133" s="160">
        <v>1.89</v>
      </c>
      <c r="BH133" s="160">
        <v>0.05</v>
      </c>
      <c r="BI133" s="160">
        <v>0.95</v>
      </c>
      <c r="BJ133" s="160">
        <v>0.49</v>
      </c>
      <c r="BL133" s="167"/>
    </row>
    <row r="134" spans="1:64" s="88" customFormat="1" ht="14.1" customHeight="1">
      <c r="A134" s="156" t="s">
        <v>398</v>
      </c>
      <c r="B134" s="169" t="s">
        <v>511</v>
      </c>
      <c r="C134" s="169" t="s">
        <v>772</v>
      </c>
      <c r="D134" s="169" t="s">
        <v>712</v>
      </c>
      <c r="E134" s="169" t="s">
        <v>170</v>
      </c>
      <c r="F134" s="169">
        <v>547</v>
      </c>
      <c r="G134" s="169">
        <v>17</v>
      </c>
      <c r="H134" s="169">
        <v>9</v>
      </c>
      <c r="I134" s="165">
        <v>35.200000000000003</v>
      </c>
      <c r="J134" s="165">
        <v>88</v>
      </c>
      <c r="K134" s="166" t="s">
        <v>514</v>
      </c>
      <c r="L134" s="165">
        <v>2024</v>
      </c>
      <c r="M134" s="165" t="s">
        <v>713</v>
      </c>
      <c r="N134" s="165">
        <v>10</v>
      </c>
      <c r="O134" s="181">
        <v>315</v>
      </c>
      <c r="P134" s="165" t="s">
        <v>773</v>
      </c>
      <c r="Q134" s="165">
        <v>-70.882000000000005</v>
      </c>
      <c r="R134" s="165">
        <v>40.363</v>
      </c>
      <c r="S134" s="165" t="s">
        <v>172</v>
      </c>
      <c r="T134" s="165">
        <v>25</v>
      </c>
      <c r="U134" s="166" t="s">
        <v>516</v>
      </c>
      <c r="V134" s="158">
        <v>1.546</v>
      </c>
      <c r="W134" s="158">
        <v>0.182</v>
      </c>
      <c r="X134" s="158">
        <v>0.33200000000000002</v>
      </c>
      <c r="Y134" s="157">
        <v>6.9000000000000006E-2</v>
      </c>
      <c r="Z134" s="159">
        <v>3.3000000000000002E-2</v>
      </c>
      <c r="AA134" s="89">
        <v>0.17699999999999999</v>
      </c>
      <c r="AB134" s="89">
        <v>3.5999999999999997E-2</v>
      </c>
      <c r="AC134" s="89">
        <v>5.8000000000000003E-2</v>
      </c>
      <c r="AD134" s="89">
        <v>5.0000000000000001E-3</v>
      </c>
      <c r="AE134" s="89">
        <v>0.45</v>
      </c>
      <c r="AF134" s="89">
        <v>7.0000000000000007E-2</v>
      </c>
      <c r="AG134" s="89">
        <v>2.5999999999999999E-2</v>
      </c>
      <c r="AH134" s="89">
        <v>1.53</v>
      </c>
      <c r="AI134" s="89">
        <v>-8888</v>
      </c>
      <c r="AJ134" s="89">
        <v>1.6E-2</v>
      </c>
      <c r="AK134" s="89">
        <v>0.182</v>
      </c>
      <c r="AL134" s="89">
        <v>-8888</v>
      </c>
      <c r="AM134" s="89">
        <v>0.19400000000000001</v>
      </c>
      <c r="AN134" s="89">
        <v>0.13800000000000001</v>
      </c>
      <c r="AO134" s="89">
        <v>1.0999999999999999E-2</v>
      </c>
      <c r="AP134" s="89">
        <v>0.02</v>
      </c>
      <c r="AQ134" s="89">
        <v>1.6E-2</v>
      </c>
      <c r="AR134" s="89">
        <v>3.2000000000000001E-2</v>
      </c>
      <c r="AS134" s="89">
        <v>5.0999999999999997E-2</v>
      </c>
      <c r="AT134" s="89">
        <v>0.04</v>
      </c>
      <c r="AU134" s="89">
        <v>-8888</v>
      </c>
      <c r="AV134" s="89">
        <v>2.06</v>
      </c>
      <c r="AW134" s="89">
        <v>0.19400000000000001</v>
      </c>
      <c r="AX134" s="89">
        <v>0.73</v>
      </c>
      <c r="AY134" s="89">
        <v>2.79</v>
      </c>
      <c r="AZ134" s="89">
        <v>0.92399999999999993</v>
      </c>
      <c r="BA134" s="89">
        <v>1.4379999999999999</v>
      </c>
      <c r="BB134" s="89">
        <v>2.984</v>
      </c>
      <c r="BC134" s="89">
        <v>0.97399999999999998</v>
      </c>
      <c r="BD134" s="160">
        <v>0.93</v>
      </c>
      <c r="BE134" s="160">
        <v>0.79</v>
      </c>
      <c r="BF134" s="160">
        <v>0.21</v>
      </c>
      <c r="BG134" s="160">
        <v>2.23</v>
      </c>
      <c r="BH134" s="160">
        <v>7.0000000000000007E-2</v>
      </c>
      <c r="BI134" s="160">
        <v>0.93</v>
      </c>
      <c r="BJ134" s="160">
        <v>0.52</v>
      </c>
      <c r="BL134" s="167"/>
    </row>
    <row r="135" spans="1:64" s="88" customFormat="1" ht="14.1" customHeight="1">
      <c r="A135" s="156" t="s">
        <v>399</v>
      </c>
      <c r="B135" s="169" t="s">
        <v>511</v>
      </c>
      <c r="C135" s="169" t="s">
        <v>774</v>
      </c>
      <c r="D135" s="169" t="s">
        <v>712</v>
      </c>
      <c r="E135" s="169" t="s">
        <v>170</v>
      </c>
      <c r="F135" s="169">
        <v>548</v>
      </c>
      <c r="G135" s="169">
        <v>17</v>
      </c>
      <c r="H135" s="169">
        <v>18</v>
      </c>
      <c r="I135" s="165">
        <v>2.7</v>
      </c>
      <c r="J135" s="165">
        <v>88</v>
      </c>
      <c r="K135" s="166" t="s">
        <v>514</v>
      </c>
      <c r="L135" s="165">
        <v>2024</v>
      </c>
      <c r="M135" s="165" t="s">
        <v>713</v>
      </c>
      <c r="N135" s="165">
        <v>10</v>
      </c>
      <c r="O135" s="181">
        <v>315</v>
      </c>
      <c r="P135" s="165" t="s">
        <v>775</v>
      </c>
      <c r="Q135" s="165">
        <v>-70.882000000000005</v>
      </c>
      <c r="R135" s="165">
        <v>40.363</v>
      </c>
      <c r="S135" s="165" t="s">
        <v>172</v>
      </c>
      <c r="T135" s="165">
        <v>25</v>
      </c>
      <c r="U135" s="166" t="s">
        <v>516</v>
      </c>
      <c r="V135" s="158">
        <v>1.605</v>
      </c>
      <c r="W135" s="158">
        <v>0.19400000000000001</v>
      </c>
      <c r="X135" s="158">
        <v>0.35499999999999998</v>
      </c>
      <c r="Y135" s="157">
        <v>7.2999999999999995E-2</v>
      </c>
      <c r="Z135" s="159">
        <v>3.5000000000000003E-2</v>
      </c>
      <c r="AA135" s="89">
        <v>0.185</v>
      </c>
      <c r="AB135" s="89">
        <v>3.6999999999999998E-2</v>
      </c>
      <c r="AC135" s="89">
        <v>6.0999999999999999E-2</v>
      </c>
      <c r="AD135" s="89">
        <v>5.0000000000000001E-3</v>
      </c>
      <c r="AE135" s="89">
        <v>0.46</v>
      </c>
      <c r="AF135" s="89">
        <v>7.6999999999999999E-2</v>
      </c>
      <c r="AG135" s="89">
        <v>2.7E-2</v>
      </c>
      <c r="AH135" s="89">
        <v>1.5860000000000001</v>
      </c>
      <c r="AI135" s="89">
        <v>-8888</v>
      </c>
      <c r="AJ135" s="89">
        <v>1.9E-2</v>
      </c>
      <c r="AK135" s="89">
        <v>0.19400000000000001</v>
      </c>
      <c r="AL135" s="89">
        <v>-8888</v>
      </c>
      <c r="AM135" s="89">
        <v>0.20100000000000001</v>
      </c>
      <c r="AN135" s="89">
        <v>0.154</v>
      </c>
      <c r="AO135" s="89">
        <v>1.0999999999999999E-2</v>
      </c>
      <c r="AP135" s="89">
        <v>2.1000000000000001E-2</v>
      </c>
      <c r="AQ135" s="89">
        <v>1.7000000000000001E-2</v>
      </c>
      <c r="AR135" s="89">
        <v>3.5000000000000003E-2</v>
      </c>
      <c r="AS135" s="89">
        <v>5.7000000000000002E-2</v>
      </c>
      <c r="AT135" s="89">
        <v>4.1000000000000002E-2</v>
      </c>
      <c r="AU135" s="89">
        <v>-8888</v>
      </c>
      <c r="AV135" s="89">
        <v>2.1539999999999999</v>
      </c>
      <c r="AW135" s="89">
        <v>0.20300000000000001</v>
      </c>
      <c r="AX135" s="89">
        <v>0.7569999999999999</v>
      </c>
      <c r="AY135" s="89">
        <v>2.9109999999999996</v>
      </c>
      <c r="AZ135" s="89">
        <v>0.96</v>
      </c>
      <c r="BA135" s="89">
        <v>1.5089999999999999</v>
      </c>
      <c r="BB135" s="89">
        <v>3.1139999999999999</v>
      </c>
      <c r="BC135" s="89">
        <v>1.0149999999999999</v>
      </c>
      <c r="BD135" s="160">
        <v>0.94</v>
      </c>
      <c r="BE135" s="160">
        <v>0.79</v>
      </c>
      <c r="BF135" s="160">
        <v>0.21</v>
      </c>
      <c r="BG135" s="160">
        <v>2.2400000000000002</v>
      </c>
      <c r="BH135" s="160">
        <v>7.0000000000000007E-2</v>
      </c>
      <c r="BI135" s="160">
        <v>0.93</v>
      </c>
      <c r="BJ135" s="160">
        <v>0.52</v>
      </c>
      <c r="BL135" s="167"/>
    </row>
    <row r="136" spans="1:64" s="88" customFormat="1" ht="14.1" customHeight="1">
      <c r="A136" s="156" t="s">
        <v>400</v>
      </c>
      <c r="B136" s="169" t="s">
        <v>511</v>
      </c>
      <c r="C136" s="169" t="s">
        <v>776</v>
      </c>
      <c r="D136" s="169" t="s">
        <v>712</v>
      </c>
      <c r="E136" s="169" t="s">
        <v>170</v>
      </c>
      <c r="F136" s="169">
        <v>1055</v>
      </c>
      <c r="G136" s="169">
        <v>18</v>
      </c>
      <c r="H136" s="169">
        <v>5</v>
      </c>
      <c r="I136" s="165">
        <v>43.6</v>
      </c>
      <c r="J136" s="165">
        <v>60</v>
      </c>
      <c r="K136" s="166" t="s">
        <v>514</v>
      </c>
      <c r="L136" s="165">
        <v>2024</v>
      </c>
      <c r="M136" s="165" t="s">
        <v>713</v>
      </c>
      <c r="N136" s="165">
        <v>10</v>
      </c>
      <c r="O136" s="181">
        <v>315</v>
      </c>
      <c r="P136" s="165" t="s">
        <v>777</v>
      </c>
      <c r="Q136" s="165">
        <v>-70.884</v>
      </c>
      <c r="R136" s="165">
        <v>40.700000000000003</v>
      </c>
      <c r="S136" s="165" t="s">
        <v>172</v>
      </c>
      <c r="T136" s="165">
        <v>25</v>
      </c>
      <c r="U136" s="166" t="s">
        <v>516</v>
      </c>
      <c r="V136" s="158">
        <v>0.49399999999999999</v>
      </c>
      <c r="W136" s="158">
        <v>7.4999999999999997E-2</v>
      </c>
      <c r="X136" s="158">
        <v>0.11699999999999999</v>
      </c>
      <c r="Y136" s="157">
        <v>2.4E-2</v>
      </c>
      <c r="Z136" s="159">
        <v>1.4E-2</v>
      </c>
      <c r="AA136" s="89">
        <v>3.3000000000000002E-2</v>
      </c>
      <c r="AB136" s="89">
        <v>3.0000000000000001E-3</v>
      </c>
      <c r="AC136" s="89">
        <v>1.4999999999999999E-2</v>
      </c>
      <c r="AD136" s="89">
        <v>1E-3</v>
      </c>
      <c r="AE136" s="89">
        <v>0.19900000000000001</v>
      </c>
      <c r="AF136" s="89">
        <v>7.0000000000000001E-3</v>
      </c>
      <c r="AG136" s="89">
        <v>1.0999999999999999E-2</v>
      </c>
      <c r="AH136" s="89">
        <v>0.47399999999999998</v>
      </c>
      <c r="AI136" s="89">
        <v>-8888</v>
      </c>
      <c r="AJ136" s="89">
        <v>0.02</v>
      </c>
      <c r="AK136" s="89">
        <v>7.4999999999999997E-2</v>
      </c>
      <c r="AL136" s="89">
        <v>-8888</v>
      </c>
      <c r="AM136" s="89">
        <v>5.8000000000000003E-2</v>
      </c>
      <c r="AN136" s="89">
        <v>5.8999999999999997E-2</v>
      </c>
      <c r="AO136" s="89">
        <v>4.0000000000000001E-3</v>
      </c>
      <c r="AP136" s="89">
        <v>8.9999999999999993E-3</v>
      </c>
      <c r="AQ136" s="89">
        <v>4.0000000000000001E-3</v>
      </c>
      <c r="AR136" s="89">
        <v>0.01</v>
      </c>
      <c r="AS136" s="89">
        <v>3.2000000000000001E-2</v>
      </c>
      <c r="AT136" s="89">
        <v>1.7000000000000001E-2</v>
      </c>
      <c r="AU136" s="89">
        <v>-8888</v>
      </c>
      <c r="AV136" s="89">
        <v>0.68599999999999994</v>
      </c>
      <c r="AW136" s="89">
        <v>5.3999999999999999E-2</v>
      </c>
      <c r="AX136" s="89">
        <v>0.253</v>
      </c>
      <c r="AY136" s="89">
        <v>0.93899999999999995</v>
      </c>
      <c r="AZ136" s="89">
        <v>0.307</v>
      </c>
      <c r="BA136" s="89">
        <v>0.499</v>
      </c>
      <c r="BB136" s="89">
        <v>0.99299999999999999</v>
      </c>
      <c r="BC136" s="89">
        <v>0.34199999999999997</v>
      </c>
      <c r="BD136" s="160">
        <v>1.01</v>
      </c>
      <c r="BE136" s="160">
        <v>0.82</v>
      </c>
      <c r="BF136" s="160">
        <v>0.18</v>
      </c>
      <c r="BG136" s="160">
        <v>2.23</v>
      </c>
      <c r="BH136" s="160">
        <v>0.05</v>
      </c>
      <c r="BI136" s="160">
        <v>0.95</v>
      </c>
      <c r="BJ136" s="160">
        <v>0.5</v>
      </c>
      <c r="BL136" s="167"/>
    </row>
    <row r="137" spans="1:64" s="88" customFormat="1" ht="14.1" customHeight="1">
      <c r="A137" s="156" t="s">
        <v>401</v>
      </c>
      <c r="B137" s="169" t="s">
        <v>511</v>
      </c>
      <c r="C137" s="169" t="s">
        <v>778</v>
      </c>
      <c r="D137" s="169" t="s">
        <v>712</v>
      </c>
      <c r="E137" s="169" t="s">
        <v>170</v>
      </c>
      <c r="F137" s="169">
        <v>547</v>
      </c>
      <c r="G137" s="169">
        <v>18</v>
      </c>
      <c r="H137" s="169">
        <v>11</v>
      </c>
      <c r="I137" s="165">
        <v>28.1</v>
      </c>
      <c r="J137" s="165">
        <v>60</v>
      </c>
      <c r="K137" s="166" t="s">
        <v>514</v>
      </c>
      <c r="L137" s="165">
        <v>2024</v>
      </c>
      <c r="M137" s="165" t="s">
        <v>713</v>
      </c>
      <c r="N137" s="165">
        <v>10</v>
      </c>
      <c r="O137" s="181">
        <v>315</v>
      </c>
      <c r="P137" s="165" t="s">
        <v>779</v>
      </c>
      <c r="Q137" s="165">
        <v>-70.884</v>
      </c>
      <c r="R137" s="165">
        <v>40.701000000000001</v>
      </c>
      <c r="S137" s="165" t="s">
        <v>172</v>
      </c>
      <c r="T137" s="165">
        <v>25</v>
      </c>
      <c r="U137" s="166" t="s">
        <v>516</v>
      </c>
      <c r="V137" s="158">
        <v>1.2899999999999998</v>
      </c>
      <c r="W137" s="158">
        <v>0.156</v>
      </c>
      <c r="X137" s="158">
        <v>0.31</v>
      </c>
      <c r="Y137" s="157">
        <v>5.7000000000000002E-2</v>
      </c>
      <c r="Z137" s="159">
        <v>3.9E-2</v>
      </c>
      <c r="AA137" s="89">
        <v>0.154</v>
      </c>
      <c r="AB137" s="89">
        <v>0.02</v>
      </c>
      <c r="AC137" s="89">
        <v>4.3999999999999997E-2</v>
      </c>
      <c r="AD137" s="89">
        <v>3.0000000000000001E-3</v>
      </c>
      <c r="AE137" s="89">
        <v>0.43099999999999999</v>
      </c>
      <c r="AF137" s="89">
        <v>4.1000000000000002E-2</v>
      </c>
      <c r="AG137" s="89">
        <v>1.7999999999999999E-2</v>
      </c>
      <c r="AH137" s="89">
        <v>1.2649999999999999</v>
      </c>
      <c r="AI137" s="89">
        <v>-8888</v>
      </c>
      <c r="AJ137" s="89">
        <v>2.5000000000000001E-2</v>
      </c>
      <c r="AK137" s="89">
        <v>0.156</v>
      </c>
      <c r="AL137" s="89">
        <v>-8888</v>
      </c>
      <c r="AM137" s="89">
        <v>0.16700000000000001</v>
      </c>
      <c r="AN137" s="89">
        <v>0.14299999999999999</v>
      </c>
      <c r="AO137" s="89">
        <v>0.01</v>
      </c>
      <c r="AP137" s="89">
        <v>1.9E-2</v>
      </c>
      <c r="AQ137" s="89">
        <v>1.4E-2</v>
      </c>
      <c r="AR137" s="89">
        <v>2.1999999999999999E-2</v>
      </c>
      <c r="AS137" s="89">
        <v>5.2999999999999999E-2</v>
      </c>
      <c r="AT137" s="89">
        <v>3.3000000000000002E-2</v>
      </c>
      <c r="AU137" s="89">
        <v>-8888</v>
      </c>
      <c r="AV137" s="89">
        <v>1.7559999999999998</v>
      </c>
      <c r="AW137" s="89">
        <v>0.14200000000000002</v>
      </c>
      <c r="AX137" s="89">
        <v>0.66500000000000004</v>
      </c>
      <c r="AY137" s="89">
        <v>2.4209999999999998</v>
      </c>
      <c r="AZ137" s="89">
        <v>0.80700000000000005</v>
      </c>
      <c r="BA137" s="89">
        <v>1.2730000000000001</v>
      </c>
      <c r="BB137" s="89">
        <v>2.5629999999999997</v>
      </c>
      <c r="BC137" s="89">
        <v>0.85899999999999999</v>
      </c>
      <c r="BD137" s="160">
        <v>0.99</v>
      </c>
      <c r="BE137" s="160">
        <v>0.82</v>
      </c>
      <c r="BF137" s="160">
        <v>0.18</v>
      </c>
      <c r="BG137" s="160">
        <v>2.1800000000000002</v>
      </c>
      <c r="BH137" s="160">
        <v>0.06</v>
      </c>
      <c r="BI137" s="160">
        <v>0.94</v>
      </c>
      <c r="BJ137" s="160">
        <v>0.5</v>
      </c>
      <c r="BL137" s="167"/>
    </row>
    <row r="138" spans="1:64" s="88" customFormat="1" ht="14.1" customHeight="1">
      <c r="A138" s="156" t="s">
        <v>402</v>
      </c>
      <c r="B138" s="169" t="s">
        <v>511</v>
      </c>
      <c r="C138" s="169" t="s">
        <v>780</v>
      </c>
      <c r="D138" s="169" t="s">
        <v>712</v>
      </c>
      <c r="E138" s="169" t="s">
        <v>170</v>
      </c>
      <c r="F138" s="169">
        <v>547</v>
      </c>
      <c r="G138" s="169">
        <v>18</v>
      </c>
      <c r="H138" s="169">
        <v>19</v>
      </c>
      <c r="I138" s="165">
        <v>2.5</v>
      </c>
      <c r="J138" s="165">
        <v>60</v>
      </c>
      <c r="K138" s="166" t="s">
        <v>514</v>
      </c>
      <c r="L138" s="165">
        <v>2024</v>
      </c>
      <c r="M138" s="165" t="s">
        <v>713</v>
      </c>
      <c r="N138" s="165">
        <v>10</v>
      </c>
      <c r="O138" s="181">
        <v>315</v>
      </c>
      <c r="P138" s="165" t="s">
        <v>781</v>
      </c>
      <c r="Q138" s="165">
        <v>-70.884</v>
      </c>
      <c r="R138" s="165">
        <v>40.701000000000001</v>
      </c>
      <c r="S138" s="165" t="s">
        <v>172</v>
      </c>
      <c r="T138" s="165">
        <v>25</v>
      </c>
      <c r="U138" s="166" t="s">
        <v>516</v>
      </c>
      <c r="V138" s="158">
        <v>1.5499999999999998</v>
      </c>
      <c r="W138" s="158">
        <v>0.16900000000000001</v>
      </c>
      <c r="X138" s="158">
        <v>0.34799999999999998</v>
      </c>
      <c r="Y138" s="157">
        <v>6.5000000000000002E-2</v>
      </c>
      <c r="Z138" s="159">
        <v>3.7999999999999999E-2</v>
      </c>
      <c r="AA138" s="89">
        <v>0.14899999999999999</v>
      </c>
      <c r="AB138" s="89">
        <v>2.5999999999999999E-2</v>
      </c>
      <c r="AC138" s="89">
        <v>0.08</v>
      </c>
      <c r="AD138" s="89">
        <v>8.0000000000000002E-3</v>
      </c>
      <c r="AE138" s="89">
        <v>0.53800000000000003</v>
      </c>
      <c r="AF138" s="89">
        <v>6.5000000000000002E-2</v>
      </c>
      <c r="AG138" s="89">
        <v>2.3E-2</v>
      </c>
      <c r="AH138" s="89">
        <v>1.5269999999999999</v>
      </c>
      <c r="AI138" s="89">
        <v>-8888</v>
      </c>
      <c r="AJ138" s="89">
        <v>2.3E-2</v>
      </c>
      <c r="AK138" s="89">
        <v>0.16900000000000001</v>
      </c>
      <c r="AL138" s="89">
        <v>-8888</v>
      </c>
      <c r="AM138" s="89">
        <v>0.19800000000000001</v>
      </c>
      <c r="AN138" s="89">
        <v>0.15</v>
      </c>
      <c r="AO138" s="89">
        <v>1.4E-2</v>
      </c>
      <c r="AP138" s="89">
        <v>0.02</v>
      </c>
      <c r="AQ138" s="89">
        <v>1.7000000000000001E-2</v>
      </c>
      <c r="AR138" s="89">
        <v>2.1000000000000001E-2</v>
      </c>
      <c r="AS138" s="89">
        <v>4.7E-2</v>
      </c>
      <c r="AT138" s="89">
        <v>3.4000000000000002E-2</v>
      </c>
      <c r="AU138" s="89">
        <v>-8888</v>
      </c>
      <c r="AV138" s="89">
        <v>2.0669999999999997</v>
      </c>
      <c r="AW138" s="89">
        <v>0.20199999999999999</v>
      </c>
      <c r="AX138" s="89">
        <v>0.79</v>
      </c>
      <c r="AY138" s="89">
        <v>2.8569999999999998</v>
      </c>
      <c r="AZ138" s="89">
        <v>0.99199999999999999</v>
      </c>
      <c r="BA138" s="89">
        <v>1.5089999999999999</v>
      </c>
      <c r="BB138" s="89">
        <v>3.0589999999999997</v>
      </c>
      <c r="BC138" s="89">
        <v>1.008</v>
      </c>
      <c r="BD138" s="160">
        <v>0.97</v>
      </c>
      <c r="BE138" s="160">
        <v>0.8</v>
      </c>
      <c r="BF138" s="160">
        <v>0.2</v>
      </c>
      <c r="BG138" s="160">
        <v>2.08</v>
      </c>
      <c r="BH138" s="160">
        <v>7.0000000000000007E-2</v>
      </c>
      <c r="BI138" s="160">
        <v>0.93</v>
      </c>
      <c r="BJ138" s="160">
        <v>0.51</v>
      </c>
      <c r="BL138" s="167"/>
    </row>
    <row r="139" spans="1:64" s="88" customFormat="1" ht="14.1" customHeight="1">
      <c r="A139" s="156" t="s">
        <v>403</v>
      </c>
      <c r="B139" s="169" t="s">
        <v>511</v>
      </c>
      <c r="C139" s="169" t="s">
        <v>782</v>
      </c>
      <c r="D139" s="169" t="s">
        <v>712</v>
      </c>
      <c r="E139" s="169" t="s">
        <v>170</v>
      </c>
      <c r="F139" s="169">
        <v>547</v>
      </c>
      <c r="G139" s="169">
        <v>19</v>
      </c>
      <c r="H139" s="169">
        <v>4</v>
      </c>
      <c r="I139" s="165">
        <v>19.100000000000001</v>
      </c>
      <c r="J139" s="165">
        <v>40</v>
      </c>
      <c r="K139" s="166" t="s">
        <v>514</v>
      </c>
      <c r="L139" s="165">
        <v>2024</v>
      </c>
      <c r="M139" s="165" t="s">
        <v>713</v>
      </c>
      <c r="N139" s="165">
        <v>11</v>
      </c>
      <c r="O139" s="181">
        <v>316</v>
      </c>
      <c r="P139" s="165" t="s">
        <v>783</v>
      </c>
      <c r="Q139" s="165">
        <v>-70.882999999999996</v>
      </c>
      <c r="R139" s="165">
        <v>41.030999999999999</v>
      </c>
      <c r="S139" s="165" t="s">
        <v>172</v>
      </c>
      <c r="T139" s="165">
        <v>25</v>
      </c>
      <c r="U139" s="166" t="s">
        <v>516</v>
      </c>
      <c r="V139" s="158">
        <v>2.0449999999999999</v>
      </c>
      <c r="W139" s="158">
        <v>0.183</v>
      </c>
      <c r="X139" s="158">
        <v>0.40300000000000002</v>
      </c>
      <c r="Y139" s="157">
        <v>0.09</v>
      </c>
      <c r="Z139" s="159">
        <v>2.9000000000000001E-2</v>
      </c>
      <c r="AA139" s="89">
        <v>0.109</v>
      </c>
      <c r="AB139" s="89">
        <v>3.6999999999999998E-2</v>
      </c>
      <c r="AC139" s="89">
        <v>8.5000000000000006E-2</v>
      </c>
      <c r="AD139" s="89">
        <v>8.0000000000000002E-3</v>
      </c>
      <c r="AE139" s="89">
        <v>0.76400000000000001</v>
      </c>
      <c r="AF139" s="89">
        <v>5.0999999999999997E-2</v>
      </c>
      <c r="AG139" s="89">
        <v>3.5999999999999997E-2</v>
      </c>
      <c r="AH139" s="89">
        <v>1.984</v>
      </c>
      <c r="AI139" s="89">
        <v>-8888</v>
      </c>
      <c r="AJ139" s="89">
        <v>6.0999999999999999E-2</v>
      </c>
      <c r="AK139" s="89">
        <v>0.183</v>
      </c>
      <c r="AL139" s="89">
        <v>-8888</v>
      </c>
      <c r="AM139" s="89">
        <v>0.26500000000000001</v>
      </c>
      <c r="AN139" s="89">
        <v>0.13800000000000001</v>
      </c>
      <c r="AO139" s="89">
        <v>8.0000000000000002E-3</v>
      </c>
      <c r="AP139" s="89">
        <v>0.02</v>
      </c>
      <c r="AQ139" s="89">
        <v>1.6E-2</v>
      </c>
      <c r="AR139" s="89">
        <v>2.4E-2</v>
      </c>
      <c r="AS139" s="89">
        <v>4.8000000000000001E-2</v>
      </c>
      <c r="AT139" s="89">
        <v>4.1000000000000002E-2</v>
      </c>
      <c r="AU139" s="89">
        <v>-8888</v>
      </c>
      <c r="AV139" s="89">
        <v>2.6309999999999998</v>
      </c>
      <c r="AW139" s="89">
        <v>0.25600000000000001</v>
      </c>
      <c r="AX139" s="89">
        <v>0.95300000000000007</v>
      </c>
      <c r="AY139" s="89">
        <v>3.5839999999999996</v>
      </c>
      <c r="AZ139" s="89">
        <v>1.2090000000000001</v>
      </c>
      <c r="BA139" s="89">
        <v>1.7950000000000002</v>
      </c>
      <c r="BB139" s="89">
        <v>3.84</v>
      </c>
      <c r="BC139" s="89">
        <v>1.2090000000000001</v>
      </c>
      <c r="BD139" s="160">
        <v>0.88</v>
      </c>
      <c r="BE139" s="160">
        <v>0.79</v>
      </c>
      <c r="BF139" s="160">
        <v>0.21</v>
      </c>
      <c r="BG139" s="160">
        <v>2.1800000000000002</v>
      </c>
      <c r="BH139" s="160">
        <v>7.0000000000000007E-2</v>
      </c>
      <c r="BI139" s="160">
        <v>0.93</v>
      </c>
      <c r="BJ139" s="160">
        <v>0.53</v>
      </c>
      <c r="BL139" s="167"/>
    </row>
    <row r="140" spans="1:64" s="88" customFormat="1" ht="14.1" customHeight="1">
      <c r="A140" s="156" t="s">
        <v>404</v>
      </c>
      <c r="B140" s="169" t="s">
        <v>511</v>
      </c>
      <c r="C140" s="169" t="s">
        <v>784</v>
      </c>
      <c r="D140" s="169" t="s">
        <v>712</v>
      </c>
      <c r="E140" s="169" t="s">
        <v>170</v>
      </c>
      <c r="F140" s="169">
        <v>548</v>
      </c>
      <c r="G140" s="169">
        <v>19</v>
      </c>
      <c r="H140" s="169">
        <v>7</v>
      </c>
      <c r="I140" s="165">
        <v>4.3</v>
      </c>
      <c r="J140" s="165">
        <v>40</v>
      </c>
      <c r="K140" s="166" t="s">
        <v>514</v>
      </c>
      <c r="L140" s="165">
        <v>2024</v>
      </c>
      <c r="M140" s="165" t="s">
        <v>713</v>
      </c>
      <c r="N140" s="165">
        <v>11</v>
      </c>
      <c r="O140" s="181">
        <v>316</v>
      </c>
      <c r="P140" s="165" t="s">
        <v>785</v>
      </c>
      <c r="Q140" s="165">
        <v>-70.882999999999996</v>
      </c>
      <c r="R140" s="165">
        <v>41.030999999999999</v>
      </c>
      <c r="S140" s="165" t="s">
        <v>172</v>
      </c>
      <c r="T140" s="165">
        <v>25</v>
      </c>
      <c r="U140" s="166" t="s">
        <v>516</v>
      </c>
      <c r="V140" s="158">
        <v>1.9450000000000001</v>
      </c>
      <c r="W140" s="158">
        <v>0.17499999999999999</v>
      </c>
      <c r="X140" s="158">
        <v>0.41200000000000003</v>
      </c>
      <c r="Y140" s="157">
        <v>8.2000000000000003E-2</v>
      </c>
      <c r="Z140" s="159">
        <v>2.8000000000000001E-2</v>
      </c>
      <c r="AA140" s="89">
        <v>0.107</v>
      </c>
      <c r="AB140" s="89">
        <v>3.4000000000000002E-2</v>
      </c>
      <c r="AC140" s="89">
        <v>8.1000000000000003E-2</v>
      </c>
      <c r="AD140" s="89">
        <v>8.0000000000000002E-3</v>
      </c>
      <c r="AE140" s="89">
        <v>0.751</v>
      </c>
      <c r="AF140" s="89">
        <v>4.7E-2</v>
      </c>
      <c r="AG140" s="89">
        <v>2.7E-2</v>
      </c>
      <c r="AH140" s="89">
        <v>1.8</v>
      </c>
      <c r="AI140" s="89">
        <v>-8888</v>
      </c>
      <c r="AJ140" s="89">
        <v>0.14499999999999999</v>
      </c>
      <c r="AK140" s="89">
        <v>0.17499999999999999</v>
      </c>
      <c r="AL140" s="89">
        <v>-8888</v>
      </c>
      <c r="AM140" s="89">
        <v>0.26400000000000001</v>
      </c>
      <c r="AN140" s="89">
        <v>0.14799999999999999</v>
      </c>
      <c r="AO140" s="89">
        <v>8.0000000000000002E-3</v>
      </c>
      <c r="AP140" s="89">
        <v>1.9E-2</v>
      </c>
      <c r="AQ140" s="89">
        <v>1.6E-2</v>
      </c>
      <c r="AR140" s="89">
        <v>2.4E-2</v>
      </c>
      <c r="AS140" s="89">
        <v>5.5E-2</v>
      </c>
      <c r="AT140" s="89">
        <v>3.6999999999999998E-2</v>
      </c>
      <c r="AU140" s="89">
        <v>-8888</v>
      </c>
      <c r="AV140" s="89">
        <v>2.532</v>
      </c>
      <c r="AW140" s="89">
        <v>0.23199999999999998</v>
      </c>
      <c r="AX140" s="89">
        <v>0.93300000000000005</v>
      </c>
      <c r="AY140" s="89">
        <v>3.4649999999999999</v>
      </c>
      <c r="AZ140" s="89">
        <v>1.165</v>
      </c>
      <c r="BA140" s="89">
        <v>1.7520000000000002</v>
      </c>
      <c r="BB140" s="89">
        <v>3.6970000000000001</v>
      </c>
      <c r="BC140" s="89">
        <v>1.169</v>
      </c>
      <c r="BD140" s="160">
        <v>0.9</v>
      </c>
      <c r="BE140" s="160">
        <v>0.8</v>
      </c>
      <c r="BF140" s="160">
        <v>0.2</v>
      </c>
      <c r="BG140" s="160">
        <v>2.17</v>
      </c>
      <c r="BH140" s="160">
        <v>0.06</v>
      </c>
      <c r="BI140" s="160">
        <v>0.94</v>
      </c>
      <c r="BJ140" s="160">
        <v>0.53</v>
      </c>
      <c r="BL140" s="167"/>
    </row>
    <row r="141" spans="1:64" s="88" customFormat="1" ht="14.1" customHeight="1">
      <c r="A141" s="156" t="s">
        <v>405</v>
      </c>
      <c r="B141" s="169" t="s">
        <v>511</v>
      </c>
      <c r="C141" s="169" t="s">
        <v>786</v>
      </c>
      <c r="D141" s="169" t="s">
        <v>712</v>
      </c>
      <c r="E141" s="169" t="s">
        <v>170</v>
      </c>
      <c r="F141" s="169">
        <v>547</v>
      </c>
      <c r="G141" s="169">
        <v>20</v>
      </c>
      <c r="H141" s="169">
        <v>1</v>
      </c>
      <c r="I141" s="165">
        <v>11.2</v>
      </c>
      <c r="J141" s="165">
        <v>16</v>
      </c>
      <c r="K141" s="166" t="s">
        <v>514</v>
      </c>
      <c r="L141" s="165">
        <v>2024</v>
      </c>
      <c r="M141" s="165" t="s">
        <v>713</v>
      </c>
      <c r="N141" s="165">
        <v>11</v>
      </c>
      <c r="O141" s="181">
        <v>316</v>
      </c>
      <c r="P141" s="165" t="s">
        <v>787</v>
      </c>
      <c r="Q141" s="165">
        <v>-70.551000000000002</v>
      </c>
      <c r="R141" s="165">
        <v>41.323</v>
      </c>
      <c r="S141" s="165" t="s">
        <v>172</v>
      </c>
      <c r="T141" s="165">
        <v>25</v>
      </c>
      <c r="U141" s="166" t="s">
        <v>516</v>
      </c>
      <c r="V141" s="158">
        <v>6.0060000000000002</v>
      </c>
      <c r="W141" s="158">
        <v>0.38</v>
      </c>
      <c r="X141" s="158">
        <v>1.0229999999999999</v>
      </c>
      <c r="Y141" s="157">
        <v>0.24099999999999999</v>
      </c>
      <c r="Z141" s="159">
        <v>-8888</v>
      </c>
      <c r="AA141" s="89">
        <v>0.17499999999999999</v>
      </c>
      <c r="AB141" s="89">
        <v>4.7E-2</v>
      </c>
      <c r="AC141" s="89">
        <v>0.23300000000000001</v>
      </c>
      <c r="AD141" s="89">
        <v>1.7000000000000001E-2</v>
      </c>
      <c r="AE141" s="89">
        <v>2.3050000000000002</v>
      </c>
      <c r="AF141" s="89">
        <v>7.0999999999999994E-2</v>
      </c>
      <c r="AG141" s="89">
        <v>2.5000000000000001E-2</v>
      </c>
      <c r="AH141" s="89">
        <v>5.3959999999999999</v>
      </c>
      <c r="AI141" s="89">
        <v>-8888</v>
      </c>
      <c r="AJ141" s="89">
        <v>0.61</v>
      </c>
      <c r="AK141" s="89">
        <v>0.38</v>
      </c>
      <c r="AL141" s="89">
        <v>-8888</v>
      </c>
      <c r="AM141" s="89">
        <v>0.82399999999999995</v>
      </c>
      <c r="AN141" s="89">
        <v>0.19900000000000001</v>
      </c>
      <c r="AO141" s="89">
        <v>6.0000000000000001E-3</v>
      </c>
      <c r="AP141" s="89">
        <v>3.9E-2</v>
      </c>
      <c r="AQ141" s="89">
        <v>4.9000000000000002E-2</v>
      </c>
      <c r="AR141" s="89">
        <v>0.189</v>
      </c>
      <c r="AS141" s="89">
        <v>0.373</v>
      </c>
      <c r="AT141" s="89">
        <v>7.6999999999999999E-2</v>
      </c>
      <c r="AU141" s="89">
        <v>-8888</v>
      </c>
      <c r="AV141" s="89">
        <v>7.4089999999999998</v>
      </c>
      <c r="AW141" s="89">
        <v>0.56300000000000006</v>
      </c>
      <c r="AX141" s="89">
        <v>2.5510000000000002</v>
      </c>
      <c r="AY141" s="89">
        <v>9.9600000000000009</v>
      </c>
      <c r="AZ141" s="89">
        <v>3.1140000000000003</v>
      </c>
      <c r="BA141" s="89">
        <v>4.5170000000000003</v>
      </c>
      <c r="BB141" s="89">
        <v>10.523</v>
      </c>
      <c r="BC141" s="89">
        <v>3.0030000000000001</v>
      </c>
      <c r="BD141" s="160">
        <v>0.75</v>
      </c>
      <c r="BE141" s="160">
        <v>0.82</v>
      </c>
      <c r="BF141" s="160">
        <v>0.18</v>
      </c>
      <c r="BG141" s="160">
        <v>2.38</v>
      </c>
      <c r="BH141" s="160">
        <v>0.05</v>
      </c>
      <c r="BI141" s="160">
        <v>0.95</v>
      </c>
      <c r="BJ141" s="160">
        <v>0.56999999999999995</v>
      </c>
      <c r="BL141" s="167"/>
    </row>
    <row r="142" spans="1:64" s="88" customFormat="1" ht="14.1" customHeight="1">
      <c r="A142" s="156" t="s">
        <v>406</v>
      </c>
      <c r="B142" s="169" t="s">
        <v>511</v>
      </c>
      <c r="C142" s="169" t="s">
        <v>788</v>
      </c>
      <c r="D142" s="169" t="s">
        <v>712</v>
      </c>
      <c r="E142" s="169" t="s">
        <v>170</v>
      </c>
      <c r="F142" s="169">
        <v>537</v>
      </c>
      <c r="G142" s="169">
        <v>20</v>
      </c>
      <c r="H142" s="169">
        <v>5</v>
      </c>
      <c r="I142" s="165">
        <v>3.3</v>
      </c>
      <c r="J142" s="165">
        <v>16</v>
      </c>
      <c r="K142" s="166" t="s">
        <v>514</v>
      </c>
      <c r="L142" s="165">
        <v>2024</v>
      </c>
      <c r="M142" s="165" t="s">
        <v>713</v>
      </c>
      <c r="N142" s="165">
        <v>11</v>
      </c>
      <c r="O142" s="181">
        <v>316</v>
      </c>
      <c r="P142" s="165" t="s">
        <v>789</v>
      </c>
      <c r="Q142" s="165">
        <v>-70.55</v>
      </c>
      <c r="R142" s="165">
        <v>41.323</v>
      </c>
      <c r="S142" s="165" t="s">
        <v>172</v>
      </c>
      <c r="T142" s="165">
        <v>25</v>
      </c>
      <c r="U142" s="166" t="s">
        <v>516</v>
      </c>
      <c r="V142" s="158">
        <v>6.7799999999999994</v>
      </c>
      <c r="W142" s="158">
        <v>0.41299999999999998</v>
      </c>
      <c r="X142" s="158">
        <v>1.163</v>
      </c>
      <c r="Y142" s="157">
        <v>0.26400000000000001</v>
      </c>
      <c r="Z142" s="159">
        <v>-8888</v>
      </c>
      <c r="AA142" s="89">
        <v>0.186</v>
      </c>
      <c r="AB142" s="89">
        <v>4.9000000000000002E-2</v>
      </c>
      <c r="AC142" s="89">
        <v>0.25600000000000001</v>
      </c>
      <c r="AD142" s="89">
        <v>2.5000000000000001E-2</v>
      </c>
      <c r="AE142" s="89">
        <v>2.5659999999999998</v>
      </c>
      <c r="AF142" s="89">
        <v>8.3000000000000004E-2</v>
      </c>
      <c r="AG142" s="89">
        <v>3.2000000000000001E-2</v>
      </c>
      <c r="AH142" s="89">
        <v>6.5179999999999998</v>
      </c>
      <c r="AI142" s="89">
        <v>-8888</v>
      </c>
      <c r="AJ142" s="89">
        <v>0.26200000000000001</v>
      </c>
      <c r="AK142" s="89">
        <v>0.41299999999999998</v>
      </c>
      <c r="AL142" s="89">
        <v>-8888</v>
      </c>
      <c r="AM142" s="89">
        <v>0.91900000000000004</v>
      </c>
      <c r="AN142" s="89">
        <v>0.24399999999999999</v>
      </c>
      <c r="AO142" s="89">
        <v>7.0000000000000001E-3</v>
      </c>
      <c r="AP142" s="89">
        <v>4.2000000000000003E-2</v>
      </c>
      <c r="AQ142" s="89">
        <v>5.2999999999999999E-2</v>
      </c>
      <c r="AR142" s="89">
        <v>0.20899999999999999</v>
      </c>
      <c r="AS142" s="89">
        <v>0.38900000000000001</v>
      </c>
      <c r="AT142" s="89">
        <v>7.0999999999999994E-2</v>
      </c>
      <c r="AU142" s="89">
        <v>-8888</v>
      </c>
      <c r="AV142" s="89">
        <v>8.3559999999999999</v>
      </c>
      <c r="AW142" s="89">
        <v>0.626</v>
      </c>
      <c r="AX142" s="89">
        <v>2.835</v>
      </c>
      <c r="AY142" s="89">
        <v>11.190999999999999</v>
      </c>
      <c r="AZ142" s="89">
        <v>3.4609999999999999</v>
      </c>
      <c r="BA142" s="89">
        <v>5.0369999999999999</v>
      </c>
      <c r="BB142" s="89">
        <v>11.817</v>
      </c>
      <c r="BC142" s="89">
        <v>3.3289999999999997</v>
      </c>
      <c r="BD142" s="160">
        <v>0.74</v>
      </c>
      <c r="BE142" s="160">
        <v>0.82</v>
      </c>
      <c r="BF142" s="160">
        <v>0.18</v>
      </c>
      <c r="BG142" s="160">
        <v>2.41</v>
      </c>
      <c r="BH142" s="160">
        <v>0.05</v>
      </c>
      <c r="BI142" s="160">
        <v>0.95</v>
      </c>
      <c r="BJ142" s="160">
        <v>0.56999999999999995</v>
      </c>
      <c r="BL142" s="167"/>
    </row>
    <row r="143" spans="1:64" s="88" customFormat="1" ht="14.1" customHeight="1">
      <c r="A143" s="156" t="s">
        <v>407</v>
      </c>
      <c r="B143" s="165" t="s">
        <v>511</v>
      </c>
      <c r="C143" s="165" t="s">
        <v>790</v>
      </c>
      <c r="D143" s="165" t="s">
        <v>791</v>
      </c>
      <c r="E143" s="165" t="s">
        <v>170</v>
      </c>
      <c r="F143" s="165">
        <v>547</v>
      </c>
      <c r="G143" s="165">
        <v>1</v>
      </c>
      <c r="H143" s="165">
        <v>2</v>
      </c>
      <c r="I143" s="165">
        <v>16.100000000000001</v>
      </c>
      <c r="J143" s="165">
        <v>20</v>
      </c>
      <c r="K143" s="166" t="s">
        <v>514</v>
      </c>
      <c r="L143" s="165">
        <v>2025</v>
      </c>
      <c r="M143" s="165" t="s">
        <v>792</v>
      </c>
      <c r="N143" s="165">
        <v>24</v>
      </c>
      <c r="O143" s="181">
        <v>24</v>
      </c>
      <c r="P143" s="165" t="s">
        <v>793</v>
      </c>
      <c r="Q143" s="165">
        <v>-70.888999999999996</v>
      </c>
      <c r="R143" s="165">
        <v>41.195999999999998</v>
      </c>
      <c r="S143" s="165" t="s">
        <v>172</v>
      </c>
      <c r="T143" s="165">
        <v>25</v>
      </c>
      <c r="U143" s="166" t="s">
        <v>516</v>
      </c>
      <c r="V143" s="158">
        <v>2.0030000000000001</v>
      </c>
      <c r="W143" s="158">
        <v>6.7000000000000004E-2</v>
      </c>
      <c r="X143" s="158">
        <v>0.31000000000000005</v>
      </c>
      <c r="Y143" s="157">
        <v>7.1999999999999995E-2</v>
      </c>
      <c r="Z143" s="159">
        <v>1.2999999999999999E-2</v>
      </c>
      <c r="AA143" s="89">
        <v>2.1999999999999999E-2</v>
      </c>
      <c r="AB143" s="89">
        <v>6.9000000000000006E-2</v>
      </c>
      <c r="AC143" s="89">
        <v>0.114</v>
      </c>
      <c r="AD143" s="89">
        <v>2.1999999999999999E-2</v>
      </c>
      <c r="AE143" s="89">
        <v>0.75700000000000001</v>
      </c>
      <c r="AF143" s="89">
        <v>3.6999999999999998E-2</v>
      </c>
      <c r="AG143" s="89">
        <v>8.0000000000000002E-3</v>
      </c>
      <c r="AH143" s="89">
        <v>1.76</v>
      </c>
      <c r="AI143" s="89">
        <v>-8888</v>
      </c>
      <c r="AJ143" s="89">
        <v>0.24299999999999999</v>
      </c>
      <c r="AK143" s="89">
        <v>6.7000000000000004E-2</v>
      </c>
      <c r="AL143" s="89">
        <v>-8888</v>
      </c>
      <c r="AM143" s="89">
        <v>0.27500000000000002</v>
      </c>
      <c r="AN143" s="89">
        <v>3.5000000000000003E-2</v>
      </c>
      <c r="AO143" s="89">
        <v>3.0000000000000001E-3</v>
      </c>
      <c r="AP143" s="89">
        <v>8.9999999999999993E-3</v>
      </c>
      <c r="AQ143" s="89">
        <v>1.0999999999999999E-2</v>
      </c>
      <c r="AR143" s="89">
        <v>2.4E-2</v>
      </c>
      <c r="AS143" s="89">
        <v>8.7999999999999995E-2</v>
      </c>
      <c r="AT143" s="89">
        <v>-8888</v>
      </c>
      <c r="AU143" s="89">
        <v>-8888</v>
      </c>
      <c r="AV143" s="89">
        <v>2.3800000000000003</v>
      </c>
      <c r="AW143" s="89">
        <v>0.28499999999999998</v>
      </c>
      <c r="AX143" s="89">
        <v>0.82900000000000007</v>
      </c>
      <c r="AY143" s="89">
        <v>3.2090000000000005</v>
      </c>
      <c r="AZ143" s="89">
        <v>1.1140000000000001</v>
      </c>
      <c r="BA143" s="89">
        <v>1.4910000000000001</v>
      </c>
      <c r="BB143" s="89">
        <v>3.4940000000000002</v>
      </c>
      <c r="BC143" s="89">
        <v>0.97300000000000009</v>
      </c>
      <c r="BD143" s="160">
        <v>0.74</v>
      </c>
      <c r="BE143" s="160">
        <v>0.74</v>
      </c>
      <c r="BF143" s="160">
        <v>0.26</v>
      </c>
      <c r="BG143" s="160">
        <v>2.14</v>
      </c>
      <c r="BH143" s="160">
        <v>0.08</v>
      </c>
      <c r="BI143" s="160">
        <v>0.92</v>
      </c>
      <c r="BJ143" s="160">
        <v>0.56999999999999995</v>
      </c>
      <c r="BL143" s="167" t="s">
        <v>794</v>
      </c>
    </row>
    <row r="144" spans="1:64" s="88" customFormat="1" ht="14.1" customHeight="1">
      <c r="A144" s="156" t="s">
        <v>408</v>
      </c>
      <c r="B144" s="165" t="s">
        <v>511</v>
      </c>
      <c r="C144" s="165" t="s">
        <v>795</v>
      </c>
      <c r="D144" s="165" t="s">
        <v>791</v>
      </c>
      <c r="E144" s="165" t="s">
        <v>170</v>
      </c>
      <c r="F144" s="165">
        <v>548</v>
      </c>
      <c r="G144" s="165">
        <v>1</v>
      </c>
      <c r="H144" s="165">
        <v>15</v>
      </c>
      <c r="I144" s="165">
        <v>3.1</v>
      </c>
      <c r="J144" s="165">
        <v>20</v>
      </c>
      <c r="K144" s="166" t="s">
        <v>514</v>
      </c>
      <c r="L144" s="165">
        <v>2025</v>
      </c>
      <c r="M144" s="165" t="s">
        <v>792</v>
      </c>
      <c r="N144" s="165">
        <v>24</v>
      </c>
      <c r="O144" s="181">
        <v>24</v>
      </c>
      <c r="P144" s="165" t="s">
        <v>796</v>
      </c>
      <c r="Q144" s="165">
        <v>-70.89</v>
      </c>
      <c r="R144" s="165">
        <v>41.195999999999998</v>
      </c>
      <c r="S144" s="165" t="s">
        <v>172</v>
      </c>
      <c r="T144" s="165">
        <v>25</v>
      </c>
      <c r="U144" s="166" t="s">
        <v>516</v>
      </c>
      <c r="V144" s="158">
        <v>2.0960000000000001</v>
      </c>
      <c r="W144" s="158">
        <v>6.6000000000000003E-2</v>
      </c>
      <c r="X144" s="158">
        <v>0.32099999999999995</v>
      </c>
      <c r="Y144" s="157">
        <v>7.5999999999999998E-2</v>
      </c>
      <c r="Z144" s="159">
        <v>1.4E-2</v>
      </c>
      <c r="AA144" s="89">
        <v>2.3E-2</v>
      </c>
      <c r="AB144" s="89">
        <v>7.3999999999999996E-2</v>
      </c>
      <c r="AC144" s="89">
        <v>0.12</v>
      </c>
      <c r="AD144" s="89">
        <v>3.1E-2</v>
      </c>
      <c r="AE144" s="89">
        <v>0.79900000000000004</v>
      </c>
      <c r="AF144" s="89">
        <v>3.9E-2</v>
      </c>
      <c r="AG144" s="89">
        <v>8.0000000000000002E-3</v>
      </c>
      <c r="AH144" s="89">
        <v>1.786</v>
      </c>
      <c r="AI144" s="89">
        <v>-8888</v>
      </c>
      <c r="AJ144" s="89">
        <v>0.31</v>
      </c>
      <c r="AK144" s="89">
        <v>6.6000000000000003E-2</v>
      </c>
      <c r="AL144" s="89">
        <v>-8888</v>
      </c>
      <c r="AM144" s="89">
        <v>0.28699999999999998</v>
      </c>
      <c r="AN144" s="89">
        <v>3.4000000000000002E-2</v>
      </c>
      <c r="AO144" s="89">
        <v>4.0000000000000001E-3</v>
      </c>
      <c r="AP144" s="89">
        <v>8.9999999999999993E-3</v>
      </c>
      <c r="AQ144" s="89">
        <v>1.2E-2</v>
      </c>
      <c r="AR144" s="89">
        <v>2.3E-2</v>
      </c>
      <c r="AS144" s="89">
        <v>8.7999999999999995E-2</v>
      </c>
      <c r="AT144" s="89">
        <v>-8888</v>
      </c>
      <c r="AU144" s="89">
        <v>-8888</v>
      </c>
      <c r="AV144" s="89">
        <v>2.4829999999999997</v>
      </c>
      <c r="AW144" s="89">
        <v>0.309</v>
      </c>
      <c r="AX144" s="89">
        <v>0.87500000000000011</v>
      </c>
      <c r="AY144" s="89">
        <v>3.3579999999999997</v>
      </c>
      <c r="AZ144" s="89">
        <v>1.1840000000000002</v>
      </c>
      <c r="BA144" s="89">
        <v>1.5710000000000002</v>
      </c>
      <c r="BB144" s="89">
        <v>3.6670000000000003</v>
      </c>
      <c r="BC144" s="89">
        <v>1.0230000000000001</v>
      </c>
      <c r="BD144" s="160">
        <v>0.75</v>
      </c>
      <c r="BE144" s="160">
        <v>0.74</v>
      </c>
      <c r="BF144" s="160">
        <v>0.26</v>
      </c>
      <c r="BG144" s="160">
        <v>2.1</v>
      </c>
      <c r="BH144" s="160">
        <v>0.08</v>
      </c>
      <c r="BI144" s="160">
        <v>0.92</v>
      </c>
      <c r="BJ144" s="160">
        <v>0.56999999999999995</v>
      </c>
      <c r="BL144" s="167"/>
    </row>
    <row r="145" spans="1:64" s="88" customFormat="1" ht="14.1" customHeight="1">
      <c r="A145" s="156" t="s">
        <v>409</v>
      </c>
      <c r="B145" s="165" t="s">
        <v>511</v>
      </c>
      <c r="C145" s="165" t="s">
        <v>797</v>
      </c>
      <c r="D145" s="165" t="s">
        <v>791</v>
      </c>
      <c r="E145" s="165" t="s">
        <v>170</v>
      </c>
      <c r="F145" s="165">
        <v>547</v>
      </c>
      <c r="G145" s="165">
        <v>2</v>
      </c>
      <c r="H145" s="165">
        <v>5</v>
      </c>
      <c r="I145" s="165">
        <v>21.7</v>
      </c>
      <c r="J145" s="165">
        <v>47</v>
      </c>
      <c r="K145" s="166" t="s">
        <v>514</v>
      </c>
      <c r="L145" s="165">
        <v>2025</v>
      </c>
      <c r="M145" s="165" t="s">
        <v>792</v>
      </c>
      <c r="N145" s="165">
        <v>25</v>
      </c>
      <c r="O145" s="181">
        <v>25</v>
      </c>
      <c r="P145" s="165" t="s">
        <v>798</v>
      </c>
      <c r="Q145" s="165">
        <v>-70.885999999999996</v>
      </c>
      <c r="R145" s="165">
        <v>41.027999999999999</v>
      </c>
      <c r="S145" s="165" t="s">
        <v>172</v>
      </c>
      <c r="T145" s="165">
        <v>25</v>
      </c>
      <c r="U145" s="166" t="s">
        <v>516</v>
      </c>
      <c r="V145" s="158">
        <v>2.1520000000000001</v>
      </c>
      <c r="W145" s="158">
        <v>8.1000000000000003E-2</v>
      </c>
      <c r="X145" s="158">
        <v>0.31900000000000001</v>
      </c>
      <c r="Y145" s="157">
        <v>7.0999999999999994E-2</v>
      </c>
      <c r="Z145" s="159">
        <v>1.4E-2</v>
      </c>
      <c r="AA145" s="89">
        <v>3.7999999999999999E-2</v>
      </c>
      <c r="AB145" s="89">
        <v>3.5999999999999997E-2</v>
      </c>
      <c r="AC145" s="89">
        <v>9.6000000000000002E-2</v>
      </c>
      <c r="AD145" s="89">
        <v>1.2999999999999999E-2</v>
      </c>
      <c r="AE145" s="89">
        <v>0.80100000000000005</v>
      </c>
      <c r="AF145" s="89">
        <v>4.9000000000000002E-2</v>
      </c>
      <c r="AG145" s="89">
        <v>7.0000000000000001E-3</v>
      </c>
      <c r="AH145" s="89">
        <v>1.931</v>
      </c>
      <c r="AI145" s="89">
        <v>-8888</v>
      </c>
      <c r="AJ145" s="89">
        <v>0.221</v>
      </c>
      <c r="AK145" s="89">
        <v>8.1000000000000003E-2</v>
      </c>
      <c r="AL145" s="89">
        <v>-8888</v>
      </c>
      <c r="AM145" s="89">
        <v>0.27</v>
      </c>
      <c r="AN145" s="89">
        <v>4.9000000000000002E-2</v>
      </c>
      <c r="AO145" s="89">
        <v>3.0000000000000001E-3</v>
      </c>
      <c r="AP145" s="89">
        <v>0.01</v>
      </c>
      <c r="AQ145" s="89">
        <v>1.0999999999999999E-2</v>
      </c>
      <c r="AR145" s="89">
        <v>2.5999999999999999E-2</v>
      </c>
      <c r="AS145" s="89">
        <v>7.2999999999999995E-2</v>
      </c>
      <c r="AT145" s="89">
        <v>-8888</v>
      </c>
      <c r="AU145" s="89">
        <v>-8888</v>
      </c>
      <c r="AV145" s="89">
        <v>2.552</v>
      </c>
      <c r="AW145" s="89">
        <v>0.22300000000000003</v>
      </c>
      <c r="AX145" s="89">
        <v>0.90200000000000014</v>
      </c>
      <c r="AY145" s="89">
        <v>3.4540000000000002</v>
      </c>
      <c r="AZ145" s="89">
        <v>1.1250000000000002</v>
      </c>
      <c r="BA145" s="89">
        <v>1.5250000000000001</v>
      </c>
      <c r="BB145" s="89">
        <v>3.6770000000000005</v>
      </c>
      <c r="BC145" s="89">
        <v>1.0260000000000002</v>
      </c>
      <c r="BD145" s="160">
        <v>0.71</v>
      </c>
      <c r="BE145" s="160">
        <v>0.8</v>
      </c>
      <c r="BF145" s="160">
        <v>0.2</v>
      </c>
      <c r="BG145" s="160">
        <v>2.27</v>
      </c>
      <c r="BH145" s="160">
        <v>0.06</v>
      </c>
      <c r="BI145" s="160">
        <v>0.94</v>
      </c>
      <c r="BJ145" s="160">
        <v>0.59</v>
      </c>
      <c r="BL145" s="167"/>
    </row>
    <row r="146" spans="1:64" s="88" customFormat="1" ht="14.1" customHeight="1">
      <c r="A146" s="156" t="s">
        <v>410</v>
      </c>
      <c r="B146" s="165" t="s">
        <v>511</v>
      </c>
      <c r="C146" s="165" t="s">
        <v>799</v>
      </c>
      <c r="D146" s="165" t="s">
        <v>791</v>
      </c>
      <c r="E146" s="165" t="s">
        <v>170</v>
      </c>
      <c r="F146" s="165">
        <v>548</v>
      </c>
      <c r="G146" s="165">
        <v>2</v>
      </c>
      <c r="H146" s="165">
        <v>16</v>
      </c>
      <c r="I146" s="165">
        <v>4.9000000000000004</v>
      </c>
      <c r="J146" s="165">
        <v>47</v>
      </c>
      <c r="K146" s="166" t="s">
        <v>514</v>
      </c>
      <c r="L146" s="165">
        <v>2025</v>
      </c>
      <c r="M146" s="165" t="s">
        <v>792</v>
      </c>
      <c r="N146" s="165">
        <v>25</v>
      </c>
      <c r="O146" s="181">
        <v>25</v>
      </c>
      <c r="P146" s="165" t="s">
        <v>540</v>
      </c>
      <c r="Q146" s="165">
        <v>-70.887</v>
      </c>
      <c r="R146" s="165">
        <v>41.027999999999999</v>
      </c>
      <c r="S146" s="165" t="s">
        <v>172</v>
      </c>
      <c r="T146" s="165">
        <v>25</v>
      </c>
      <c r="U146" s="166" t="s">
        <v>516</v>
      </c>
      <c r="V146" s="158">
        <v>1.893</v>
      </c>
      <c r="W146" s="158">
        <v>7.8E-2</v>
      </c>
      <c r="X146" s="158">
        <v>0.311</v>
      </c>
      <c r="Y146" s="157">
        <v>6.3E-2</v>
      </c>
      <c r="Z146" s="159">
        <v>1.2999999999999999E-2</v>
      </c>
      <c r="AA146" s="89">
        <v>3.5999999999999997E-2</v>
      </c>
      <c r="AB146" s="89">
        <v>3.4000000000000002E-2</v>
      </c>
      <c r="AC146" s="89">
        <v>8.5000000000000006E-2</v>
      </c>
      <c r="AD146" s="89">
        <v>1.2999999999999999E-2</v>
      </c>
      <c r="AE146" s="89">
        <v>0.70699999999999996</v>
      </c>
      <c r="AF146" s="89">
        <v>4.7E-2</v>
      </c>
      <c r="AG146" s="89">
        <v>8.0000000000000002E-3</v>
      </c>
      <c r="AH146" s="89">
        <v>1.585</v>
      </c>
      <c r="AI146" s="89">
        <v>-8888</v>
      </c>
      <c r="AJ146" s="89">
        <v>0.308</v>
      </c>
      <c r="AK146" s="89">
        <v>7.8E-2</v>
      </c>
      <c r="AL146" s="89">
        <v>-8888</v>
      </c>
      <c r="AM146" s="89">
        <v>0.255</v>
      </c>
      <c r="AN146" s="89">
        <v>5.6000000000000001E-2</v>
      </c>
      <c r="AO146" s="89">
        <v>3.0000000000000001E-3</v>
      </c>
      <c r="AP146" s="89">
        <v>8.9999999999999993E-3</v>
      </c>
      <c r="AQ146" s="89">
        <v>0.01</v>
      </c>
      <c r="AR146" s="89">
        <v>2.3E-2</v>
      </c>
      <c r="AS146" s="89">
        <v>7.6999999999999999E-2</v>
      </c>
      <c r="AT146" s="89">
        <v>-8888</v>
      </c>
      <c r="AU146" s="89">
        <v>-8888</v>
      </c>
      <c r="AV146" s="89">
        <v>2.282</v>
      </c>
      <c r="AW146" s="89">
        <v>0.20300000000000001</v>
      </c>
      <c r="AX146" s="89">
        <v>0.80300000000000005</v>
      </c>
      <c r="AY146" s="89">
        <v>3.085</v>
      </c>
      <c r="AZ146" s="89">
        <v>1.006</v>
      </c>
      <c r="BA146" s="89">
        <v>1.395</v>
      </c>
      <c r="BB146" s="89">
        <v>3.2880000000000003</v>
      </c>
      <c r="BC146" s="89">
        <v>0.92300000000000004</v>
      </c>
      <c r="BD146" s="160">
        <v>0.74</v>
      </c>
      <c r="BE146" s="160">
        <v>0.8</v>
      </c>
      <c r="BF146" s="160">
        <v>0.2</v>
      </c>
      <c r="BG146" s="160">
        <v>2.27</v>
      </c>
      <c r="BH146" s="160">
        <v>0.06</v>
      </c>
      <c r="BI146" s="160">
        <v>0.94</v>
      </c>
      <c r="BJ146" s="160">
        <v>0.57999999999999996</v>
      </c>
      <c r="BL146" s="167"/>
    </row>
    <row r="147" spans="1:64" s="88" customFormat="1" ht="14.1" customHeight="1">
      <c r="A147" s="156" t="s">
        <v>411</v>
      </c>
      <c r="B147" s="165" t="s">
        <v>511</v>
      </c>
      <c r="C147" s="165" t="s">
        <v>800</v>
      </c>
      <c r="D147" s="165" t="s">
        <v>791</v>
      </c>
      <c r="E147" s="165" t="s">
        <v>170</v>
      </c>
      <c r="F147" s="165">
        <v>547</v>
      </c>
      <c r="G147" s="165">
        <v>5</v>
      </c>
      <c r="H147" s="165">
        <v>10</v>
      </c>
      <c r="I147" s="165">
        <v>25.2</v>
      </c>
      <c r="J147" s="165">
        <v>67</v>
      </c>
      <c r="K147" s="166" t="s">
        <v>514</v>
      </c>
      <c r="L147" s="165">
        <v>2025</v>
      </c>
      <c r="M147" s="165" t="s">
        <v>792</v>
      </c>
      <c r="N147" s="165">
        <v>25</v>
      </c>
      <c r="O147" s="181">
        <v>25</v>
      </c>
      <c r="P147" s="165" t="s">
        <v>801</v>
      </c>
      <c r="Q147" s="165">
        <v>-70.885999999999996</v>
      </c>
      <c r="R147" s="165">
        <v>40.695999999999998</v>
      </c>
      <c r="S147" s="165" t="s">
        <v>172</v>
      </c>
      <c r="T147" s="165">
        <v>25</v>
      </c>
      <c r="U147" s="166" t="s">
        <v>516</v>
      </c>
      <c r="V147" s="158">
        <v>2.0950000000000002</v>
      </c>
      <c r="W147" s="158">
        <v>4.1000000000000002E-2</v>
      </c>
      <c r="X147" s="158">
        <v>0.32</v>
      </c>
      <c r="Y147" s="157">
        <v>7.5999999999999998E-2</v>
      </c>
      <c r="Z147" s="159">
        <v>1.2999999999999999E-2</v>
      </c>
      <c r="AA147" s="89">
        <v>2.3E-2</v>
      </c>
      <c r="AB147" s="89">
        <v>3.9E-2</v>
      </c>
      <c r="AC147" s="89">
        <v>8.5000000000000006E-2</v>
      </c>
      <c r="AD147" s="89">
        <v>8.0000000000000002E-3</v>
      </c>
      <c r="AE147" s="89">
        <v>0.83299999999999996</v>
      </c>
      <c r="AF147" s="89">
        <v>5.1999999999999998E-2</v>
      </c>
      <c r="AG147" s="89">
        <v>5.0000000000000001E-3</v>
      </c>
      <c r="AH147" s="89">
        <v>2.0750000000000002</v>
      </c>
      <c r="AI147" s="89">
        <v>-8888</v>
      </c>
      <c r="AJ147" s="89">
        <v>0.02</v>
      </c>
      <c r="AK147" s="89">
        <v>4.1000000000000002E-2</v>
      </c>
      <c r="AL147" s="89">
        <v>-8888</v>
      </c>
      <c r="AM147" s="89">
        <v>0.27300000000000002</v>
      </c>
      <c r="AN147" s="89">
        <v>4.7E-2</v>
      </c>
      <c r="AO147" s="89">
        <v>2E-3</v>
      </c>
      <c r="AP147" s="89">
        <v>5.0000000000000001E-3</v>
      </c>
      <c r="AQ147" s="89">
        <v>6.0000000000000001E-3</v>
      </c>
      <c r="AR147" s="89">
        <v>2.1999999999999999E-2</v>
      </c>
      <c r="AS147" s="89">
        <v>3.9E-2</v>
      </c>
      <c r="AT147" s="89">
        <v>-8888</v>
      </c>
      <c r="AU147" s="89">
        <v>-8888</v>
      </c>
      <c r="AV147" s="89">
        <v>2.456</v>
      </c>
      <c r="AW147" s="89">
        <v>0.21300000000000002</v>
      </c>
      <c r="AX147" s="89">
        <v>0.92100000000000004</v>
      </c>
      <c r="AY147" s="89">
        <v>3.3769999999999998</v>
      </c>
      <c r="AZ147" s="89">
        <v>1.1340000000000001</v>
      </c>
      <c r="BA147" s="89">
        <v>1.4950000000000001</v>
      </c>
      <c r="BB147" s="89">
        <v>3.5900000000000003</v>
      </c>
      <c r="BC147" s="89">
        <v>1.006</v>
      </c>
      <c r="BD147" s="160">
        <v>0.71</v>
      </c>
      <c r="BE147" s="160">
        <v>0.81</v>
      </c>
      <c r="BF147" s="160">
        <v>0.19</v>
      </c>
      <c r="BG147" s="160">
        <v>2.17</v>
      </c>
      <c r="BH147" s="160">
        <v>0.06</v>
      </c>
      <c r="BI147" s="160">
        <v>0.94</v>
      </c>
      <c r="BJ147" s="160">
        <v>0.57999999999999996</v>
      </c>
      <c r="BL147" s="167"/>
    </row>
    <row r="148" spans="1:64" s="88" customFormat="1" ht="14.1" customHeight="1">
      <c r="A148" s="156" t="s">
        <v>412</v>
      </c>
      <c r="B148" s="165" t="s">
        <v>511</v>
      </c>
      <c r="C148" s="165" t="s">
        <v>802</v>
      </c>
      <c r="D148" s="165" t="s">
        <v>791</v>
      </c>
      <c r="E148" s="165" t="s">
        <v>170</v>
      </c>
      <c r="F148" s="165">
        <v>548</v>
      </c>
      <c r="G148" s="165">
        <v>5</v>
      </c>
      <c r="H148" s="165">
        <v>18</v>
      </c>
      <c r="I148" s="165">
        <v>3.6</v>
      </c>
      <c r="J148" s="165">
        <v>67</v>
      </c>
      <c r="K148" s="166" t="s">
        <v>514</v>
      </c>
      <c r="L148" s="165">
        <v>2025</v>
      </c>
      <c r="M148" s="165" t="s">
        <v>792</v>
      </c>
      <c r="N148" s="165">
        <v>25</v>
      </c>
      <c r="O148" s="181">
        <v>25</v>
      </c>
      <c r="P148" s="165" t="s">
        <v>803</v>
      </c>
      <c r="Q148" s="165">
        <v>-70.885999999999996</v>
      </c>
      <c r="R148" s="165">
        <v>40.695999999999998</v>
      </c>
      <c r="S148" s="165" t="s">
        <v>172</v>
      </c>
      <c r="T148" s="165">
        <v>25</v>
      </c>
      <c r="U148" s="166" t="s">
        <v>516</v>
      </c>
      <c r="V148" s="158">
        <v>1.49</v>
      </c>
      <c r="W148" s="158">
        <v>3.9E-2</v>
      </c>
      <c r="X148" s="158">
        <v>0.22900000000000001</v>
      </c>
      <c r="Y148" s="157">
        <v>5.5E-2</v>
      </c>
      <c r="Z148" s="159">
        <v>1.4E-2</v>
      </c>
      <c r="AA148" s="89">
        <v>2.3E-2</v>
      </c>
      <c r="AB148" s="89">
        <v>4.2000000000000003E-2</v>
      </c>
      <c r="AC148" s="89">
        <v>6.0999999999999999E-2</v>
      </c>
      <c r="AD148" s="89">
        <v>8.0000000000000002E-3</v>
      </c>
      <c r="AE148" s="89">
        <v>0.54</v>
      </c>
      <c r="AF148" s="89">
        <v>5.0999999999999997E-2</v>
      </c>
      <c r="AG148" s="89">
        <v>5.0000000000000001E-3</v>
      </c>
      <c r="AH148" s="89">
        <v>1.4690000000000001</v>
      </c>
      <c r="AI148" s="89">
        <v>-8888</v>
      </c>
      <c r="AJ148" s="89">
        <v>2.1000000000000001E-2</v>
      </c>
      <c r="AK148" s="89">
        <v>3.9E-2</v>
      </c>
      <c r="AL148" s="89">
        <v>-8888</v>
      </c>
      <c r="AM148" s="89">
        <v>0.188</v>
      </c>
      <c r="AN148" s="89">
        <v>4.1000000000000002E-2</v>
      </c>
      <c r="AO148" s="89">
        <v>1E-3</v>
      </c>
      <c r="AP148" s="89">
        <v>5.0000000000000001E-3</v>
      </c>
      <c r="AQ148" s="89">
        <v>5.0000000000000001E-3</v>
      </c>
      <c r="AR148" s="89">
        <v>1.7000000000000001E-2</v>
      </c>
      <c r="AS148" s="89">
        <v>4.2000000000000003E-2</v>
      </c>
      <c r="AT148" s="89">
        <v>-8888</v>
      </c>
      <c r="AU148" s="89">
        <v>-8888</v>
      </c>
      <c r="AV148" s="89">
        <v>1.758</v>
      </c>
      <c r="AW148" s="89">
        <v>0.17100000000000001</v>
      </c>
      <c r="AX148" s="89">
        <v>0.62800000000000011</v>
      </c>
      <c r="AY148" s="89">
        <v>2.3860000000000001</v>
      </c>
      <c r="AZ148" s="89">
        <v>0.79900000000000015</v>
      </c>
      <c r="BA148" s="89">
        <v>1.0670000000000002</v>
      </c>
      <c r="BB148" s="89">
        <v>2.5570000000000004</v>
      </c>
      <c r="BC148" s="89">
        <v>0.71400000000000008</v>
      </c>
      <c r="BD148" s="160">
        <v>0.72</v>
      </c>
      <c r="BE148" s="160">
        <v>0.79</v>
      </c>
      <c r="BF148" s="160">
        <v>0.21</v>
      </c>
      <c r="BG148" s="160">
        <v>2.2000000000000002</v>
      </c>
      <c r="BH148" s="160">
        <v>7.0000000000000007E-2</v>
      </c>
      <c r="BI148" s="160">
        <v>0.93</v>
      </c>
      <c r="BJ148" s="160">
        <v>0.57999999999999996</v>
      </c>
      <c r="BL148" s="167"/>
    </row>
    <row r="149" spans="1:64" s="88" customFormat="1" ht="14.1" customHeight="1">
      <c r="A149" s="156" t="s">
        <v>413</v>
      </c>
      <c r="B149" s="165" t="s">
        <v>511</v>
      </c>
      <c r="C149" s="165" t="s">
        <v>804</v>
      </c>
      <c r="D149" s="165" t="s">
        <v>791</v>
      </c>
      <c r="E149" s="165" t="s">
        <v>170</v>
      </c>
      <c r="F149" s="165">
        <v>531</v>
      </c>
      <c r="G149" s="165">
        <v>6</v>
      </c>
      <c r="H149" s="165">
        <v>6</v>
      </c>
      <c r="I149" s="165">
        <v>41.9</v>
      </c>
      <c r="J149" s="165">
        <v>1595</v>
      </c>
      <c r="K149" s="166" t="s">
        <v>514</v>
      </c>
      <c r="L149" s="165">
        <v>2025</v>
      </c>
      <c r="M149" s="165" t="s">
        <v>792</v>
      </c>
      <c r="N149" s="165">
        <v>26</v>
      </c>
      <c r="O149" s="181">
        <v>26</v>
      </c>
      <c r="P149" s="165" t="s">
        <v>805</v>
      </c>
      <c r="Q149" s="165">
        <v>-70.888999999999996</v>
      </c>
      <c r="R149" s="165">
        <v>39.768999999999998</v>
      </c>
      <c r="S149" s="165" t="s">
        <v>172</v>
      </c>
      <c r="T149" s="165">
        <v>25</v>
      </c>
      <c r="U149" s="166" t="s">
        <v>516</v>
      </c>
      <c r="V149" s="158">
        <v>0.92800000000000005</v>
      </c>
      <c r="W149" s="158">
        <v>9.9000000000000005E-2</v>
      </c>
      <c r="X149" s="158">
        <v>0.19800000000000001</v>
      </c>
      <c r="Y149" s="157">
        <v>3.6999999999999998E-2</v>
      </c>
      <c r="Z149" s="159">
        <v>2.1000000000000001E-2</v>
      </c>
      <c r="AA149" s="89">
        <v>0.123</v>
      </c>
      <c r="AB149" s="89">
        <v>2.7E-2</v>
      </c>
      <c r="AC149" s="89">
        <v>3.9E-2</v>
      </c>
      <c r="AD149" s="89">
        <v>4.0000000000000001E-3</v>
      </c>
      <c r="AE149" s="89">
        <v>0.254</v>
      </c>
      <c r="AF149" s="89">
        <v>2.5999999999999999E-2</v>
      </c>
      <c r="AG149" s="89">
        <v>1.0999999999999999E-2</v>
      </c>
      <c r="AH149" s="89">
        <v>0.92300000000000004</v>
      </c>
      <c r="AI149" s="89">
        <v>-8888</v>
      </c>
      <c r="AJ149" s="89">
        <v>5.0000000000000001E-3</v>
      </c>
      <c r="AK149" s="89">
        <v>9.9000000000000005E-2</v>
      </c>
      <c r="AL149" s="89">
        <v>-8888</v>
      </c>
      <c r="AM149" s="89">
        <v>0.12</v>
      </c>
      <c r="AN149" s="89">
        <v>7.8E-2</v>
      </c>
      <c r="AO149" s="89">
        <v>2E-3</v>
      </c>
      <c r="AP149" s="89">
        <v>1.2E-2</v>
      </c>
      <c r="AQ149" s="89">
        <v>8.0000000000000002E-3</v>
      </c>
      <c r="AR149" s="89">
        <v>8.9999999999999993E-3</v>
      </c>
      <c r="AS149" s="89">
        <v>1.4999999999999999E-2</v>
      </c>
      <c r="AT149" s="89">
        <v>2.1000000000000001E-2</v>
      </c>
      <c r="AU149" s="89">
        <v>-8888</v>
      </c>
      <c r="AV149" s="89">
        <v>1.2250000000000001</v>
      </c>
      <c r="AW149" s="89">
        <v>0.11799999999999999</v>
      </c>
      <c r="AX149" s="89">
        <v>0.42400000000000004</v>
      </c>
      <c r="AY149" s="89">
        <v>1.649</v>
      </c>
      <c r="AZ149" s="89">
        <v>0.54200000000000004</v>
      </c>
      <c r="BA149" s="89">
        <v>0.83899999999999997</v>
      </c>
      <c r="BB149" s="89">
        <v>1.7669999999999999</v>
      </c>
      <c r="BC149" s="89">
        <v>0.56100000000000005</v>
      </c>
      <c r="BD149" s="160">
        <v>0.9</v>
      </c>
      <c r="BE149" s="160">
        <v>0.78</v>
      </c>
      <c r="BF149" s="160">
        <v>0.22</v>
      </c>
      <c r="BG149" s="160">
        <v>2.2599999999999998</v>
      </c>
      <c r="BH149" s="160">
        <v>7.0000000000000007E-2</v>
      </c>
      <c r="BI149" s="160">
        <v>0.93</v>
      </c>
      <c r="BJ149" s="160">
        <v>0.53</v>
      </c>
      <c r="BL149" s="167"/>
    </row>
    <row r="150" spans="1:64" s="88" customFormat="1" ht="14.1" customHeight="1">
      <c r="A150" s="156" t="s">
        <v>414</v>
      </c>
      <c r="B150" s="165" t="s">
        <v>511</v>
      </c>
      <c r="C150" s="165" t="s">
        <v>806</v>
      </c>
      <c r="D150" s="165" t="s">
        <v>791</v>
      </c>
      <c r="E150" s="165" t="s">
        <v>170</v>
      </c>
      <c r="F150" s="165">
        <v>547</v>
      </c>
      <c r="G150" s="165">
        <v>6</v>
      </c>
      <c r="H150" s="165">
        <v>15</v>
      </c>
      <c r="I150" s="165">
        <v>20</v>
      </c>
      <c r="J150" s="165">
        <v>1595</v>
      </c>
      <c r="K150" s="166" t="s">
        <v>514</v>
      </c>
      <c r="L150" s="165">
        <v>2025</v>
      </c>
      <c r="M150" s="165" t="s">
        <v>792</v>
      </c>
      <c r="N150" s="165">
        <v>26</v>
      </c>
      <c r="O150" s="181">
        <v>26</v>
      </c>
      <c r="P150" s="165" t="s">
        <v>807</v>
      </c>
      <c r="Q150" s="165">
        <v>-70.89</v>
      </c>
      <c r="R150" s="165">
        <v>39.768999999999998</v>
      </c>
      <c r="S150" s="165" t="s">
        <v>172</v>
      </c>
      <c r="T150" s="165">
        <v>25</v>
      </c>
      <c r="U150" s="166" t="s">
        <v>516</v>
      </c>
      <c r="V150" s="158">
        <v>1.3939999999999999</v>
      </c>
      <c r="W150" s="158">
        <v>0.157</v>
      </c>
      <c r="X150" s="158">
        <v>0.253</v>
      </c>
      <c r="Y150" s="157">
        <v>6.0999999999999999E-2</v>
      </c>
      <c r="Z150" s="159">
        <v>2.5999999999999999E-2</v>
      </c>
      <c r="AA150" s="89">
        <v>0.126</v>
      </c>
      <c r="AB150" s="89">
        <v>5.6000000000000001E-2</v>
      </c>
      <c r="AC150" s="89">
        <v>7.0000000000000007E-2</v>
      </c>
      <c r="AD150" s="89">
        <v>8.0000000000000002E-3</v>
      </c>
      <c r="AE150" s="89">
        <v>0.36799999999999999</v>
      </c>
      <c r="AF150" s="89">
        <v>4.8000000000000001E-2</v>
      </c>
      <c r="AG150" s="89">
        <v>1.4E-2</v>
      </c>
      <c r="AH150" s="89">
        <v>1.3839999999999999</v>
      </c>
      <c r="AI150" s="89">
        <v>-8888</v>
      </c>
      <c r="AJ150" s="89">
        <v>0.01</v>
      </c>
      <c r="AK150" s="89">
        <v>0.157</v>
      </c>
      <c r="AL150" s="89">
        <v>-8888</v>
      </c>
      <c r="AM150" s="89">
        <v>0.17899999999999999</v>
      </c>
      <c r="AN150" s="89">
        <v>7.3999999999999996E-2</v>
      </c>
      <c r="AO150" s="89">
        <v>5.0000000000000001E-3</v>
      </c>
      <c r="AP150" s="89">
        <v>1.9E-2</v>
      </c>
      <c r="AQ150" s="89">
        <v>1.7999999999999999E-2</v>
      </c>
      <c r="AR150" s="89">
        <v>1.2E-2</v>
      </c>
      <c r="AS150" s="89">
        <v>1.6E-2</v>
      </c>
      <c r="AT150" s="89">
        <v>2.3E-2</v>
      </c>
      <c r="AU150" s="89">
        <v>-8888</v>
      </c>
      <c r="AV150" s="89">
        <v>1.8039999999999998</v>
      </c>
      <c r="AW150" s="89">
        <v>0.20900000000000002</v>
      </c>
      <c r="AX150" s="89">
        <v>0.56800000000000006</v>
      </c>
      <c r="AY150" s="89">
        <v>2.3719999999999999</v>
      </c>
      <c r="AZ150" s="89">
        <v>0.77700000000000014</v>
      </c>
      <c r="BA150" s="89">
        <v>1.1870000000000003</v>
      </c>
      <c r="BB150" s="89">
        <v>2.5810000000000004</v>
      </c>
      <c r="BC150" s="89">
        <v>0.79500000000000004</v>
      </c>
      <c r="BD150" s="160">
        <v>0.85</v>
      </c>
      <c r="BE150" s="160">
        <v>0.73</v>
      </c>
      <c r="BF150" s="160">
        <v>0.27</v>
      </c>
      <c r="BG150" s="160">
        <v>2.3199999999999998</v>
      </c>
      <c r="BH150" s="160">
        <v>0.08</v>
      </c>
      <c r="BI150" s="160">
        <v>0.92</v>
      </c>
      <c r="BJ150" s="160">
        <v>0.54</v>
      </c>
      <c r="BL150" s="167"/>
    </row>
    <row r="151" spans="1:64" s="88" customFormat="1" ht="14.1" customHeight="1">
      <c r="A151" s="156" t="s">
        <v>415</v>
      </c>
      <c r="B151" s="165" t="s">
        <v>511</v>
      </c>
      <c r="C151" s="165" t="s">
        <v>808</v>
      </c>
      <c r="D151" s="165" t="s">
        <v>791</v>
      </c>
      <c r="E151" s="165" t="s">
        <v>170</v>
      </c>
      <c r="F151" s="165">
        <v>548</v>
      </c>
      <c r="G151" s="165">
        <v>6</v>
      </c>
      <c r="H151" s="165">
        <v>19</v>
      </c>
      <c r="I151" s="165">
        <v>7.1</v>
      </c>
      <c r="J151" s="165">
        <v>1595</v>
      </c>
      <c r="K151" s="166" t="s">
        <v>514</v>
      </c>
      <c r="L151" s="165">
        <v>2025</v>
      </c>
      <c r="M151" s="165" t="s">
        <v>792</v>
      </c>
      <c r="N151" s="165">
        <v>26</v>
      </c>
      <c r="O151" s="181">
        <v>26</v>
      </c>
      <c r="P151" s="165" t="s">
        <v>809</v>
      </c>
      <c r="Q151" s="165">
        <v>-70.89</v>
      </c>
      <c r="R151" s="165">
        <v>39.768000000000001</v>
      </c>
      <c r="S151" s="165" t="s">
        <v>172</v>
      </c>
      <c r="T151" s="165">
        <v>25</v>
      </c>
      <c r="U151" s="166" t="s">
        <v>516</v>
      </c>
      <c r="V151" s="158">
        <v>1.633</v>
      </c>
      <c r="W151" s="158">
        <v>0.161</v>
      </c>
      <c r="X151" s="158">
        <v>0.29699999999999999</v>
      </c>
      <c r="Y151" s="157">
        <v>6.8000000000000005E-2</v>
      </c>
      <c r="Z151" s="159">
        <v>2.7E-2</v>
      </c>
      <c r="AA151" s="89">
        <v>0.13</v>
      </c>
      <c r="AB151" s="89">
        <v>5.5E-2</v>
      </c>
      <c r="AC151" s="89">
        <v>7.8E-2</v>
      </c>
      <c r="AD151" s="89">
        <v>1.2999999999999999E-2</v>
      </c>
      <c r="AE151" s="89">
        <v>0.46500000000000002</v>
      </c>
      <c r="AF151" s="89">
        <v>5.7000000000000002E-2</v>
      </c>
      <c r="AG151" s="89">
        <v>1.7000000000000001E-2</v>
      </c>
      <c r="AH151" s="89">
        <v>1.623</v>
      </c>
      <c r="AI151" s="89">
        <v>-8888</v>
      </c>
      <c r="AJ151" s="89">
        <v>0.01</v>
      </c>
      <c r="AK151" s="89">
        <v>0.161</v>
      </c>
      <c r="AL151" s="89">
        <v>-8888</v>
      </c>
      <c r="AM151" s="89">
        <v>0.21199999999999999</v>
      </c>
      <c r="AN151" s="89">
        <v>8.5000000000000006E-2</v>
      </c>
      <c r="AO151" s="89">
        <v>6.0000000000000001E-3</v>
      </c>
      <c r="AP151" s="89">
        <v>1.6E-2</v>
      </c>
      <c r="AQ151" s="89">
        <v>1.7000000000000001E-2</v>
      </c>
      <c r="AR151" s="89">
        <v>1.2999999999999999E-2</v>
      </c>
      <c r="AS151" s="89">
        <v>1.4999999999999999E-2</v>
      </c>
      <c r="AT151" s="89">
        <v>2.7E-2</v>
      </c>
      <c r="AU151" s="89">
        <v>-8888</v>
      </c>
      <c r="AV151" s="89">
        <v>2.0910000000000002</v>
      </c>
      <c r="AW151" s="89">
        <v>0.23100000000000004</v>
      </c>
      <c r="AX151" s="89">
        <v>0.67900000000000016</v>
      </c>
      <c r="AY151" s="89">
        <v>2.7700000000000005</v>
      </c>
      <c r="AZ151" s="89">
        <v>0.91000000000000014</v>
      </c>
      <c r="BA151" s="89">
        <v>1.3680000000000001</v>
      </c>
      <c r="BB151" s="89">
        <v>3.0010000000000003</v>
      </c>
      <c r="BC151" s="89">
        <v>0.91200000000000014</v>
      </c>
      <c r="BD151" s="160">
        <v>0.84</v>
      </c>
      <c r="BE151" s="160">
        <v>0.75</v>
      </c>
      <c r="BF151" s="160">
        <v>0.25</v>
      </c>
      <c r="BG151" s="160">
        <v>2.2999999999999998</v>
      </c>
      <c r="BH151" s="160">
        <v>0.08</v>
      </c>
      <c r="BI151" s="160">
        <v>0.92</v>
      </c>
      <c r="BJ151" s="160">
        <v>0.54</v>
      </c>
      <c r="BL151" s="167"/>
    </row>
    <row r="152" spans="1:64" s="88" customFormat="1" ht="14.1" customHeight="1">
      <c r="A152" s="156" t="s">
        <v>416</v>
      </c>
      <c r="B152" s="165" t="s">
        <v>511</v>
      </c>
      <c r="C152" s="165" t="s">
        <v>810</v>
      </c>
      <c r="D152" s="165" t="s">
        <v>791</v>
      </c>
      <c r="E152" s="165" t="s">
        <v>170</v>
      </c>
      <c r="F152" s="165">
        <v>549</v>
      </c>
      <c r="G152" s="165">
        <v>9</v>
      </c>
      <c r="H152" s="165">
        <v>10</v>
      </c>
      <c r="I152" s="165">
        <v>55.4</v>
      </c>
      <c r="J152" s="165">
        <v>453</v>
      </c>
      <c r="K152" s="166" t="s">
        <v>514</v>
      </c>
      <c r="L152" s="165">
        <v>2025</v>
      </c>
      <c r="M152" s="165" t="s">
        <v>792</v>
      </c>
      <c r="N152" s="165">
        <v>26</v>
      </c>
      <c r="O152" s="181">
        <v>26</v>
      </c>
      <c r="P152" s="165" t="s">
        <v>811</v>
      </c>
      <c r="Q152" s="165">
        <v>-70.885000000000005</v>
      </c>
      <c r="R152" s="165">
        <v>39.933999999999997</v>
      </c>
      <c r="S152" s="165" t="s">
        <v>172</v>
      </c>
      <c r="T152" s="165">
        <v>25</v>
      </c>
      <c r="U152" s="166" t="s">
        <v>516</v>
      </c>
      <c r="V152" s="158">
        <v>0.28299999999999997</v>
      </c>
      <c r="W152" s="158">
        <v>3.7999999999999999E-2</v>
      </c>
      <c r="X152" s="158">
        <v>6.9000000000000006E-2</v>
      </c>
      <c r="Y152" s="157">
        <v>1.2999999999999999E-2</v>
      </c>
      <c r="Z152" s="159">
        <v>8.9999999999999993E-3</v>
      </c>
      <c r="AA152" s="89">
        <v>4.2000000000000003E-2</v>
      </c>
      <c r="AB152" s="89">
        <v>8.0000000000000002E-3</v>
      </c>
      <c r="AC152" s="89">
        <v>8.9999999999999993E-3</v>
      </c>
      <c r="AD152" s="89">
        <v>-8888</v>
      </c>
      <c r="AE152" s="89">
        <v>7.5999999999999998E-2</v>
      </c>
      <c r="AF152" s="89">
        <v>-8888</v>
      </c>
      <c r="AG152" s="89">
        <v>7.0000000000000001E-3</v>
      </c>
      <c r="AH152" s="89">
        <v>0.28199999999999997</v>
      </c>
      <c r="AI152" s="89">
        <v>-8888</v>
      </c>
      <c r="AJ152" s="89">
        <v>1E-3</v>
      </c>
      <c r="AK152" s="89">
        <v>3.7999999999999999E-2</v>
      </c>
      <c r="AL152" s="89">
        <v>-8888</v>
      </c>
      <c r="AM152" s="89">
        <v>3.5000000000000003E-2</v>
      </c>
      <c r="AN152" s="89">
        <v>3.4000000000000002E-2</v>
      </c>
      <c r="AO152" s="89">
        <v>-8888</v>
      </c>
      <c r="AP152" s="89">
        <v>4.0000000000000001E-3</v>
      </c>
      <c r="AQ152" s="89">
        <v>3.0000000000000001E-3</v>
      </c>
      <c r="AR152" s="89">
        <v>5.0000000000000001E-3</v>
      </c>
      <c r="AS152" s="89">
        <v>1.6E-2</v>
      </c>
      <c r="AT152" s="89">
        <v>-8888</v>
      </c>
      <c r="AU152" s="89">
        <v>-8888</v>
      </c>
      <c r="AV152" s="89">
        <v>0.38999999999999996</v>
      </c>
      <c r="AW152" s="89">
        <v>3.6999999999999998E-2</v>
      </c>
      <c r="AX152" s="89">
        <v>0.127</v>
      </c>
      <c r="AY152" s="89">
        <v>0.5169999999999999</v>
      </c>
      <c r="AZ152" s="89">
        <v>0.16400000000000001</v>
      </c>
      <c r="BA152" s="89">
        <v>0.27100000000000002</v>
      </c>
      <c r="BB152" s="89">
        <v>0.55400000000000005</v>
      </c>
      <c r="BC152" s="89">
        <v>0.18</v>
      </c>
      <c r="BD152" s="160">
        <v>0.96</v>
      </c>
      <c r="BE152" s="160">
        <v>0.77</v>
      </c>
      <c r="BF152" s="160">
        <v>0.23</v>
      </c>
      <c r="BG152" s="160">
        <v>2.38</v>
      </c>
      <c r="BH152" s="160">
        <v>7.0000000000000007E-2</v>
      </c>
      <c r="BI152" s="160">
        <v>0.93</v>
      </c>
      <c r="BJ152" s="160">
        <v>0.51</v>
      </c>
      <c r="BL152" s="167"/>
    </row>
    <row r="153" spans="1:64" s="88" customFormat="1" ht="14.1" customHeight="1">
      <c r="A153" s="156" t="s">
        <v>417</v>
      </c>
      <c r="B153" s="165" t="s">
        <v>511</v>
      </c>
      <c r="C153" s="165" t="s">
        <v>812</v>
      </c>
      <c r="D153" s="165" t="s">
        <v>791</v>
      </c>
      <c r="E153" s="165" t="s">
        <v>170</v>
      </c>
      <c r="F153" s="165">
        <v>547</v>
      </c>
      <c r="G153" s="165">
        <v>9</v>
      </c>
      <c r="H153" s="165">
        <v>16</v>
      </c>
      <c r="I153" s="165">
        <v>24.8</v>
      </c>
      <c r="J153" s="165">
        <v>453</v>
      </c>
      <c r="K153" s="166" t="s">
        <v>514</v>
      </c>
      <c r="L153" s="165">
        <v>2025</v>
      </c>
      <c r="M153" s="165" t="s">
        <v>792</v>
      </c>
      <c r="N153" s="165">
        <v>26</v>
      </c>
      <c r="O153" s="181">
        <v>26</v>
      </c>
      <c r="P153" s="165" t="s">
        <v>813</v>
      </c>
      <c r="Q153" s="165">
        <v>-70.885000000000005</v>
      </c>
      <c r="R153" s="165">
        <v>39.933</v>
      </c>
      <c r="S153" s="165" t="s">
        <v>172</v>
      </c>
      <c r="T153" s="165">
        <v>25</v>
      </c>
      <c r="U153" s="166" t="s">
        <v>516</v>
      </c>
      <c r="V153" s="158">
        <v>2.21</v>
      </c>
      <c r="W153" s="158">
        <v>0.185</v>
      </c>
      <c r="X153" s="158">
        <v>0.39300000000000002</v>
      </c>
      <c r="Y153" s="157">
        <v>9.5000000000000001E-2</v>
      </c>
      <c r="Z153" s="159">
        <v>0.03</v>
      </c>
      <c r="AA153" s="89">
        <v>0.13500000000000001</v>
      </c>
      <c r="AB153" s="89">
        <v>6.5000000000000002E-2</v>
      </c>
      <c r="AC153" s="89">
        <v>9.1999999999999998E-2</v>
      </c>
      <c r="AD153" s="89">
        <v>0.01</v>
      </c>
      <c r="AE153" s="89">
        <v>0.69899999999999995</v>
      </c>
      <c r="AF153" s="89">
        <v>9.1999999999999998E-2</v>
      </c>
      <c r="AG153" s="89">
        <v>1.7999999999999999E-2</v>
      </c>
      <c r="AH153" s="89">
        <v>2.194</v>
      </c>
      <c r="AI153" s="89">
        <v>-8888</v>
      </c>
      <c r="AJ153" s="89">
        <v>1.6E-2</v>
      </c>
      <c r="AK153" s="89">
        <v>0.185</v>
      </c>
      <c r="AL153" s="89">
        <v>-8888</v>
      </c>
      <c r="AM153" s="89">
        <v>0.29199999999999998</v>
      </c>
      <c r="AN153" s="89">
        <v>0.10100000000000001</v>
      </c>
      <c r="AO153" s="89">
        <v>6.0000000000000001E-3</v>
      </c>
      <c r="AP153" s="89">
        <v>2.1999999999999999E-2</v>
      </c>
      <c r="AQ153" s="89">
        <v>1.7999999999999999E-2</v>
      </c>
      <c r="AR153" s="89">
        <v>2.1999999999999999E-2</v>
      </c>
      <c r="AS153" s="89">
        <v>2.1000000000000001E-2</v>
      </c>
      <c r="AT153" s="89">
        <v>2.5999999999999999E-2</v>
      </c>
      <c r="AU153" s="89">
        <v>-8888</v>
      </c>
      <c r="AV153" s="89">
        <v>2.7880000000000003</v>
      </c>
      <c r="AW153" s="89">
        <v>0.28000000000000003</v>
      </c>
      <c r="AX153" s="89">
        <v>0.95599999999999996</v>
      </c>
      <c r="AY153" s="89">
        <v>3.7440000000000002</v>
      </c>
      <c r="AZ153" s="89">
        <v>1.236</v>
      </c>
      <c r="BA153" s="89">
        <v>1.8140000000000001</v>
      </c>
      <c r="BB153" s="89">
        <v>4.024</v>
      </c>
      <c r="BC153" s="89">
        <v>1.224</v>
      </c>
      <c r="BD153" s="160">
        <v>0.82</v>
      </c>
      <c r="BE153" s="160">
        <v>0.77</v>
      </c>
      <c r="BF153" s="160">
        <v>0.23</v>
      </c>
      <c r="BG153" s="160">
        <v>2.2599999999999998</v>
      </c>
      <c r="BH153" s="160">
        <v>7.0000000000000007E-2</v>
      </c>
      <c r="BI153" s="160">
        <v>0.93</v>
      </c>
      <c r="BJ153" s="160">
        <v>0.55000000000000004</v>
      </c>
      <c r="BL153" s="167"/>
    </row>
    <row r="154" spans="1:64" s="88" customFormat="1" ht="14.1" customHeight="1">
      <c r="A154" s="156" t="s">
        <v>418</v>
      </c>
      <c r="B154" s="165" t="s">
        <v>511</v>
      </c>
      <c r="C154" s="165" t="s">
        <v>814</v>
      </c>
      <c r="D154" s="165" t="s">
        <v>791</v>
      </c>
      <c r="E154" s="165" t="s">
        <v>173</v>
      </c>
      <c r="F154" s="165">
        <v>548</v>
      </c>
      <c r="G154" s="165">
        <v>9</v>
      </c>
      <c r="H154" s="165">
        <v>21</v>
      </c>
      <c r="I154" s="165">
        <v>5.0999999999999996</v>
      </c>
      <c r="J154" s="165">
        <v>453</v>
      </c>
      <c r="K154" s="166" t="s">
        <v>514</v>
      </c>
      <c r="L154" s="165">
        <v>2025</v>
      </c>
      <c r="M154" s="165" t="s">
        <v>792</v>
      </c>
      <c r="N154" s="165">
        <v>26</v>
      </c>
      <c r="O154" s="181">
        <v>26</v>
      </c>
      <c r="P154" s="165" t="s">
        <v>815</v>
      </c>
      <c r="Q154" s="165">
        <v>-70.885999999999996</v>
      </c>
      <c r="R154" s="165">
        <v>39.932000000000002</v>
      </c>
      <c r="S154" s="165" t="s">
        <v>172</v>
      </c>
      <c r="T154" s="165">
        <v>25</v>
      </c>
      <c r="U154" s="166" t="s">
        <v>516</v>
      </c>
      <c r="V154" s="158">
        <v>1.6819999999999999</v>
      </c>
      <c r="W154" s="158">
        <v>0.187</v>
      </c>
      <c r="X154" s="158">
        <v>0.313</v>
      </c>
      <c r="Y154" s="157">
        <v>7.6999999999999999E-2</v>
      </c>
      <c r="Z154" s="159">
        <v>0.03</v>
      </c>
      <c r="AA154" s="89">
        <v>0.13300000000000001</v>
      </c>
      <c r="AB154" s="89">
        <v>6.5000000000000002E-2</v>
      </c>
      <c r="AC154" s="89">
        <v>7.1999999999999995E-2</v>
      </c>
      <c r="AD154" s="89">
        <v>8.9999999999999993E-3</v>
      </c>
      <c r="AE154" s="89">
        <v>0.442</v>
      </c>
      <c r="AF154" s="89">
        <v>7.8E-2</v>
      </c>
      <c r="AG154" s="89">
        <v>1.2999999999999999E-2</v>
      </c>
      <c r="AH154" s="89">
        <v>1.667</v>
      </c>
      <c r="AI154" s="89">
        <v>-8888</v>
      </c>
      <c r="AJ154" s="89">
        <v>1.4999999999999999E-2</v>
      </c>
      <c r="AK154" s="89">
        <v>0.187</v>
      </c>
      <c r="AL154" s="89">
        <v>-8888</v>
      </c>
      <c r="AM154" s="89">
        <v>0.216</v>
      </c>
      <c r="AN154" s="89">
        <v>9.7000000000000003E-2</v>
      </c>
      <c r="AO154" s="89">
        <v>6.0000000000000001E-3</v>
      </c>
      <c r="AP154" s="89">
        <v>2.1000000000000001E-2</v>
      </c>
      <c r="AQ154" s="89">
        <v>1.7999999999999999E-2</v>
      </c>
      <c r="AR154" s="89">
        <v>1.7000000000000001E-2</v>
      </c>
      <c r="AS154" s="89">
        <v>2.4E-2</v>
      </c>
      <c r="AT154" s="89">
        <v>0.02</v>
      </c>
      <c r="AU154" s="89">
        <v>-8888</v>
      </c>
      <c r="AV154" s="89">
        <v>2.1819999999999999</v>
      </c>
      <c r="AW154" s="89">
        <v>0.23600000000000004</v>
      </c>
      <c r="AX154" s="89">
        <v>0.68299999999999994</v>
      </c>
      <c r="AY154" s="89">
        <v>2.8649999999999998</v>
      </c>
      <c r="AZ154" s="89">
        <v>0.91900000000000004</v>
      </c>
      <c r="BA154" s="89">
        <v>1.419</v>
      </c>
      <c r="BB154" s="89">
        <v>3.101</v>
      </c>
      <c r="BC154" s="89">
        <v>0.94799999999999995</v>
      </c>
      <c r="BD154" s="160">
        <v>0.84</v>
      </c>
      <c r="BE154" s="160">
        <v>0.74</v>
      </c>
      <c r="BF154" s="160">
        <v>0.26</v>
      </c>
      <c r="BG154" s="160">
        <v>2.37</v>
      </c>
      <c r="BH154" s="160">
        <v>0.08</v>
      </c>
      <c r="BI154" s="160">
        <v>0.92</v>
      </c>
      <c r="BJ154" s="160">
        <v>0.54</v>
      </c>
      <c r="BL154" s="167"/>
    </row>
    <row r="155" spans="1:64" s="88" customFormat="1" ht="14.1" customHeight="1">
      <c r="A155" s="156" t="s">
        <v>419</v>
      </c>
      <c r="B155" s="165" t="s">
        <v>511</v>
      </c>
      <c r="C155" s="165" t="s">
        <v>816</v>
      </c>
      <c r="D155" s="165" t="s">
        <v>791</v>
      </c>
      <c r="E155" s="165" t="s">
        <v>173</v>
      </c>
      <c r="F155" s="165">
        <v>547</v>
      </c>
      <c r="G155" s="165">
        <v>9</v>
      </c>
      <c r="H155" s="165">
        <v>21</v>
      </c>
      <c r="I155" s="165">
        <v>5.0999999999999996</v>
      </c>
      <c r="J155" s="165">
        <v>453</v>
      </c>
      <c r="K155" s="166" t="s">
        <v>514</v>
      </c>
      <c r="L155" s="165">
        <v>2025</v>
      </c>
      <c r="M155" s="165" t="s">
        <v>792</v>
      </c>
      <c r="N155" s="165">
        <v>26</v>
      </c>
      <c r="O155" s="181">
        <v>26</v>
      </c>
      <c r="P155" s="165" t="s">
        <v>815</v>
      </c>
      <c r="Q155" s="165">
        <v>-70.885999999999996</v>
      </c>
      <c r="R155" s="165">
        <v>39.932000000000002</v>
      </c>
      <c r="S155" s="165" t="s">
        <v>172</v>
      </c>
      <c r="T155" s="165">
        <v>25</v>
      </c>
      <c r="U155" s="166" t="s">
        <v>516</v>
      </c>
      <c r="V155" s="158">
        <v>1.8069999999999999</v>
      </c>
      <c r="W155" s="158">
        <v>0.182</v>
      </c>
      <c r="X155" s="158">
        <v>0.33200000000000002</v>
      </c>
      <c r="Y155" s="157">
        <v>7.5999999999999998E-2</v>
      </c>
      <c r="Z155" s="159">
        <v>2.9000000000000001E-2</v>
      </c>
      <c r="AA155" s="89">
        <v>0.13</v>
      </c>
      <c r="AB155" s="89">
        <v>6.0999999999999999E-2</v>
      </c>
      <c r="AC155" s="89">
        <v>7.2999999999999995E-2</v>
      </c>
      <c r="AD155" s="89">
        <v>8.0000000000000002E-3</v>
      </c>
      <c r="AE155" s="89">
        <v>0.48799999999999999</v>
      </c>
      <c r="AF155" s="89">
        <v>8.8999999999999996E-2</v>
      </c>
      <c r="AG155" s="89">
        <v>1.0999999999999999E-2</v>
      </c>
      <c r="AH155" s="89">
        <v>1.792</v>
      </c>
      <c r="AI155" s="89">
        <v>-8888</v>
      </c>
      <c r="AJ155" s="89">
        <v>1.4999999999999999E-2</v>
      </c>
      <c r="AK155" s="89">
        <v>0.182</v>
      </c>
      <c r="AL155" s="89">
        <v>-8888</v>
      </c>
      <c r="AM155" s="89">
        <v>0.23300000000000001</v>
      </c>
      <c r="AN155" s="89">
        <v>9.9000000000000005E-2</v>
      </c>
      <c r="AO155" s="89">
        <v>5.0000000000000001E-3</v>
      </c>
      <c r="AP155" s="89">
        <v>1.7999999999999999E-2</v>
      </c>
      <c r="AQ155" s="89">
        <v>1.7000000000000001E-2</v>
      </c>
      <c r="AR155" s="89">
        <v>2.1000000000000001E-2</v>
      </c>
      <c r="AS155" s="89">
        <v>1.7999999999999999E-2</v>
      </c>
      <c r="AT155" s="89">
        <v>0.02</v>
      </c>
      <c r="AU155" s="89">
        <v>-8888</v>
      </c>
      <c r="AV155" s="89">
        <v>2.3209999999999997</v>
      </c>
      <c r="AW155" s="89">
        <v>0.22900000000000004</v>
      </c>
      <c r="AX155" s="89">
        <v>0.73599999999999999</v>
      </c>
      <c r="AY155" s="89">
        <v>3.0569999999999995</v>
      </c>
      <c r="AZ155" s="89">
        <v>0.96500000000000008</v>
      </c>
      <c r="BA155" s="89">
        <v>1.4790000000000001</v>
      </c>
      <c r="BB155" s="89">
        <v>3.286</v>
      </c>
      <c r="BC155" s="89">
        <v>0.99</v>
      </c>
      <c r="BD155" s="160">
        <v>0.82</v>
      </c>
      <c r="BE155" s="160">
        <v>0.76</v>
      </c>
      <c r="BF155" s="160">
        <v>0.24</v>
      </c>
      <c r="BG155" s="160">
        <v>2.41</v>
      </c>
      <c r="BH155" s="160">
        <v>7.0000000000000007E-2</v>
      </c>
      <c r="BI155" s="160">
        <v>0.93</v>
      </c>
      <c r="BJ155" s="160">
        <v>0.55000000000000004</v>
      </c>
      <c r="BL155" s="167"/>
    </row>
    <row r="156" spans="1:64" s="88" customFormat="1" ht="14.1" customHeight="1">
      <c r="A156" s="156" t="s">
        <v>421</v>
      </c>
      <c r="B156" s="165" t="s">
        <v>511</v>
      </c>
      <c r="C156" s="165" t="s">
        <v>817</v>
      </c>
      <c r="D156" s="165" t="s">
        <v>791</v>
      </c>
      <c r="E156" s="165" t="s">
        <v>170</v>
      </c>
      <c r="F156" s="165">
        <v>549</v>
      </c>
      <c r="G156" s="165">
        <v>10</v>
      </c>
      <c r="H156" s="165">
        <v>8</v>
      </c>
      <c r="I156" s="165">
        <v>53.7</v>
      </c>
      <c r="J156" s="165">
        <v>131</v>
      </c>
      <c r="K156" s="166" t="s">
        <v>514</v>
      </c>
      <c r="L156" s="165">
        <v>2025</v>
      </c>
      <c r="M156" s="165" t="s">
        <v>792</v>
      </c>
      <c r="N156" s="165">
        <v>26</v>
      </c>
      <c r="O156" s="181">
        <v>26</v>
      </c>
      <c r="P156" s="165" t="s">
        <v>818</v>
      </c>
      <c r="Q156" s="165">
        <v>-70.891999999999996</v>
      </c>
      <c r="R156" s="165">
        <v>40.146000000000001</v>
      </c>
      <c r="S156" s="165" t="s">
        <v>172</v>
      </c>
      <c r="T156" s="165">
        <v>25</v>
      </c>
      <c r="U156" s="166" t="s">
        <v>516</v>
      </c>
      <c r="V156" s="158">
        <v>1.133</v>
      </c>
      <c r="W156" s="158">
        <v>0.123</v>
      </c>
      <c r="X156" s="158">
        <v>0.18</v>
      </c>
      <c r="Y156" s="157">
        <v>4.5999999999999999E-2</v>
      </c>
      <c r="Z156" s="159">
        <v>1.2E-2</v>
      </c>
      <c r="AA156" s="89">
        <v>0.04</v>
      </c>
      <c r="AB156" s="89">
        <v>3.2000000000000001E-2</v>
      </c>
      <c r="AC156" s="89">
        <v>4.4999999999999998E-2</v>
      </c>
      <c r="AD156" s="89">
        <v>5.0000000000000001E-3</v>
      </c>
      <c r="AE156" s="89">
        <v>0.371</v>
      </c>
      <c r="AF156" s="89">
        <v>2.1000000000000001E-2</v>
      </c>
      <c r="AG156" s="89">
        <v>6.0000000000000001E-3</v>
      </c>
      <c r="AH156" s="89">
        <v>1.125</v>
      </c>
      <c r="AI156" s="89">
        <v>-8888</v>
      </c>
      <c r="AJ156" s="89">
        <v>8.0000000000000002E-3</v>
      </c>
      <c r="AK156" s="89">
        <v>0.123</v>
      </c>
      <c r="AL156" s="89">
        <v>-8888</v>
      </c>
      <c r="AM156" s="89">
        <v>0.129</v>
      </c>
      <c r="AN156" s="89">
        <v>5.0999999999999997E-2</v>
      </c>
      <c r="AO156" s="89">
        <v>5.0000000000000001E-3</v>
      </c>
      <c r="AP156" s="89">
        <v>1.2999999999999999E-2</v>
      </c>
      <c r="AQ156" s="89">
        <v>1.2999999999999999E-2</v>
      </c>
      <c r="AR156" s="89">
        <v>1.0999999999999999E-2</v>
      </c>
      <c r="AS156" s="89">
        <v>1.4999999999999999E-2</v>
      </c>
      <c r="AT156" s="89">
        <v>3.2000000000000001E-2</v>
      </c>
      <c r="AU156" s="89">
        <v>-8888</v>
      </c>
      <c r="AV156" s="89">
        <v>1.4359999999999999</v>
      </c>
      <c r="AW156" s="89">
        <v>0.13400000000000001</v>
      </c>
      <c r="AX156" s="89">
        <v>0.44400000000000001</v>
      </c>
      <c r="AY156" s="89">
        <v>1.88</v>
      </c>
      <c r="AZ156" s="89">
        <v>0.57800000000000007</v>
      </c>
      <c r="BA156" s="89">
        <v>0.88100000000000001</v>
      </c>
      <c r="BB156" s="89">
        <v>2.0140000000000002</v>
      </c>
      <c r="BC156" s="89">
        <v>0.60499999999999998</v>
      </c>
      <c r="BD156" s="160">
        <v>0.78</v>
      </c>
      <c r="BE156" s="160">
        <v>0.77</v>
      </c>
      <c r="BF156" s="160">
        <v>0.23</v>
      </c>
      <c r="BG156" s="160">
        <v>2.48</v>
      </c>
      <c r="BH156" s="160">
        <v>7.0000000000000007E-2</v>
      </c>
      <c r="BI156" s="160">
        <v>0.93</v>
      </c>
      <c r="BJ156" s="160">
        <v>0.56000000000000005</v>
      </c>
      <c r="BL156" s="167"/>
    </row>
    <row r="157" spans="1:64" s="88" customFormat="1" ht="14.1" customHeight="1">
      <c r="A157" s="156" t="s">
        <v>422</v>
      </c>
      <c r="B157" s="165" t="s">
        <v>511</v>
      </c>
      <c r="C157" s="165" t="s">
        <v>819</v>
      </c>
      <c r="D157" s="165" t="s">
        <v>791</v>
      </c>
      <c r="E157" s="165" t="s">
        <v>170</v>
      </c>
      <c r="F157" s="165">
        <v>547</v>
      </c>
      <c r="G157" s="165">
        <v>10</v>
      </c>
      <c r="H157" s="165">
        <v>11</v>
      </c>
      <c r="I157" s="165">
        <v>33.799999999999997</v>
      </c>
      <c r="J157" s="165">
        <v>131</v>
      </c>
      <c r="K157" s="166" t="s">
        <v>514</v>
      </c>
      <c r="L157" s="165">
        <v>2025</v>
      </c>
      <c r="M157" s="165" t="s">
        <v>792</v>
      </c>
      <c r="N157" s="165">
        <v>26</v>
      </c>
      <c r="O157" s="181">
        <v>26</v>
      </c>
      <c r="P157" s="165" t="s">
        <v>820</v>
      </c>
      <c r="Q157" s="165">
        <v>-70.893000000000001</v>
      </c>
      <c r="R157" s="165">
        <v>40.145000000000003</v>
      </c>
      <c r="S157" s="165" t="s">
        <v>172</v>
      </c>
      <c r="T157" s="165">
        <v>25</v>
      </c>
      <c r="U157" s="166" t="s">
        <v>516</v>
      </c>
      <c r="V157" s="158">
        <v>1.3059999999999998</v>
      </c>
      <c r="W157" s="158">
        <v>0.13300000000000001</v>
      </c>
      <c r="X157" s="158">
        <v>0.20499999999999999</v>
      </c>
      <c r="Y157" s="157">
        <v>5.1999999999999998E-2</v>
      </c>
      <c r="Z157" s="159">
        <v>1.2E-2</v>
      </c>
      <c r="AA157" s="89">
        <v>4.1000000000000002E-2</v>
      </c>
      <c r="AB157" s="89">
        <v>3.4000000000000002E-2</v>
      </c>
      <c r="AC157" s="89">
        <v>5.3999999999999999E-2</v>
      </c>
      <c r="AD157" s="89">
        <v>5.0000000000000001E-3</v>
      </c>
      <c r="AE157" s="89">
        <v>0.442</v>
      </c>
      <c r="AF157" s="89">
        <v>2.7E-2</v>
      </c>
      <c r="AG157" s="89">
        <v>7.0000000000000001E-3</v>
      </c>
      <c r="AH157" s="89">
        <v>1.2989999999999999</v>
      </c>
      <c r="AI157" s="89">
        <v>-8888</v>
      </c>
      <c r="AJ157" s="89">
        <v>7.0000000000000001E-3</v>
      </c>
      <c r="AK157" s="89">
        <v>0.13300000000000001</v>
      </c>
      <c r="AL157" s="89">
        <v>-8888</v>
      </c>
      <c r="AM157" s="89">
        <v>0.151</v>
      </c>
      <c r="AN157" s="89">
        <v>5.3999999999999999E-2</v>
      </c>
      <c r="AO157" s="89">
        <v>5.0000000000000001E-3</v>
      </c>
      <c r="AP157" s="89">
        <v>1.4999999999999999E-2</v>
      </c>
      <c r="AQ157" s="89">
        <v>1.4999999999999999E-2</v>
      </c>
      <c r="AR157" s="89">
        <v>1.2E-2</v>
      </c>
      <c r="AS157" s="89">
        <v>1.4E-2</v>
      </c>
      <c r="AT157" s="89">
        <v>3.4000000000000002E-2</v>
      </c>
      <c r="AU157" s="89">
        <v>-8888</v>
      </c>
      <c r="AV157" s="89">
        <v>1.6439999999999999</v>
      </c>
      <c r="AW157" s="89">
        <v>0.152</v>
      </c>
      <c r="AX157" s="89">
        <v>0.52200000000000002</v>
      </c>
      <c r="AY157" s="89">
        <v>2.1659999999999999</v>
      </c>
      <c r="AZ157" s="89">
        <v>0.67400000000000004</v>
      </c>
      <c r="BA157" s="89">
        <v>1.012</v>
      </c>
      <c r="BB157" s="89">
        <v>2.3179999999999996</v>
      </c>
      <c r="BC157" s="89">
        <v>0.69600000000000006</v>
      </c>
      <c r="BD157" s="160">
        <v>0.77</v>
      </c>
      <c r="BE157" s="160">
        <v>0.77</v>
      </c>
      <c r="BF157" s="160">
        <v>0.23</v>
      </c>
      <c r="BG157" s="160">
        <v>2.44</v>
      </c>
      <c r="BH157" s="160">
        <v>7.0000000000000007E-2</v>
      </c>
      <c r="BI157" s="160">
        <v>0.93</v>
      </c>
      <c r="BJ157" s="160">
        <v>0.56000000000000005</v>
      </c>
      <c r="BL157" s="167"/>
    </row>
    <row r="158" spans="1:64" s="88" customFormat="1" ht="14.1" customHeight="1">
      <c r="A158" s="156" t="s">
        <v>423</v>
      </c>
      <c r="B158" s="165" t="s">
        <v>511</v>
      </c>
      <c r="C158" s="165" t="s">
        <v>821</v>
      </c>
      <c r="D158" s="165" t="s">
        <v>791</v>
      </c>
      <c r="E158" s="165" t="s">
        <v>170</v>
      </c>
      <c r="F158" s="165">
        <v>548</v>
      </c>
      <c r="G158" s="165">
        <v>10</v>
      </c>
      <c r="H158" s="165">
        <v>19</v>
      </c>
      <c r="I158" s="165">
        <v>6.7</v>
      </c>
      <c r="J158" s="165">
        <v>131</v>
      </c>
      <c r="K158" s="166" t="s">
        <v>514</v>
      </c>
      <c r="L158" s="165">
        <v>2025</v>
      </c>
      <c r="M158" s="165" t="s">
        <v>792</v>
      </c>
      <c r="N158" s="165">
        <v>26</v>
      </c>
      <c r="O158" s="181">
        <v>26</v>
      </c>
      <c r="P158" s="165" t="s">
        <v>822</v>
      </c>
      <c r="Q158" s="165">
        <v>-70.894000000000005</v>
      </c>
      <c r="R158" s="165">
        <v>40.143999999999998</v>
      </c>
      <c r="S158" s="165" t="s">
        <v>172</v>
      </c>
      <c r="T158" s="165">
        <v>25</v>
      </c>
      <c r="U158" s="166" t="s">
        <v>516</v>
      </c>
      <c r="V158" s="158">
        <v>1.1919999999999999</v>
      </c>
      <c r="W158" s="158">
        <v>0.128</v>
      </c>
      <c r="X158" s="158">
        <v>0.19</v>
      </c>
      <c r="Y158" s="157">
        <v>4.7E-2</v>
      </c>
      <c r="Z158" s="159">
        <v>1.2E-2</v>
      </c>
      <c r="AA158" s="89">
        <v>3.9E-2</v>
      </c>
      <c r="AB158" s="89">
        <v>3.5000000000000003E-2</v>
      </c>
      <c r="AC158" s="89">
        <v>5.0999999999999997E-2</v>
      </c>
      <c r="AD158" s="89">
        <v>5.0000000000000001E-3</v>
      </c>
      <c r="AE158" s="89">
        <v>0.39400000000000002</v>
      </c>
      <c r="AF158" s="89">
        <v>0.02</v>
      </c>
      <c r="AG158" s="89">
        <v>8.0000000000000002E-3</v>
      </c>
      <c r="AH158" s="89">
        <v>1.1859999999999999</v>
      </c>
      <c r="AI158" s="89">
        <v>-8888</v>
      </c>
      <c r="AJ158" s="89">
        <v>6.0000000000000001E-3</v>
      </c>
      <c r="AK158" s="89">
        <v>0.128</v>
      </c>
      <c r="AL158" s="89">
        <v>-8888</v>
      </c>
      <c r="AM158" s="89">
        <v>0.13600000000000001</v>
      </c>
      <c r="AN158" s="89">
        <v>5.3999999999999999E-2</v>
      </c>
      <c r="AO158" s="89">
        <v>5.0000000000000001E-3</v>
      </c>
      <c r="AP158" s="89">
        <v>1.2999999999999999E-2</v>
      </c>
      <c r="AQ158" s="89">
        <v>1.4999999999999999E-2</v>
      </c>
      <c r="AR158" s="89">
        <v>1.0999999999999999E-2</v>
      </c>
      <c r="AS158" s="89">
        <v>1.4999999999999999E-2</v>
      </c>
      <c r="AT158" s="89">
        <v>3.2000000000000001E-2</v>
      </c>
      <c r="AU158" s="89">
        <v>-8888</v>
      </c>
      <c r="AV158" s="89">
        <v>1.5099999999999998</v>
      </c>
      <c r="AW158" s="89">
        <v>0.14600000000000002</v>
      </c>
      <c r="AX158" s="89">
        <v>0.46500000000000002</v>
      </c>
      <c r="AY158" s="89">
        <v>1.9749999999999999</v>
      </c>
      <c r="AZ158" s="89">
        <v>0.61099999999999999</v>
      </c>
      <c r="BA158" s="89">
        <v>0.92900000000000005</v>
      </c>
      <c r="BB158" s="89">
        <v>2.121</v>
      </c>
      <c r="BC158" s="89">
        <v>0.63600000000000001</v>
      </c>
      <c r="BD158" s="160">
        <v>0.78</v>
      </c>
      <c r="BE158" s="160">
        <v>0.76</v>
      </c>
      <c r="BF158" s="160">
        <v>0.24</v>
      </c>
      <c r="BG158" s="160">
        <v>2.4700000000000002</v>
      </c>
      <c r="BH158" s="160">
        <v>7.0000000000000007E-2</v>
      </c>
      <c r="BI158" s="160">
        <v>0.93</v>
      </c>
      <c r="BJ158" s="160">
        <v>0.56000000000000005</v>
      </c>
      <c r="BL158" s="167"/>
    </row>
    <row r="159" spans="1:64" s="88" customFormat="1" ht="14.1" customHeight="1">
      <c r="A159" s="156" t="s">
        <v>424</v>
      </c>
      <c r="B159" s="165" t="s">
        <v>511</v>
      </c>
      <c r="C159" s="165" t="s">
        <v>823</v>
      </c>
      <c r="D159" s="165" t="s">
        <v>791</v>
      </c>
      <c r="E159" s="165" t="s">
        <v>170</v>
      </c>
      <c r="F159" s="165">
        <v>547</v>
      </c>
      <c r="G159" s="165">
        <v>11</v>
      </c>
      <c r="H159" s="165">
        <v>14</v>
      </c>
      <c r="I159" s="165">
        <v>40.299999999999997</v>
      </c>
      <c r="J159" s="165">
        <v>212</v>
      </c>
      <c r="K159" s="166" t="s">
        <v>514</v>
      </c>
      <c r="L159" s="165">
        <v>2025</v>
      </c>
      <c r="M159" s="165" t="s">
        <v>792</v>
      </c>
      <c r="N159" s="165">
        <v>26</v>
      </c>
      <c r="O159" s="181">
        <v>26</v>
      </c>
      <c r="P159" s="165" t="s">
        <v>824</v>
      </c>
      <c r="Q159" s="165">
        <v>-70.897000000000006</v>
      </c>
      <c r="R159" s="165">
        <v>40.040999999999997</v>
      </c>
      <c r="S159" s="165" t="s">
        <v>172</v>
      </c>
      <c r="T159" s="165">
        <v>25</v>
      </c>
      <c r="U159" s="166" t="s">
        <v>516</v>
      </c>
      <c r="V159" s="158">
        <v>1.6910000000000001</v>
      </c>
      <c r="W159" s="158">
        <v>0.14799999999999999</v>
      </c>
      <c r="X159" s="158">
        <v>0.26700000000000002</v>
      </c>
      <c r="Y159" s="157">
        <v>6.7000000000000004E-2</v>
      </c>
      <c r="Z159" s="159">
        <v>1.4999999999999999E-2</v>
      </c>
      <c r="AA159" s="89">
        <v>0.05</v>
      </c>
      <c r="AB159" s="89">
        <v>4.1000000000000002E-2</v>
      </c>
      <c r="AC159" s="89">
        <v>7.3999999999999996E-2</v>
      </c>
      <c r="AD159" s="89">
        <v>5.0000000000000001E-3</v>
      </c>
      <c r="AE159" s="89">
        <v>0.59799999999999998</v>
      </c>
      <c r="AF159" s="89">
        <v>0.03</v>
      </c>
      <c r="AG159" s="89">
        <v>8.0000000000000002E-3</v>
      </c>
      <c r="AH159" s="89">
        <v>1.6830000000000001</v>
      </c>
      <c r="AI159" s="89">
        <v>-8888</v>
      </c>
      <c r="AJ159" s="89">
        <v>8.0000000000000002E-3</v>
      </c>
      <c r="AK159" s="89">
        <v>0.14799999999999999</v>
      </c>
      <c r="AL159" s="89">
        <v>-8888</v>
      </c>
      <c r="AM159" s="89">
        <v>0.20399999999999999</v>
      </c>
      <c r="AN159" s="89">
        <v>6.3E-2</v>
      </c>
      <c r="AO159" s="89">
        <v>5.0000000000000001E-3</v>
      </c>
      <c r="AP159" s="89">
        <v>1.6E-2</v>
      </c>
      <c r="AQ159" s="89">
        <v>1.7000000000000001E-2</v>
      </c>
      <c r="AR159" s="89">
        <v>1.4E-2</v>
      </c>
      <c r="AS159" s="89">
        <v>1.4999999999999999E-2</v>
      </c>
      <c r="AT159" s="89">
        <v>3.5000000000000003E-2</v>
      </c>
      <c r="AU159" s="89">
        <v>-8888</v>
      </c>
      <c r="AV159" s="89">
        <v>2.1059999999999999</v>
      </c>
      <c r="AW159" s="89">
        <v>0.19500000000000001</v>
      </c>
      <c r="AX159" s="89">
        <v>0.69300000000000006</v>
      </c>
      <c r="AY159" s="89">
        <v>2.7989999999999999</v>
      </c>
      <c r="AZ159" s="89">
        <v>0.88800000000000012</v>
      </c>
      <c r="BA159" s="89">
        <v>1.3029999999999999</v>
      </c>
      <c r="BB159" s="89">
        <v>2.9939999999999998</v>
      </c>
      <c r="BC159" s="89">
        <v>0.89000000000000012</v>
      </c>
      <c r="BD159" s="160">
        <v>0.77</v>
      </c>
      <c r="BE159" s="160">
        <v>0.78</v>
      </c>
      <c r="BF159" s="160">
        <v>0.22</v>
      </c>
      <c r="BG159" s="160">
        <v>2.37</v>
      </c>
      <c r="BH159" s="160">
        <v>7.0000000000000007E-2</v>
      </c>
      <c r="BI159" s="160">
        <v>0.93</v>
      </c>
      <c r="BJ159" s="160">
        <v>0.56000000000000005</v>
      </c>
      <c r="BL159" s="167"/>
    </row>
    <row r="160" spans="1:64" s="88" customFormat="1" ht="14.1" customHeight="1">
      <c r="A160" s="156" t="s">
        <v>425</v>
      </c>
      <c r="B160" s="165" t="s">
        <v>511</v>
      </c>
      <c r="C160" s="165" t="s">
        <v>825</v>
      </c>
      <c r="D160" s="165" t="s">
        <v>791</v>
      </c>
      <c r="E160" s="165" t="s">
        <v>170</v>
      </c>
      <c r="F160" s="165">
        <v>548</v>
      </c>
      <c r="G160" s="165">
        <v>11</v>
      </c>
      <c r="H160" s="165">
        <v>21</v>
      </c>
      <c r="I160" s="165">
        <v>5.8</v>
      </c>
      <c r="J160" s="165">
        <v>212</v>
      </c>
      <c r="K160" s="166" t="s">
        <v>514</v>
      </c>
      <c r="L160" s="165">
        <v>2025</v>
      </c>
      <c r="M160" s="165" t="s">
        <v>792</v>
      </c>
      <c r="N160" s="165">
        <v>26</v>
      </c>
      <c r="O160" s="181">
        <v>26</v>
      </c>
      <c r="P160" s="165" t="s">
        <v>826</v>
      </c>
      <c r="Q160" s="165">
        <v>-70.899000000000001</v>
      </c>
      <c r="R160" s="165">
        <v>40.04</v>
      </c>
      <c r="S160" s="165" t="s">
        <v>172</v>
      </c>
      <c r="T160" s="165">
        <v>25</v>
      </c>
      <c r="U160" s="166" t="s">
        <v>516</v>
      </c>
      <c r="V160" s="158">
        <v>1.234</v>
      </c>
      <c r="W160" s="158">
        <v>0.154</v>
      </c>
      <c r="X160" s="158">
        <v>0.19900000000000001</v>
      </c>
      <c r="Y160" s="157">
        <v>5.3999999999999999E-2</v>
      </c>
      <c r="Z160" s="159">
        <v>1.6E-2</v>
      </c>
      <c r="AA160" s="89">
        <v>4.9000000000000002E-2</v>
      </c>
      <c r="AB160" s="89">
        <v>4.2999999999999997E-2</v>
      </c>
      <c r="AC160" s="89">
        <v>5.0999999999999997E-2</v>
      </c>
      <c r="AD160" s="89">
        <v>3.0000000000000001E-3</v>
      </c>
      <c r="AE160" s="89">
        <v>0.371</v>
      </c>
      <c r="AF160" s="89">
        <v>0.03</v>
      </c>
      <c r="AG160" s="89">
        <v>8.9999999999999993E-3</v>
      </c>
      <c r="AH160" s="89">
        <v>1.2250000000000001</v>
      </c>
      <c r="AI160" s="89">
        <v>-8888</v>
      </c>
      <c r="AJ160" s="89">
        <v>8.9999999999999993E-3</v>
      </c>
      <c r="AK160" s="89">
        <v>0.154</v>
      </c>
      <c r="AL160" s="89">
        <v>-8888</v>
      </c>
      <c r="AM160" s="89">
        <v>0.13900000000000001</v>
      </c>
      <c r="AN160" s="89">
        <v>0.06</v>
      </c>
      <c r="AO160" s="89">
        <v>5.0000000000000001E-3</v>
      </c>
      <c r="AP160" s="89">
        <v>1.6E-2</v>
      </c>
      <c r="AQ160" s="89">
        <v>1.7000000000000001E-2</v>
      </c>
      <c r="AR160" s="89">
        <v>1.0999999999999999E-2</v>
      </c>
      <c r="AS160" s="89">
        <v>1.4999999999999999E-2</v>
      </c>
      <c r="AT160" s="89">
        <v>3.5000000000000003E-2</v>
      </c>
      <c r="AU160" s="89">
        <v>-8888</v>
      </c>
      <c r="AV160" s="89">
        <v>1.587</v>
      </c>
      <c r="AW160" s="89">
        <v>0.16</v>
      </c>
      <c r="AX160" s="89">
        <v>0.46599999999999997</v>
      </c>
      <c r="AY160" s="89">
        <v>2.0529999999999999</v>
      </c>
      <c r="AZ160" s="89">
        <v>0.626</v>
      </c>
      <c r="BA160" s="89">
        <v>0.97900000000000009</v>
      </c>
      <c r="BB160" s="89">
        <v>2.2130000000000001</v>
      </c>
      <c r="BC160" s="89">
        <v>0.67199999999999993</v>
      </c>
      <c r="BD160" s="160">
        <v>0.79</v>
      </c>
      <c r="BE160" s="160">
        <v>0.74</v>
      </c>
      <c r="BF160" s="160">
        <v>0.26</v>
      </c>
      <c r="BG160" s="160">
        <v>2.54</v>
      </c>
      <c r="BH160" s="160">
        <v>7.0000000000000007E-2</v>
      </c>
      <c r="BI160" s="160">
        <v>0.93</v>
      </c>
      <c r="BJ160" s="160">
        <v>0.56000000000000005</v>
      </c>
      <c r="BL160" s="167"/>
    </row>
    <row r="161" spans="1:64" s="88" customFormat="1" ht="14.1" customHeight="1">
      <c r="A161" s="156" t="s">
        <v>426</v>
      </c>
      <c r="B161" s="165" t="s">
        <v>511</v>
      </c>
      <c r="C161" s="165" t="s">
        <v>827</v>
      </c>
      <c r="D161" s="165" t="s">
        <v>791</v>
      </c>
      <c r="E161" s="165" t="s">
        <v>170</v>
      </c>
      <c r="F161" s="165">
        <v>547</v>
      </c>
      <c r="G161" s="165">
        <v>14</v>
      </c>
      <c r="H161" s="165">
        <v>15</v>
      </c>
      <c r="I161" s="165">
        <v>30.1</v>
      </c>
      <c r="J161" s="165">
        <v>123</v>
      </c>
      <c r="K161" s="166" t="s">
        <v>514</v>
      </c>
      <c r="L161" s="165">
        <v>2025</v>
      </c>
      <c r="M161" s="165" t="s">
        <v>792</v>
      </c>
      <c r="N161" s="165">
        <v>27</v>
      </c>
      <c r="O161" s="181">
        <v>27</v>
      </c>
      <c r="P161" s="165" t="s">
        <v>828</v>
      </c>
      <c r="Q161" s="165">
        <v>-70.893000000000001</v>
      </c>
      <c r="R161" s="165">
        <v>40.253</v>
      </c>
      <c r="S161" s="165" t="s">
        <v>172</v>
      </c>
      <c r="T161" s="165">
        <v>25</v>
      </c>
      <c r="U161" s="166" t="s">
        <v>516</v>
      </c>
      <c r="V161" s="158">
        <v>1.2349999999999999</v>
      </c>
      <c r="W161" s="158">
        <v>8.5999999999999993E-2</v>
      </c>
      <c r="X161" s="158">
        <v>0.189</v>
      </c>
      <c r="Y161" s="157">
        <v>4.5999999999999999E-2</v>
      </c>
      <c r="Z161" s="159">
        <v>0.01</v>
      </c>
      <c r="AA161" s="89">
        <v>2.8000000000000001E-2</v>
      </c>
      <c r="AB161" s="89">
        <v>3.3000000000000002E-2</v>
      </c>
      <c r="AC161" s="89">
        <v>4.5999999999999999E-2</v>
      </c>
      <c r="AD161" s="89">
        <v>4.0000000000000001E-3</v>
      </c>
      <c r="AE161" s="89">
        <v>0.45300000000000001</v>
      </c>
      <c r="AF161" s="89">
        <v>3.3000000000000002E-2</v>
      </c>
      <c r="AG161" s="89">
        <v>5.0000000000000001E-3</v>
      </c>
      <c r="AH161" s="89">
        <v>1.228</v>
      </c>
      <c r="AI161" s="89">
        <v>-8888</v>
      </c>
      <c r="AJ161" s="89">
        <v>7.0000000000000001E-3</v>
      </c>
      <c r="AK161" s="89">
        <v>8.5999999999999993E-2</v>
      </c>
      <c r="AL161" s="89">
        <v>-8888</v>
      </c>
      <c r="AM161" s="89">
        <v>0.13900000000000001</v>
      </c>
      <c r="AN161" s="89">
        <v>0.05</v>
      </c>
      <c r="AO161" s="89">
        <v>3.0000000000000001E-3</v>
      </c>
      <c r="AP161" s="89">
        <v>8.9999999999999993E-3</v>
      </c>
      <c r="AQ161" s="89">
        <v>8.9999999999999993E-3</v>
      </c>
      <c r="AR161" s="89">
        <v>1.6E-2</v>
      </c>
      <c r="AS161" s="89">
        <v>2.9000000000000001E-2</v>
      </c>
      <c r="AT161" s="89">
        <v>2.4E-2</v>
      </c>
      <c r="AU161" s="89">
        <v>-8888</v>
      </c>
      <c r="AV161" s="89">
        <v>1.51</v>
      </c>
      <c r="AW161" s="89">
        <v>0.13400000000000001</v>
      </c>
      <c r="AX161" s="89">
        <v>0.52400000000000002</v>
      </c>
      <c r="AY161" s="89">
        <v>2.0339999999999998</v>
      </c>
      <c r="AZ161" s="89">
        <v>0.65800000000000003</v>
      </c>
      <c r="BA161" s="89">
        <v>0.93300000000000005</v>
      </c>
      <c r="BB161" s="89">
        <v>2.1680000000000001</v>
      </c>
      <c r="BC161" s="89">
        <v>0.64800000000000002</v>
      </c>
      <c r="BD161" s="160">
        <v>0.76</v>
      </c>
      <c r="BE161" s="160">
        <v>0.8</v>
      </c>
      <c r="BF161" s="160">
        <v>0.2</v>
      </c>
      <c r="BG161" s="160">
        <v>2.29</v>
      </c>
      <c r="BH161" s="160">
        <v>0.06</v>
      </c>
      <c r="BI161" s="160">
        <v>0.94</v>
      </c>
      <c r="BJ161" s="160">
        <v>0.56999999999999995</v>
      </c>
      <c r="BL161" s="167"/>
    </row>
    <row r="162" spans="1:64" s="88" customFormat="1" ht="14.1" customHeight="1">
      <c r="A162" s="156" t="s">
        <v>427</v>
      </c>
      <c r="B162" s="165" t="s">
        <v>511</v>
      </c>
      <c r="C162" s="165" t="s">
        <v>829</v>
      </c>
      <c r="D162" s="165" t="s">
        <v>791</v>
      </c>
      <c r="E162" s="165" t="s">
        <v>170</v>
      </c>
      <c r="F162" s="165">
        <v>548</v>
      </c>
      <c r="G162" s="165">
        <v>14</v>
      </c>
      <c r="H162" s="165">
        <v>19</v>
      </c>
      <c r="I162" s="165">
        <v>4.8</v>
      </c>
      <c r="J162" s="165">
        <v>123</v>
      </c>
      <c r="K162" s="166" t="s">
        <v>514</v>
      </c>
      <c r="L162" s="165">
        <v>2025</v>
      </c>
      <c r="M162" s="165" t="s">
        <v>792</v>
      </c>
      <c r="N162" s="165">
        <v>27</v>
      </c>
      <c r="O162" s="181">
        <v>27</v>
      </c>
      <c r="P162" s="165" t="s">
        <v>830</v>
      </c>
      <c r="Q162" s="165">
        <v>-70.894000000000005</v>
      </c>
      <c r="R162" s="165">
        <v>40.253</v>
      </c>
      <c r="S162" s="165" t="s">
        <v>172</v>
      </c>
      <c r="T162" s="165">
        <v>25</v>
      </c>
      <c r="U162" s="166" t="s">
        <v>516</v>
      </c>
      <c r="V162" s="158">
        <v>1.1179999999999999</v>
      </c>
      <c r="W162" s="158">
        <v>0.104</v>
      </c>
      <c r="X162" s="158">
        <v>0.17199999999999999</v>
      </c>
      <c r="Y162" s="157">
        <v>4.3999999999999997E-2</v>
      </c>
      <c r="Z162" s="159">
        <v>1.0999999999999999E-2</v>
      </c>
      <c r="AA162" s="89">
        <v>3.1E-2</v>
      </c>
      <c r="AB162" s="89">
        <v>3.1E-2</v>
      </c>
      <c r="AC162" s="89">
        <v>4.2000000000000003E-2</v>
      </c>
      <c r="AD162" s="89">
        <v>3.0000000000000001E-3</v>
      </c>
      <c r="AE162" s="89">
        <v>0.38</v>
      </c>
      <c r="AF162" s="89">
        <v>3.3000000000000002E-2</v>
      </c>
      <c r="AG162" s="89">
        <v>6.0000000000000001E-3</v>
      </c>
      <c r="AH162" s="89">
        <v>1.111</v>
      </c>
      <c r="AI162" s="89">
        <v>-8888</v>
      </c>
      <c r="AJ162" s="89">
        <v>7.0000000000000001E-3</v>
      </c>
      <c r="AK162" s="89">
        <v>0.104</v>
      </c>
      <c r="AL162" s="89">
        <v>-8888</v>
      </c>
      <c r="AM162" s="89">
        <v>0.124</v>
      </c>
      <c r="AN162" s="89">
        <v>4.8000000000000001E-2</v>
      </c>
      <c r="AO162" s="89">
        <v>3.0000000000000001E-3</v>
      </c>
      <c r="AP162" s="89">
        <v>1.0999999999999999E-2</v>
      </c>
      <c r="AQ162" s="89">
        <v>0.01</v>
      </c>
      <c r="AR162" s="89">
        <v>1.2E-2</v>
      </c>
      <c r="AS162" s="89">
        <v>2.3E-2</v>
      </c>
      <c r="AT162" s="89">
        <v>2.8000000000000001E-2</v>
      </c>
      <c r="AU162" s="89">
        <v>-8888</v>
      </c>
      <c r="AV162" s="89">
        <v>1.3939999999999999</v>
      </c>
      <c r="AW162" s="89">
        <v>0.126</v>
      </c>
      <c r="AX162" s="89">
        <v>0.45500000000000007</v>
      </c>
      <c r="AY162" s="89">
        <v>1.849</v>
      </c>
      <c r="AZ162" s="89">
        <v>0.58100000000000007</v>
      </c>
      <c r="BA162" s="89">
        <v>0.85699999999999998</v>
      </c>
      <c r="BB162" s="89">
        <v>1.9749999999999999</v>
      </c>
      <c r="BC162" s="89">
        <v>0.59600000000000009</v>
      </c>
      <c r="BD162" s="160">
        <v>0.77</v>
      </c>
      <c r="BE162" s="160">
        <v>0.78</v>
      </c>
      <c r="BF162" s="160">
        <v>0.22</v>
      </c>
      <c r="BG162" s="160">
        <v>2.4</v>
      </c>
      <c r="BH162" s="160">
        <v>0.06</v>
      </c>
      <c r="BI162" s="160">
        <v>0.94</v>
      </c>
      <c r="BJ162" s="160">
        <v>0.56999999999999995</v>
      </c>
      <c r="BL162" s="167"/>
    </row>
    <row r="163" spans="1:64" s="88" customFormat="1" ht="14.1" customHeight="1">
      <c r="A163" s="156" t="s">
        <v>428</v>
      </c>
      <c r="B163" s="165" t="s">
        <v>511</v>
      </c>
      <c r="C163" s="165" t="s">
        <v>831</v>
      </c>
      <c r="D163" s="165" t="s">
        <v>791</v>
      </c>
      <c r="E163" s="165" t="s">
        <v>170</v>
      </c>
      <c r="F163" s="165">
        <v>547</v>
      </c>
      <c r="G163" s="165">
        <v>18</v>
      </c>
      <c r="H163" s="165">
        <v>9</v>
      </c>
      <c r="I163" s="165">
        <v>34.700000000000003</v>
      </c>
      <c r="J163" s="165">
        <v>95</v>
      </c>
      <c r="K163" s="166" t="s">
        <v>514</v>
      </c>
      <c r="L163" s="165">
        <v>2025</v>
      </c>
      <c r="M163" s="165" t="s">
        <v>792</v>
      </c>
      <c r="N163" s="165">
        <v>27</v>
      </c>
      <c r="O163" s="181">
        <v>27</v>
      </c>
      <c r="P163" s="165" t="s">
        <v>832</v>
      </c>
      <c r="Q163" s="165">
        <v>-70.881</v>
      </c>
      <c r="R163" s="165">
        <v>40.359000000000002</v>
      </c>
      <c r="S163" s="165" t="s">
        <v>172</v>
      </c>
      <c r="T163" s="165">
        <v>25</v>
      </c>
      <c r="U163" s="166" t="s">
        <v>516</v>
      </c>
      <c r="V163" s="158">
        <v>1.3640000000000001</v>
      </c>
      <c r="W163" s="158">
        <v>6.5000000000000002E-2</v>
      </c>
      <c r="X163" s="158">
        <v>0.20800000000000002</v>
      </c>
      <c r="Y163" s="157">
        <v>0.05</v>
      </c>
      <c r="Z163" s="159">
        <v>0.01</v>
      </c>
      <c r="AA163" s="89">
        <v>2.8000000000000001E-2</v>
      </c>
      <c r="AB163" s="89">
        <v>0.03</v>
      </c>
      <c r="AC163" s="89">
        <v>4.8000000000000001E-2</v>
      </c>
      <c r="AD163" s="89">
        <v>3.0000000000000001E-3</v>
      </c>
      <c r="AE163" s="89">
        <v>0.51100000000000001</v>
      </c>
      <c r="AF163" s="89">
        <v>3.6999999999999998E-2</v>
      </c>
      <c r="AG163" s="89">
        <v>4.0000000000000001E-3</v>
      </c>
      <c r="AH163" s="89">
        <v>1.3540000000000001</v>
      </c>
      <c r="AI163" s="89">
        <v>-8888</v>
      </c>
      <c r="AJ163" s="89">
        <v>0.01</v>
      </c>
      <c r="AK163" s="89">
        <v>6.5000000000000002E-2</v>
      </c>
      <c r="AL163" s="89">
        <v>-8888</v>
      </c>
      <c r="AM163" s="89">
        <v>0.16</v>
      </c>
      <c r="AN163" s="89">
        <v>4.8000000000000001E-2</v>
      </c>
      <c r="AO163" s="89">
        <v>2E-3</v>
      </c>
      <c r="AP163" s="89">
        <v>7.0000000000000001E-3</v>
      </c>
      <c r="AQ163" s="89">
        <v>7.0000000000000001E-3</v>
      </c>
      <c r="AR163" s="89">
        <v>1.4E-2</v>
      </c>
      <c r="AS163" s="89">
        <v>0.03</v>
      </c>
      <c r="AT163" s="89">
        <v>0.02</v>
      </c>
      <c r="AU163" s="89">
        <v>-8888</v>
      </c>
      <c r="AV163" s="89">
        <v>1.637</v>
      </c>
      <c r="AW163" s="89">
        <v>0.13500000000000001</v>
      </c>
      <c r="AX163" s="89">
        <v>0.58600000000000008</v>
      </c>
      <c r="AY163" s="89">
        <v>2.2229999999999999</v>
      </c>
      <c r="AZ163" s="89">
        <v>0.72100000000000009</v>
      </c>
      <c r="BA163" s="89">
        <v>0.99399999999999999</v>
      </c>
      <c r="BB163" s="89">
        <v>2.3580000000000001</v>
      </c>
      <c r="BC163" s="89">
        <v>0.68500000000000005</v>
      </c>
      <c r="BD163" s="160">
        <v>0.73</v>
      </c>
      <c r="BE163" s="160">
        <v>0.81</v>
      </c>
      <c r="BF163" s="160">
        <v>0.19</v>
      </c>
      <c r="BG163" s="160">
        <v>2.27</v>
      </c>
      <c r="BH163" s="160">
        <v>0.06</v>
      </c>
      <c r="BI163" s="160">
        <v>0.94</v>
      </c>
      <c r="BJ163" s="160">
        <v>0.57999999999999996</v>
      </c>
      <c r="BL163" s="167"/>
    </row>
    <row r="164" spans="1:64" s="88" customFormat="1" ht="14.1" customHeight="1">
      <c r="A164" s="156" t="s">
        <v>429</v>
      </c>
      <c r="B164" s="165" t="s">
        <v>511</v>
      </c>
      <c r="C164" s="165" t="s">
        <v>833</v>
      </c>
      <c r="D164" s="165" t="s">
        <v>791</v>
      </c>
      <c r="E164" s="165" t="s">
        <v>170</v>
      </c>
      <c r="F164" s="165">
        <v>548</v>
      </c>
      <c r="G164" s="165">
        <v>18</v>
      </c>
      <c r="H164" s="165">
        <v>21</v>
      </c>
      <c r="I164" s="165">
        <v>4.4000000000000004</v>
      </c>
      <c r="J164" s="165">
        <v>95</v>
      </c>
      <c r="K164" s="166" t="s">
        <v>514</v>
      </c>
      <c r="L164" s="165">
        <v>2025</v>
      </c>
      <c r="M164" s="165" t="s">
        <v>792</v>
      </c>
      <c r="N164" s="165">
        <v>27</v>
      </c>
      <c r="O164" s="181">
        <v>27</v>
      </c>
      <c r="P164" s="165" t="s">
        <v>834</v>
      </c>
      <c r="Q164" s="165">
        <v>-70.88</v>
      </c>
      <c r="R164" s="165">
        <v>40.357999999999997</v>
      </c>
      <c r="S164" s="165" t="s">
        <v>172</v>
      </c>
      <c r="T164" s="165">
        <v>25</v>
      </c>
      <c r="U164" s="166" t="s">
        <v>516</v>
      </c>
      <c r="V164" s="158">
        <v>1.0189999999999999</v>
      </c>
      <c r="W164" s="158">
        <v>6.9000000000000006E-2</v>
      </c>
      <c r="X164" s="158">
        <v>0.161</v>
      </c>
      <c r="Y164" s="157">
        <v>0.04</v>
      </c>
      <c r="Z164" s="159">
        <v>0.01</v>
      </c>
      <c r="AA164" s="89">
        <v>2.7E-2</v>
      </c>
      <c r="AB164" s="89">
        <v>2.9000000000000001E-2</v>
      </c>
      <c r="AC164" s="89">
        <v>3.5999999999999997E-2</v>
      </c>
      <c r="AD164" s="89">
        <v>3.0000000000000001E-3</v>
      </c>
      <c r="AE164" s="89">
        <v>0.35199999999999998</v>
      </c>
      <c r="AF164" s="89">
        <v>3.7999999999999999E-2</v>
      </c>
      <c r="AG164" s="89">
        <v>4.0000000000000001E-3</v>
      </c>
      <c r="AH164" s="89">
        <v>1.012</v>
      </c>
      <c r="AI164" s="89">
        <v>-8888</v>
      </c>
      <c r="AJ164" s="89">
        <v>7.0000000000000001E-3</v>
      </c>
      <c r="AK164" s="89">
        <v>6.9000000000000006E-2</v>
      </c>
      <c r="AL164" s="89">
        <v>-8888</v>
      </c>
      <c r="AM164" s="89">
        <v>0.112</v>
      </c>
      <c r="AN164" s="89">
        <v>4.9000000000000002E-2</v>
      </c>
      <c r="AO164" s="89">
        <v>3.0000000000000001E-3</v>
      </c>
      <c r="AP164" s="89">
        <v>8.0000000000000002E-3</v>
      </c>
      <c r="AQ164" s="89">
        <v>7.0000000000000001E-3</v>
      </c>
      <c r="AR164" s="89">
        <v>1.2E-2</v>
      </c>
      <c r="AS164" s="89">
        <v>2.7E-2</v>
      </c>
      <c r="AT164" s="89">
        <v>2.1999999999999999E-2</v>
      </c>
      <c r="AU164" s="89">
        <v>-8888</v>
      </c>
      <c r="AV164" s="89">
        <v>1.2489999999999999</v>
      </c>
      <c r="AW164" s="89">
        <v>0.11200000000000002</v>
      </c>
      <c r="AX164" s="89">
        <v>0.42699999999999999</v>
      </c>
      <c r="AY164" s="89">
        <v>1.6759999999999999</v>
      </c>
      <c r="AZ164" s="89">
        <v>0.53900000000000003</v>
      </c>
      <c r="BA164" s="89">
        <v>0.76900000000000013</v>
      </c>
      <c r="BB164" s="89">
        <v>1.788</v>
      </c>
      <c r="BC164" s="89">
        <v>0.52900000000000003</v>
      </c>
      <c r="BD164" s="160">
        <v>0.75</v>
      </c>
      <c r="BE164" s="160">
        <v>0.79</v>
      </c>
      <c r="BF164" s="160">
        <v>0.21</v>
      </c>
      <c r="BG164" s="160">
        <v>2.3199999999999998</v>
      </c>
      <c r="BH164" s="160">
        <v>0.06</v>
      </c>
      <c r="BI164" s="160">
        <v>0.94</v>
      </c>
      <c r="BJ164" s="160">
        <v>0.56999999999999995</v>
      </c>
      <c r="BL164" s="167"/>
    </row>
    <row r="165" spans="1:64" s="88" customFormat="1" ht="14.1" customHeight="1">
      <c r="A165" s="156" t="s">
        <v>430</v>
      </c>
      <c r="B165" s="165" t="s">
        <v>511</v>
      </c>
      <c r="C165" s="165" t="s">
        <v>835</v>
      </c>
      <c r="D165" s="165" t="s">
        <v>791</v>
      </c>
      <c r="E165" s="165" t="s">
        <v>170</v>
      </c>
      <c r="F165" s="165">
        <v>547</v>
      </c>
      <c r="G165" s="165">
        <v>19</v>
      </c>
      <c r="H165" s="165">
        <v>13</v>
      </c>
      <c r="I165" s="165">
        <v>30.1</v>
      </c>
      <c r="J165" s="165">
        <v>77</v>
      </c>
      <c r="K165" s="166" t="s">
        <v>514</v>
      </c>
      <c r="L165" s="165">
        <v>2025</v>
      </c>
      <c r="M165" s="165" t="s">
        <v>792</v>
      </c>
      <c r="N165" s="165">
        <v>27</v>
      </c>
      <c r="O165" s="181">
        <v>27</v>
      </c>
      <c r="P165" s="165" t="s">
        <v>836</v>
      </c>
      <c r="Q165" s="165">
        <v>-70.885000000000005</v>
      </c>
      <c r="R165" s="165">
        <v>40.51</v>
      </c>
      <c r="S165" s="165" t="s">
        <v>172</v>
      </c>
      <c r="T165" s="165">
        <v>25</v>
      </c>
      <c r="U165" s="166" t="s">
        <v>516</v>
      </c>
      <c r="V165" s="158">
        <v>1.3460000000000001</v>
      </c>
      <c r="W165" s="158">
        <v>4.5999999999999999E-2</v>
      </c>
      <c r="X165" s="158">
        <v>0.21600000000000003</v>
      </c>
      <c r="Y165" s="157">
        <v>4.8000000000000001E-2</v>
      </c>
      <c r="Z165" s="159">
        <v>1.2E-2</v>
      </c>
      <c r="AA165" s="89">
        <v>2.4E-2</v>
      </c>
      <c r="AB165" s="89">
        <v>3.1E-2</v>
      </c>
      <c r="AC165" s="89">
        <v>5.8000000000000003E-2</v>
      </c>
      <c r="AD165" s="89">
        <v>3.0000000000000001E-3</v>
      </c>
      <c r="AE165" s="89">
        <v>0.502</v>
      </c>
      <c r="AF165" s="89">
        <v>4.1000000000000002E-2</v>
      </c>
      <c r="AG165" s="89">
        <v>3.0000000000000001E-3</v>
      </c>
      <c r="AH165" s="89">
        <v>1.3340000000000001</v>
      </c>
      <c r="AI165" s="89">
        <v>-8888</v>
      </c>
      <c r="AJ165" s="89">
        <v>1.2E-2</v>
      </c>
      <c r="AK165" s="89">
        <v>4.5999999999999999E-2</v>
      </c>
      <c r="AL165" s="89">
        <v>-8888</v>
      </c>
      <c r="AM165" s="89">
        <v>0.17</v>
      </c>
      <c r="AN165" s="89">
        <v>4.5999999999999999E-2</v>
      </c>
      <c r="AO165" s="89">
        <v>2E-3</v>
      </c>
      <c r="AP165" s="89">
        <v>5.0000000000000001E-3</v>
      </c>
      <c r="AQ165" s="89">
        <v>6.0000000000000001E-3</v>
      </c>
      <c r="AR165" s="89">
        <v>1.4999999999999999E-2</v>
      </c>
      <c r="AS165" s="89">
        <v>2.3E-2</v>
      </c>
      <c r="AT165" s="89">
        <v>-8888</v>
      </c>
      <c r="AU165" s="89">
        <v>-8888</v>
      </c>
      <c r="AV165" s="89">
        <v>1.6080000000000001</v>
      </c>
      <c r="AW165" s="89">
        <v>0.14300000000000002</v>
      </c>
      <c r="AX165" s="89">
        <v>0.57900000000000007</v>
      </c>
      <c r="AY165" s="89">
        <v>2.1870000000000003</v>
      </c>
      <c r="AZ165" s="89">
        <v>0.72200000000000009</v>
      </c>
      <c r="BA165" s="89">
        <v>0.98400000000000021</v>
      </c>
      <c r="BB165" s="89">
        <v>2.33</v>
      </c>
      <c r="BC165" s="89">
        <v>0.65900000000000003</v>
      </c>
      <c r="BD165" s="160">
        <v>0.73</v>
      </c>
      <c r="BE165" s="160">
        <v>0.8</v>
      </c>
      <c r="BF165" s="160">
        <v>0.2</v>
      </c>
      <c r="BG165" s="160">
        <v>2.23</v>
      </c>
      <c r="BH165" s="160">
        <v>0.06</v>
      </c>
      <c r="BI165" s="160">
        <v>0.94</v>
      </c>
      <c r="BJ165" s="160">
        <v>0.57999999999999996</v>
      </c>
      <c r="BL165" s="167"/>
    </row>
    <row r="166" spans="1:64" s="88" customFormat="1" ht="14.1" customHeight="1">
      <c r="A166" s="156" t="s">
        <v>431</v>
      </c>
      <c r="B166" s="165" t="s">
        <v>511</v>
      </c>
      <c r="C166" s="165" t="s">
        <v>837</v>
      </c>
      <c r="D166" s="165" t="s">
        <v>791</v>
      </c>
      <c r="E166" s="165" t="s">
        <v>173</v>
      </c>
      <c r="F166" s="165">
        <v>548</v>
      </c>
      <c r="G166" s="165">
        <v>19</v>
      </c>
      <c r="H166" s="165">
        <v>17</v>
      </c>
      <c r="I166" s="165">
        <v>5.3</v>
      </c>
      <c r="J166" s="165">
        <v>77</v>
      </c>
      <c r="K166" s="166" t="s">
        <v>514</v>
      </c>
      <c r="L166" s="165">
        <v>2025</v>
      </c>
      <c r="M166" s="165" t="s">
        <v>792</v>
      </c>
      <c r="N166" s="165">
        <v>27</v>
      </c>
      <c r="O166" s="181">
        <v>27</v>
      </c>
      <c r="P166" s="165" t="s">
        <v>838</v>
      </c>
      <c r="Q166" s="165">
        <v>-70.885999999999996</v>
      </c>
      <c r="R166" s="165">
        <v>40.509</v>
      </c>
      <c r="S166" s="165" t="s">
        <v>172</v>
      </c>
      <c r="T166" s="165">
        <v>25</v>
      </c>
      <c r="U166" s="166" t="s">
        <v>516</v>
      </c>
      <c r="V166" s="158">
        <v>1.327</v>
      </c>
      <c r="W166" s="158">
        <v>4.7E-2</v>
      </c>
      <c r="X166" s="158">
        <v>0.21400000000000002</v>
      </c>
      <c r="Y166" s="157">
        <v>0.05</v>
      </c>
      <c r="Z166" s="159">
        <v>1.2999999999999999E-2</v>
      </c>
      <c r="AA166" s="89">
        <v>2.4E-2</v>
      </c>
      <c r="AB166" s="89">
        <v>0.03</v>
      </c>
      <c r="AC166" s="89">
        <v>6.3E-2</v>
      </c>
      <c r="AD166" s="89">
        <v>5.0000000000000001E-3</v>
      </c>
      <c r="AE166" s="89">
        <v>0.501</v>
      </c>
      <c r="AF166" s="89">
        <v>4.2999999999999997E-2</v>
      </c>
      <c r="AG166" s="89">
        <v>3.0000000000000001E-3</v>
      </c>
      <c r="AH166" s="89">
        <v>1.3169999999999999</v>
      </c>
      <c r="AI166" s="89">
        <v>-8888</v>
      </c>
      <c r="AJ166" s="89">
        <v>0.01</v>
      </c>
      <c r="AK166" s="89">
        <v>4.7E-2</v>
      </c>
      <c r="AL166" s="89">
        <v>-8888</v>
      </c>
      <c r="AM166" s="89">
        <v>0.17</v>
      </c>
      <c r="AN166" s="89">
        <v>4.3999999999999997E-2</v>
      </c>
      <c r="AO166" s="89">
        <v>2E-3</v>
      </c>
      <c r="AP166" s="89">
        <v>5.0000000000000001E-3</v>
      </c>
      <c r="AQ166" s="89">
        <v>6.0000000000000001E-3</v>
      </c>
      <c r="AR166" s="89">
        <v>1.4999999999999999E-2</v>
      </c>
      <c r="AS166" s="89">
        <v>2.5999999999999999E-2</v>
      </c>
      <c r="AT166" s="89">
        <v>-8888</v>
      </c>
      <c r="AU166" s="89">
        <v>-8888</v>
      </c>
      <c r="AV166" s="89">
        <v>1.5879999999999999</v>
      </c>
      <c r="AW166" s="89">
        <v>0.15100000000000002</v>
      </c>
      <c r="AX166" s="89">
        <v>0.58100000000000007</v>
      </c>
      <c r="AY166" s="89">
        <v>2.169</v>
      </c>
      <c r="AZ166" s="89">
        <v>0.7320000000000001</v>
      </c>
      <c r="BA166" s="89">
        <v>0.9930000000000001</v>
      </c>
      <c r="BB166" s="89">
        <v>2.3200000000000003</v>
      </c>
      <c r="BC166" s="89">
        <v>0.66100000000000003</v>
      </c>
      <c r="BD166" s="160">
        <v>0.75</v>
      </c>
      <c r="BE166" s="160">
        <v>0.79</v>
      </c>
      <c r="BF166" s="160">
        <v>0.21</v>
      </c>
      <c r="BG166" s="160">
        <v>2.17</v>
      </c>
      <c r="BH166" s="160">
        <v>7.0000000000000007E-2</v>
      </c>
      <c r="BI166" s="160">
        <v>0.93</v>
      </c>
      <c r="BJ166" s="160">
        <v>0.56999999999999995</v>
      </c>
      <c r="BL166" s="167"/>
    </row>
    <row r="167" spans="1:64" s="88" customFormat="1" ht="14.1" customHeight="1">
      <c r="A167" s="156" t="s">
        <v>432</v>
      </c>
      <c r="B167" s="165" t="s">
        <v>511</v>
      </c>
      <c r="C167" s="165" t="s">
        <v>839</v>
      </c>
      <c r="D167" s="165" t="s">
        <v>791</v>
      </c>
      <c r="E167" s="165" t="s">
        <v>173</v>
      </c>
      <c r="F167" s="165">
        <v>548</v>
      </c>
      <c r="G167" s="165">
        <v>19</v>
      </c>
      <c r="H167" s="165">
        <v>17</v>
      </c>
      <c r="I167" s="165">
        <v>5.3</v>
      </c>
      <c r="J167" s="165">
        <v>77</v>
      </c>
      <c r="K167" s="166" t="s">
        <v>514</v>
      </c>
      <c r="L167" s="165">
        <v>2025</v>
      </c>
      <c r="M167" s="165" t="s">
        <v>792</v>
      </c>
      <c r="N167" s="165">
        <v>27</v>
      </c>
      <c r="O167" s="181">
        <v>27</v>
      </c>
      <c r="P167" s="165" t="s">
        <v>838</v>
      </c>
      <c r="Q167" s="165">
        <v>-70.885999999999996</v>
      </c>
      <c r="R167" s="165">
        <v>40.509</v>
      </c>
      <c r="S167" s="165" t="s">
        <v>172</v>
      </c>
      <c r="T167" s="165">
        <v>25</v>
      </c>
      <c r="U167" s="166" t="s">
        <v>516</v>
      </c>
      <c r="V167" s="158">
        <v>1.2089999999999999</v>
      </c>
      <c r="W167" s="158">
        <v>4.7E-2</v>
      </c>
      <c r="X167" s="158">
        <v>0.19500000000000001</v>
      </c>
      <c r="Y167" s="157">
        <v>4.5999999999999999E-2</v>
      </c>
      <c r="Z167" s="159">
        <v>1.2E-2</v>
      </c>
      <c r="AA167" s="89">
        <v>2.3E-2</v>
      </c>
      <c r="AB167" s="89">
        <v>0.03</v>
      </c>
      <c r="AC167" s="89">
        <v>5.5E-2</v>
      </c>
      <c r="AD167" s="89">
        <v>5.0000000000000001E-3</v>
      </c>
      <c r="AE167" s="89">
        <v>0.441</v>
      </c>
      <c r="AF167" s="89">
        <v>3.7999999999999999E-2</v>
      </c>
      <c r="AG167" s="89">
        <v>3.0000000000000001E-3</v>
      </c>
      <c r="AH167" s="89">
        <v>1.202</v>
      </c>
      <c r="AI167" s="89">
        <v>-8888</v>
      </c>
      <c r="AJ167" s="89">
        <v>7.0000000000000001E-3</v>
      </c>
      <c r="AK167" s="89">
        <v>4.7E-2</v>
      </c>
      <c r="AL167" s="89">
        <v>-8888</v>
      </c>
      <c r="AM167" s="89">
        <v>0.152</v>
      </c>
      <c r="AN167" s="89">
        <v>4.2999999999999997E-2</v>
      </c>
      <c r="AO167" s="89">
        <v>2E-3</v>
      </c>
      <c r="AP167" s="89">
        <v>5.0000000000000001E-3</v>
      </c>
      <c r="AQ167" s="89">
        <v>6.0000000000000001E-3</v>
      </c>
      <c r="AR167" s="89">
        <v>1.4E-2</v>
      </c>
      <c r="AS167" s="89">
        <v>2.1000000000000001E-2</v>
      </c>
      <c r="AT167" s="89">
        <v>-8888</v>
      </c>
      <c r="AU167" s="89">
        <v>-8888</v>
      </c>
      <c r="AV167" s="89">
        <v>1.4509999999999998</v>
      </c>
      <c r="AW167" s="89">
        <v>0.13900000000000001</v>
      </c>
      <c r="AX167" s="89">
        <v>0.51400000000000001</v>
      </c>
      <c r="AY167" s="89">
        <v>1.9649999999999999</v>
      </c>
      <c r="AZ167" s="89">
        <v>0.65300000000000002</v>
      </c>
      <c r="BA167" s="89">
        <v>0.89500000000000002</v>
      </c>
      <c r="BB167" s="89">
        <v>2.1040000000000001</v>
      </c>
      <c r="BC167" s="89">
        <v>0.59399999999999997</v>
      </c>
      <c r="BD167" s="160">
        <v>0.74</v>
      </c>
      <c r="BE167" s="160">
        <v>0.79</v>
      </c>
      <c r="BF167" s="160">
        <v>0.21</v>
      </c>
      <c r="BG167" s="160">
        <v>2.2200000000000002</v>
      </c>
      <c r="BH167" s="160">
        <v>7.0000000000000007E-2</v>
      </c>
      <c r="BI167" s="160">
        <v>0.93</v>
      </c>
      <c r="BJ167" s="160">
        <v>0.56999999999999995</v>
      </c>
      <c r="BL167" s="167"/>
    </row>
    <row r="168" spans="1:64" s="88" customFormat="1" ht="14.1" customHeight="1">
      <c r="A168" s="156" t="s">
        <v>433</v>
      </c>
      <c r="B168" s="165" t="s">
        <v>511</v>
      </c>
      <c r="C168" s="170" t="s">
        <v>840</v>
      </c>
      <c r="D168" s="165" t="s">
        <v>791</v>
      </c>
      <c r="E168" s="165" t="s">
        <v>170</v>
      </c>
      <c r="F168" s="165">
        <v>547</v>
      </c>
      <c r="G168" s="165">
        <v>20</v>
      </c>
      <c r="H168" s="165">
        <v>5</v>
      </c>
      <c r="I168" s="165">
        <v>29.8</v>
      </c>
      <c r="J168" s="165">
        <v>54</v>
      </c>
      <c r="K168" s="166" t="s">
        <v>514</v>
      </c>
      <c r="L168" s="165">
        <v>2025</v>
      </c>
      <c r="M168" s="165" t="s">
        <v>792</v>
      </c>
      <c r="N168" s="165">
        <v>28</v>
      </c>
      <c r="O168" s="181">
        <v>28</v>
      </c>
      <c r="P168" s="165" t="s">
        <v>841</v>
      </c>
      <c r="Q168" s="165">
        <v>-70.878</v>
      </c>
      <c r="R168" s="165">
        <v>40.859000000000002</v>
      </c>
      <c r="S168" s="165" t="s">
        <v>172</v>
      </c>
      <c r="T168" s="165">
        <v>25</v>
      </c>
      <c r="U168" s="166" t="s">
        <v>516</v>
      </c>
      <c r="V168" s="158">
        <v>2.3660000000000001</v>
      </c>
      <c r="W168" s="158">
        <v>8.2000000000000003E-2</v>
      </c>
      <c r="X168" s="158">
        <v>0.35699999999999998</v>
      </c>
      <c r="Y168" s="157">
        <v>7.1999999999999995E-2</v>
      </c>
      <c r="Z168" s="159">
        <v>1.4999999999999999E-2</v>
      </c>
      <c r="AA168" s="89">
        <v>4.3999999999999997E-2</v>
      </c>
      <c r="AB168" s="89">
        <v>2.8000000000000001E-2</v>
      </c>
      <c r="AC168" s="89">
        <v>8.6999999999999994E-2</v>
      </c>
      <c r="AD168" s="89">
        <v>8.9999999999999993E-3</v>
      </c>
      <c r="AE168" s="89">
        <v>0.82399999999999995</v>
      </c>
      <c r="AF168" s="89">
        <v>5.1999999999999998E-2</v>
      </c>
      <c r="AG168" s="89">
        <v>3.0000000000000001E-3</v>
      </c>
      <c r="AH168" s="89">
        <v>2.17</v>
      </c>
      <c r="AI168" s="89">
        <v>-8888</v>
      </c>
      <c r="AJ168" s="89">
        <v>0.19600000000000001</v>
      </c>
      <c r="AK168" s="89">
        <v>8.2000000000000003E-2</v>
      </c>
      <c r="AL168" s="89">
        <v>-8888</v>
      </c>
      <c r="AM168" s="89">
        <v>0.29499999999999998</v>
      </c>
      <c r="AN168" s="89">
        <v>6.2E-2</v>
      </c>
      <c r="AO168" s="89">
        <v>3.0000000000000001E-3</v>
      </c>
      <c r="AP168" s="89">
        <v>0.01</v>
      </c>
      <c r="AQ168" s="89">
        <v>8.9999999999999993E-3</v>
      </c>
      <c r="AR168" s="89">
        <v>2.7E-2</v>
      </c>
      <c r="AS168" s="89">
        <v>6.6000000000000003E-2</v>
      </c>
      <c r="AT168" s="89">
        <v>-8888</v>
      </c>
      <c r="AU168" s="89">
        <v>-8888</v>
      </c>
      <c r="AV168" s="89">
        <v>2.8049999999999997</v>
      </c>
      <c r="AW168" s="89">
        <v>0.19899999999999995</v>
      </c>
      <c r="AX168" s="89">
        <v>0.93500000000000005</v>
      </c>
      <c r="AY168" s="89">
        <v>3.7399999999999998</v>
      </c>
      <c r="AZ168" s="89">
        <v>1.1339999999999999</v>
      </c>
      <c r="BA168" s="89">
        <v>1.573</v>
      </c>
      <c r="BB168" s="89">
        <v>3.9390000000000001</v>
      </c>
      <c r="BC168" s="89">
        <v>1.048</v>
      </c>
      <c r="BD168" s="160">
        <v>0.66</v>
      </c>
      <c r="BE168" s="160">
        <v>0.82</v>
      </c>
      <c r="BF168" s="160">
        <v>0.18</v>
      </c>
      <c r="BG168" s="160">
        <v>2.4700000000000002</v>
      </c>
      <c r="BH168" s="160">
        <v>0.05</v>
      </c>
      <c r="BI168" s="160">
        <v>0.95</v>
      </c>
      <c r="BJ168" s="160">
        <v>0.6</v>
      </c>
      <c r="BL168" s="171" t="s">
        <v>842</v>
      </c>
    </row>
    <row r="169" spans="1:64" s="88" customFormat="1" ht="14.1" customHeight="1">
      <c r="A169" s="156" t="s">
        <v>434</v>
      </c>
      <c r="B169" s="165" t="s">
        <v>511</v>
      </c>
      <c r="C169" s="165" t="s">
        <v>843</v>
      </c>
      <c r="D169" s="165" t="s">
        <v>791</v>
      </c>
      <c r="E169" s="165" t="s">
        <v>170</v>
      </c>
      <c r="F169" s="165">
        <v>548</v>
      </c>
      <c r="G169" s="165">
        <v>20</v>
      </c>
      <c r="H169" s="165">
        <v>12</v>
      </c>
      <c r="I169" s="165">
        <v>5.6</v>
      </c>
      <c r="J169" s="165">
        <v>54</v>
      </c>
      <c r="K169" s="166" t="s">
        <v>514</v>
      </c>
      <c r="L169" s="165">
        <v>2025</v>
      </c>
      <c r="M169" s="165" t="s">
        <v>792</v>
      </c>
      <c r="N169" s="165">
        <v>28</v>
      </c>
      <c r="O169" s="181">
        <v>28</v>
      </c>
      <c r="P169" s="165" t="s">
        <v>844</v>
      </c>
      <c r="Q169" s="165">
        <v>-70.876999999999995</v>
      </c>
      <c r="R169" s="165">
        <v>40.856999999999999</v>
      </c>
      <c r="S169" s="165" t="s">
        <v>172</v>
      </c>
      <c r="T169" s="165">
        <v>25</v>
      </c>
      <c r="U169" s="166" t="s">
        <v>516</v>
      </c>
      <c r="V169" s="158">
        <v>2.5169999999999999</v>
      </c>
      <c r="W169" s="158">
        <v>8.3000000000000004E-2</v>
      </c>
      <c r="X169" s="158">
        <v>0.38500000000000001</v>
      </c>
      <c r="Y169" s="157">
        <v>7.0999999999999994E-2</v>
      </c>
      <c r="Z169" s="159">
        <v>1.4999999999999999E-2</v>
      </c>
      <c r="AA169" s="89">
        <v>4.5999999999999999E-2</v>
      </c>
      <c r="AB169" s="89">
        <v>2.7E-2</v>
      </c>
      <c r="AC169" s="89">
        <v>9.8000000000000004E-2</v>
      </c>
      <c r="AD169" s="89">
        <v>0.01</v>
      </c>
      <c r="AE169" s="89">
        <v>0.91700000000000004</v>
      </c>
      <c r="AF169" s="89">
        <v>6.5000000000000002E-2</v>
      </c>
      <c r="AG169" s="89">
        <v>4.0000000000000001E-3</v>
      </c>
      <c r="AH169" s="89">
        <v>2.25</v>
      </c>
      <c r="AI169" s="89">
        <v>-8888</v>
      </c>
      <c r="AJ169" s="89">
        <v>0.26700000000000002</v>
      </c>
      <c r="AK169" s="89">
        <v>8.3000000000000004E-2</v>
      </c>
      <c r="AL169" s="89">
        <v>-8888</v>
      </c>
      <c r="AM169" s="89">
        <v>0.31900000000000001</v>
      </c>
      <c r="AN169" s="89">
        <v>6.6000000000000003E-2</v>
      </c>
      <c r="AO169" s="89">
        <v>3.0000000000000001E-3</v>
      </c>
      <c r="AP169" s="89">
        <v>8.9999999999999993E-3</v>
      </c>
      <c r="AQ169" s="89">
        <v>8.9999999999999993E-3</v>
      </c>
      <c r="AR169" s="89">
        <v>2.7E-2</v>
      </c>
      <c r="AS169" s="89">
        <v>7.0000000000000007E-2</v>
      </c>
      <c r="AT169" s="89">
        <v>1.4E-2</v>
      </c>
      <c r="AU169" s="89">
        <v>-8888</v>
      </c>
      <c r="AV169" s="89">
        <v>2.9850000000000003</v>
      </c>
      <c r="AW169" s="89">
        <v>0.21000000000000002</v>
      </c>
      <c r="AX169" s="89">
        <v>1.0430000000000001</v>
      </c>
      <c r="AY169" s="89">
        <v>4.0280000000000005</v>
      </c>
      <c r="AZ169" s="89">
        <v>1.2530000000000001</v>
      </c>
      <c r="BA169" s="89">
        <v>1.7210000000000001</v>
      </c>
      <c r="BB169" s="89">
        <v>4.2379999999999995</v>
      </c>
      <c r="BC169" s="89">
        <v>1.1570000000000003</v>
      </c>
      <c r="BD169" s="160">
        <v>0.68</v>
      </c>
      <c r="BE169" s="160">
        <v>0.83</v>
      </c>
      <c r="BF169" s="160">
        <v>0.17</v>
      </c>
      <c r="BG169" s="160">
        <v>2.38</v>
      </c>
      <c r="BH169" s="160">
        <v>0.05</v>
      </c>
      <c r="BI169" s="160">
        <v>0.95</v>
      </c>
      <c r="BJ169" s="160">
        <v>0.59</v>
      </c>
      <c r="BL169" s="167"/>
    </row>
    <row r="170" spans="1:64" s="88" customFormat="1" ht="14.1" customHeight="1">
      <c r="A170" s="156" t="s">
        <v>435</v>
      </c>
      <c r="B170" s="165" t="s">
        <v>511</v>
      </c>
      <c r="C170" s="165" t="s">
        <v>845</v>
      </c>
      <c r="D170" s="165" t="s">
        <v>791</v>
      </c>
      <c r="E170" s="165" t="s">
        <v>170</v>
      </c>
      <c r="F170" s="165">
        <v>547</v>
      </c>
      <c r="G170" s="165">
        <v>21</v>
      </c>
      <c r="H170" s="165">
        <v>2</v>
      </c>
      <c r="I170" s="165">
        <v>18.2</v>
      </c>
      <c r="J170" s="165">
        <v>22</v>
      </c>
      <c r="K170" s="166" t="s">
        <v>514</v>
      </c>
      <c r="L170" s="165">
        <v>2025</v>
      </c>
      <c r="M170" s="165" t="s">
        <v>792</v>
      </c>
      <c r="N170" s="165">
        <v>28</v>
      </c>
      <c r="O170" s="181">
        <v>28</v>
      </c>
      <c r="P170" s="165" t="s">
        <v>846</v>
      </c>
      <c r="Q170" s="165">
        <v>-70.570999999999998</v>
      </c>
      <c r="R170" s="165">
        <v>41.296999999999997</v>
      </c>
      <c r="S170" s="165" t="s">
        <v>172</v>
      </c>
      <c r="T170" s="165">
        <v>25</v>
      </c>
      <c r="U170" s="166" t="s">
        <v>516</v>
      </c>
      <c r="V170" s="158">
        <v>2.3159999999999998</v>
      </c>
      <c r="W170" s="158">
        <v>7.9000000000000001E-2</v>
      </c>
      <c r="X170" s="158">
        <v>0.33299999999999996</v>
      </c>
      <c r="Y170" s="157">
        <v>8.5000000000000006E-2</v>
      </c>
      <c r="Z170" s="159">
        <v>-8888</v>
      </c>
      <c r="AA170" s="89">
        <v>2.1000000000000001E-2</v>
      </c>
      <c r="AB170" s="89">
        <v>6.9000000000000006E-2</v>
      </c>
      <c r="AC170" s="89">
        <v>0.158</v>
      </c>
      <c r="AD170" s="89">
        <v>2.9000000000000001E-2</v>
      </c>
      <c r="AE170" s="89">
        <v>0.86499999999999999</v>
      </c>
      <c r="AF170" s="89">
        <v>4.9000000000000002E-2</v>
      </c>
      <c r="AG170" s="89">
        <v>8.9999999999999993E-3</v>
      </c>
      <c r="AH170" s="89">
        <v>2.109</v>
      </c>
      <c r="AI170" s="89">
        <v>-8888</v>
      </c>
      <c r="AJ170" s="89">
        <v>0.20699999999999999</v>
      </c>
      <c r="AK170" s="89">
        <v>7.9000000000000001E-2</v>
      </c>
      <c r="AL170" s="89">
        <v>-8888</v>
      </c>
      <c r="AM170" s="89">
        <v>0.30199999999999999</v>
      </c>
      <c r="AN170" s="89">
        <v>3.1E-2</v>
      </c>
      <c r="AO170" s="89">
        <v>6.0000000000000001E-3</v>
      </c>
      <c r="AP170" s="89">
        <v>1.0999999999999999E-2</v>
      </c>
      <c r="AQ170" s="89">
        <v>1.4999999999999999E-2</v>
      </c>
      <c r="AR170" s="89">
        <v>5.5E-2</v>
      </c>
      <c r="AS170" s="89">
        <v>0.23200000000000001</v>
      </c>
      <c r="AT170" s="89">
        <v>2.1000000000000001E-2</v>
      </c>
      <c r="AU170" s="89">
        <v>-8888</v>
      </c>
      <c r="AV170" s="89">
        <v>2.7279999999999998</v>
      </c>
      <c r="AW170" s="89">
        <v>0.35000000000000003</v>
      </c>
      <c r="AX170" s="89">
        <v>0.93500000000000005</v>
      </c>
      <c r="AY170" s="89">
        <v>3.6629999999999998</v>
      </c>
      <c r="AZ170" s="89">
        <v>1.2850000000000001</v>
      </c>
      <c r="BA170" s="89">
        <v>1.6970000000000001</v>
      </c>
      <c r="BB170" s="89">
        <v>4.0129999999999999</v>
      </c>
      <c r="BC170" s="89">
        <v>1.0920000000000001</v>
      </c>
      <c r="BD170" s="160">
        <v>0.73</v>
      </c>
      <c r="BE170" s="160">
        <v>0.73</v>
      </c>
      <c r="BF170" s="160">
        <v>0.27</v>
      </c>
      <c r="BG170" s="160">
        <v>2.12</v>
      </c>
      <c r="BH170" s="160">
        <v>0.09</v>
      </c>
      <c r="BI170" s="160">
        <v>0.91</v>
      </c>
      <c r="BJ170" s="160">
        <v>0.57999999999999996</v>
      </c>
      <c r="BL170" s="167"/>
    </row>
    <row r="171" spans="1:64" s="88" customFormat="1" ht="14.1" customHeight="1">
      <c r="A171" s="156" t="s">
        <v>436</v>
      </c>
      <c r="B171" s="165" t="s">
        <v>511</v>
      </c>
      <c r="C171" s="165" t="s">
        <v>847</v>
      </c>
      <c r="D171" s="165" t="s">
        <v>791</v>
      </c>
      <c r="E171" s="165" t="s">
        <v>170</v>
      </c>
      <c r="F171" s="165">
        <v>548</v>
      </c>
      <c r="G171" s="165">
        <v>21</v>
      </c>
      <c r="H171" s="165">
        <v>5</v>
      </c>
      <c r="I171" s="165">
        <v>5.3</v>
      </c>
      <c r="J171" s="165">
        <v>22</v>
      </c>
      <c r="K171" s="166" t="s">
        <v>514</v>
      </c>
      <c r="L171" s="165">
        <v>2025</v>
      </c>
      <c r="M171" s="165" t="s">
        <v>792</v>
      </c>
      <c r="N171" s="165">
        <v>28</v>
      </c>
      <c r="O171" s="181">
        <v>28</v>
      </c>
      <c r="P171" s="165" t="s">
        <v>848</v>
      </c>
      <c r="Q171" s="165">
        <v>-70.570999999999998</v>
      </c>
      <c r="R171" s="165">
        <v>41.296999999999997</v>
      </c>
      <c r="S171" s="165" t="s">
        <v>172</v>
      </c>
      <c r="T171" s="165">
        <v>25</v>
      </c>
      <c r="U171" s="166" t="s">
        <v>516</v>
      </c>
      <c r="V171" s="158">
        <v>2.37</v>
      </c>
      <c r="W171" s="158">
        <v>8.3000000000000004E-2</v>
      </c>
      <c r="X171" s="158">
        <v>0.34499999999999997</v>
      </c>
      <c r="Y171" s="157">
        <v>8.8999999999999996E-2</v>
      </c>
      <c r="Z171" s="159">
        <v>-8888</v>
      </c>
      <c r="AA171" s="89">
        <v>1.9E-2</v>
      </c>
      <c r="AB171" s="89">
        <v>6.8000000000000005E-2</v>
      </c>
      <c r="AC171" s="89">
        <v>0.16500000000000001</v>
      </c>
      <c r="AD171" s="89">
        <v>0.03</v>
      </c>
      <c r="AE171" s="89">
        <v>0.88600000000000001</v>
      </c>
      <c r="AF171" s="89">
        <v>4.8000000000000001E-2</v>
      </c>
      <c r="AG171" s="89">
        <v>1.2E-2</v>
      </c>
      <c r="AH171" s="89">
        <v>2.1920000000000002</v>
      </c>
      <c r="AI171" s="89">
        <v>-8888</v>
      </c>
      <c r="AJ171" s="89">
        <v>0.17799999999999999</v>
      </c>
      <c r="AK171" s="89">
        <v>8.3000000000000004E-2</v>
      </c>
      <c r="AL171" s="89">
        <v>-8888</v>
      </c>
      <c r="AM171" s="89">
        <v>0.311</v>
      </c>
      <c r="AN171" s="89">
        <v>3.4000000000000002E-2</v>
      </c>
      <c r="AO171" s="89">
        <v>7.0000000000000001E-3</v>
      </c>
      <c r="AP171" s="89">
        <v>1.0999999999999999E-2</v>
      </c>
      <c r="AQ171" s="89">
        <v>1.6E-2</v>
      </c>
      <c r="AR171" s="89">
        <v>6.0999999999999999E-2</v>
      </c>
      <c r="AS171" s="89">
        <v>0.255</v>
      </c>
      <c r="AT171" s="89">
        <v>2.1999999999999999E-2</v>
      </c>
      <c r="AU171" s="89">
        <v>-8888</v>
      </c>
      <c r="AV171" s="89">
        <v>2.798</v>
      </c>
      <c r="AW171" s="89">
        <v>0.36399999999999999</v>
      </c>
      <c r="AX171" s="89">
        <v>0.95300000000000007</v>
      </c>
      <c r="AY171" s="89">
        <v>3.7510000000000003</v>
      </c>
      <c r="AZ171" s="89">
        <v>1.3170000000000002</v>
      </c>
      <c r="BA171" s="89">
        <v>1.7450000000000001</v>
      </c>
      <c r="BB171" s="89">
        <v>4.1150000000000002</v>
      </c>
      <c r="BC171" s="89">
        <v>1.1160000000000001</v>
      </c>
      <c r="BD171" s="160">
        <v>0.74</v>
      </c>
      <c r="BE171" s="160">
        <v>0.72</v>
      </c>
      <c r="BF171" s="160">
        <v>0.28000000000000003</v>
      </c>
      <c r="BG171" s="160">
        <v>2.12</v>
      </c>
      <c r="BH171" s="160">
        <v>0.09</v>
      </c>
      <c r="BI171" s="160">
        <v>0.91</v>
      </c>
      <c r="BJ171" s="160">
        <v>0.57999999999999996</v>
      </c>
      <c r="BL171" s="167"/>
    </row>
    <row r="172" spans="1:64" s="88" customFormat="1" ht="14.1" customHeight="1">
      <c r="A172" s="156" t="s">
        <v>437</v>
      </c>
      <c r="B172" s="169" t="s">
        <v>511</v>
      </c>
      <c r="C172" s="169" t="s">
        <v>849</v>
      </c>
      <c r="D172" s="169" t="s">
        <v>850</v>
      </c>
      <c r="E172" s="169" t="s">
        <v>170</v>
      </c>
      <c r="F172" s="169">
        <v>547</v>
      </c>
      <c r="G172" s="169">
        <v>1</v>
      </c>
      <c r="H172" s="169">
        <v>7</v>
      </c>
      <c r="I172" s="165">
        <v>8</v>
      </c>
      <c r="J172" s="165">
        <v>21</v>
      </c>
      <c r="K172" s="166" t="s">
        <v>514</v>
      </c>
      <c r="L172" s="165">
        <v>2025</v>
      </c>
      <c r="M172" s="165" t="s">
        <v>851</v>
      </c>
      <c r="N172" s="165">
        <v>24</v>
      </c>
      <c r="O172" s="181">
        <v>114</v>
      </c>
      <c r="P172" s="165" t="s">
        <v>852</v>
      </c>
      <c r="Q172" s="165">
        <v>-70.882999999999996</v>
      </c>
      <c r="R172" s="165">
        <v>41.198</v>
      </c>
      <c r="S172" s="165" t="s">
        <v>172</v>
      </c>
      <c r="T172" s="165">
        <v>25</v>
      </c>
      <c r="U172" s="166" t="s">
        <v>516</v>
      </c>
      <c r="V172" s="158">
        <v>0.36299999999999999</v>
      </c>
      <c r="W172" s="158">
        <v>1.4999999999999999E-2</v>
      </c>
      <c r="X172" s="158">
        <v>4.3999999999999997E-2</v>
      </c>
      <c r="Y172" s="157">
        <v>1.4999999999999999E-2</v>
      </c>
      <c r="Z172" s="159">
        <v>-8888</v>
      </c>
      <c r="AA172" s="89">
        <v>4.0000000000000001E-3</v>
      </c>
      <c r="AB172" s="89">
        <v>1.0999999999999999E-2</v>
      </c>
      <c r="AC172" s="89">
        <v>2.5999999999999999E-2</v>
      </c>
      <c r="AD172" s="89">
        <v>6.0000000000000001E-3</v>
      </c>
      <c r="AE172" s="89">
        <v>0.123</v>
      </c>
      <c r="AF172" s="89">
        <v>6.0000000000000001E-3</v>
      </c>
      <c r="AG172" s="89">
        <v>4.2000000000000003E-2</v>
      </c>
      <c r="AH172" s="89">
        <v>0.35699999999999998</v>
      </c>
      <c r="AI172" s="89">
        <v>-8888</v>
      </c>
      <c r="AJ172" s="89">
        <v>6.0000000000000001E-3</v>
      </c>
      <c r="AK172" s="89">
        <v>1.4999999999999999E-2</v>
      </c>
      <c r="AL172" s="89">
        <v>-8888</v>
      </c>
      <c r="AM172" s="89">
        <v>3.9E-2</v>
      </c>
      <c r="AN172" s="89">
        <v>5.0000000000000001E-3</v>
      </c>
      <c r="AO172" s="89">
        <v>-8888</v>
      </c>
      <c r="AP172" s="89">
        <v>2E-3</v>
      </c>
      <c r="AQ172" s="89">
        <v>4.0000000000000001E-3</v>
      </c>
      <c r="AR172" s="89">
        <v>1.4999999999999999E-2</v>
      </c>
      <c r="AS172" s="89">
        <v>1.4E-2</v>
      </c>
      <c r="AT172" s="89">
        <v>4.0000000000000001E-3</v>
      </c>
      <c r="AU172" s="89">
        <v>-8888</v>
      </c>
      <c r="AV172" s="89">
        <v>0.42199999999999999</v>
      </c>
      <c r="AW172" s="89">
        <v>9.9999999999999992E-2</v>
      </c>
      <c r="AX172" s="89">
        <v>0.13300000000000001</v>
      </c>
      <c r="AY172" s="89">
        <v>0.55499999999999994</v>
      </c>
      <c r="AZ172" s="89">
        <v>0.23299999999999998</v>
      </c>
      <c r="BA172" s="89">
        <v>0.29199999999999998</v>
      </c>
      <c r="BB172" s="89">
        <v>0.65500000000000003</v>
      </c>
      <c r="BC172" s="89">
        <v>0.20100000000000001</v>
      </c>
      <c r="BD172" s="160">
        <v>0.8</v>
      </c>
      <c r="BE172" s="160">
        <v>0.56999999999999995</v>
      </c>
      <c r="BF172" s="160">
        <v>0.43</v>
      </c>
      <c r="BG172" s="160">
        <v>1.81</v>
      </c>
      <c r="BH172" s="160">
        <v>0.15</v>
      </c>
      <c r="BI172" s="160">
        <v>0.85</v>
      </c>
      <c r="BJ172" s="160">
        <v>0.55000000000000004</v>
      </c>
      <c r="BL172" s="167"/>
    </row>
    <row r="173" spans="1:64" s="88" customFormat="1" ht="14.1" customHeight="1">
      <c r="A173" s="156" t="s">
        <v>438</v>
      </c>
      <c r="B173" s="169" t="s">
        <v>511</v>
      </c>
      <c r="C173" s="169" t="s">
        <v>853</v>
      </c>
      <c r="D173" s="169" t="s">
        <v>850</v>
      </c>
      <c r="E173" s="169" t="s">
        <v>170</v>
      </c>
      <c r="F173" s="169">
        <v>548</v>
      </c>
      <c r="G173" s="169">
        <v>1</v>
      </c>
      <c r="H173" s="169">
        <v>14</v>
      </c>
      <c r="I173" s="165">
        <v>2.2999999999999998</v>
      </c>
      <c r="J173" s="165">
        <v>21</v>
      </c>
      <c r="K173" s="166" t="s">
        <v>514</v>
      </c>
      <c r="L173" s="165">
        <v>2025</v>
      </c>
      <c r="M173" s="165" t="s">
        <v>851</v>
      </c>
      <c r="N173" s="165">
        <v>24</v>
      </c>
      <c r="O173" s="181">
        <v>114</v>
      </c>
      <c r="P173" s="165" t="s">
        <v>854</v>
      </c>
      <c r="Q173" s="165">
        <v>-70.882999999999996</v>
      </c>
      <c r="R173" s="165">
        <v>41.198</v>
      </c>
      <c r="S173" s="165" t="s">
        <v>172</v>
      </c>
      <c r="T173" s="165">
        <v>25</v>
      </c>
      <c r="U173" s="166" t="s">
        <v>516</v>
      </c>
      <c r="V173" s="158">
        <v>0.33400000000000002</v>
      </c>
      <c r="W173" s="158">
        <v>1.2E-2</v>
      </c>
      <c r="X173" s="158">
        <v>3.8000000000000006E-2</v>
      </c>
      <c r="Y173" s="157">
        <v>1.2999999999999999E-2</v>
      </c>
      <c r="Z173" s="159">
        <v>3.0000000000000001E-3</v>
      </c>
      <c r="AA173" s="89">
        <v>3.0000000000000001E-3</v>
      </c>
      <c r="AB173" s="89">
        <v>6.0000000000000001E-3</v>
      </c>
      <c r="AC173" s="89">
        <v>2.1999999999999999E-2</v>
      </c>
      <c r="AD173" s="89">
        <v>0.01</v>
      </c>
      <c r="AE173" s="89">
        <v>0.11700000000000001</v>
      </c>
      <c r="AF173" s="89">
        <v>5.0000000000000001E-3</v>
      </c>
      <c r="AG173" s="89">
        <v>3.9E-2</v>
      </c>
      <c r="AH173" s="89">
        <v>0.32900000000000001</v>
      </c>
      <c r="AI173" s="89">
        <v>-8888</v>
      </c>
      <c r="AJ173" s="89">
        <v>5.0000000000000001E-3</v>
      </c>
      <c r="AK173" s="89">
        <v>1.2E-2</v>
      </c>
      <c r="AL173" s="89">
        <v>-8888</v>
      </c>
      <c r="AM173" s="89">
        <v>3.5000000000000003E-2</v>
      </c>
      <c r="AN173" s="89">
        <v>3.0000000000000001E-3</v>
      </c>
      <c r="AO173" s="89">
        <v>-8888</v>
      </c>
      <c r="AP173" s="89">
        <v>1E-3</v>
      </c>
      <c r="AQ173" s="89">
        <v>3.0000000000000001E-3</v>
      </c>
      <c r="AR173" s="89">
        <v>8.9999999999999993E-3</v>
      </c>
      <c r="AS173" s="89">
        <v>6.0000000000000001E-3</v>
      </c>
      <c r="AT173" s="89">
        <v>3.0000000000000001E-3</v>
      </c>
      <c r="AU173" s="89">
        <v>-8888</v>
      </c>
      <c r="AV173" s="89">
        <v>0.38400000000000001</v>
      </c>
      <c r="AW173" s="89">
        <v>0.09</v>
      </c>
      <c r="AX173" s="89">
        <v>0.128</v>
      </c>
      <c r="AY173" s="89">
        <v>0.51200000000000001</v>
      </c>
      <c r="AZ173" s="89">
        <v>0.218</v>
      </c>
      <c r="BA173" s="89">
        <v>0.26800000000000002</v>
      </c>
      <c r="BB173" s="89">
        <v>0.60200000000000009</v>
      </c>
      <c r="BC173" s="89">
        <v>0.185</v>
      </c>
      <c r="BD173" s="160">
        <v>0.8</v>
      </c>
      <c r="BE173" s="160">
        <v>0.59</v>
      </c>
      <c r="BF173" s="160">
        <v>0.41</v>
      </c>
      <c r="BG173" s="160">
        <v>1.76</v>
      </c>
      <c r="BH173" s="160">
        <v>0.15</v>
      </c>
      <c r="BI173" s="160">
        <v>0.85</v>
      </c>
      <c r="BJ173" s="160">
        <v>0.55000000000000004</v>
      </c>
      <c r="BL173" s="167"/>
    </row>
    <row r="174" spans="1:64" s="88" customFormat="1" ht="14.1" customHeight="1">
      <c r="A174" s="156" t="s">
        <v>439</v>
      </c>
      <c r="B174" s="169" t="s">
        <v>511</v>
      </c>
      <c r="C174" s="169" t="s">
        <v>855</v>
      </c>
      <c r="D174" s="169" t="s">
        <v>850</v>
      </c>
      <c r="E174" s="169" t="s">
        <v>170</v>
      </c>
      <c r="F174" s="169">
        <v>532</v>
      </c>
      <c r="G174" s="169">
        <v>2</v>
      </c>
      <c r="H174" s="169">
        <v>5</v>
      </c>
      <c r="I174" s="165">
        <v>33.299999999999997</v>
      </c>
      <c r="J174" s="165">
        <v>66</v>
      </c>
      <c r="K174" s="166" t="s">
        <v>514</v>
      </c>
      <c r="L174" s="165">
        <v>2025</v>
      </c>
      <c r="M174" s="165" t="s">
        <v>851</v>
      </c>
      <c r="N174" s="165">
        <v>25</v>
      </c>
      <c r="O174" s="181">
        <v>115</v>
      </c>
      <c r="P174" s="165" t="s">
        <v>856</v>
      </c>
      <c r="Q174" s="165">
        <v>-70.881</v>
      </c>
      <c r="R174" s="165">
        <v>40.695999999999998</v>
      </c>
      <c r="S174" s="165" t="s">
        <v>172</v>
      </c>
      <c r="T174" s="165">
        <v>25</v>
      </c>
      <c r="U174" s="166" t="s">
        <v>516</v>
      </c>
      <c r="V174" s="158">
        <v>4.0750000000000002</v>
      </c>
      <c r="W174" s="158">
        <v>1.851</v>
      </c>
      <c r="X174" s="158">
        <v>0.254</v>
      </c>
      <c r="Y174" s="157">
        <v>0.18</v>
      </c>
      <c r="Z174" s="159">
        <v>1.2E-2</v>
      </c>
      <c r="AA174" s="89">
        <v>0.04</v>
      </c>
      <c r="AB174" s="89">
        <v>0.23200000000000001</v>
      </c>
      <c r="AC174" s="89">
        <v>0.51700000000000002</v>
      </c>
      <c r="AD174" s="89">
        <v>0.106</v>
      </c>
      <c r="AE174" s="89">
        <v>0.224</v>
      </c>
      <c r="AF174" s="89">
        <v>3.4000000000000002E-2</v>
      </c>
      <c r="AG174" s="89">
        <v>2.5000000000000001E-2</v>
      </c>
      <c r="AH174" s="89">
        <v>4.0209999999999999</v>
      </c>
      <c r="AI174" s="89">
        <v>-8888</v>
      </c>
      <c r="AJ174" s="89">
        <v>5.3999999999999999E-2</v>
      </c>
      <c r="AK174" s="89">
        <v>1.851</v>
      </c>
      <c r="AL174" s="89">
        <v>-8888</v>
      </c>
      <c r="AM174" s="89">
        <v>0.19600000000000001</v>
      </c>
      <c r="AN174" s="89">
        <v>5.8000000000000003E-2</v>
      </c>
      <c r="AO174" s="89">
        <v>1.4999999999999999E-2</v>
      </c>
      <c r="AP174" s="89">
        <v>0.193</v>
      </c>
      <c r="AQ174" s="89">
        <v>1.9E-2</v>
      </c>
      <c r="AR174" s="89">
        <v>3.4000000000000002E-2</v>
      </c>
      <c r="AS174" s="89">
        <v>0.108</v>
      </c>
      <c r="AT174" s="89">
        <v>3.9E-2</v>
      </c>
      <c r="AU174" s="89">
        <v>-8888</v>
      </c>
      <c r="AV174" s="89">
        <v>6.18</v>
      </c>
      <c r="AW174" s="89">
        <v>1.06</v>
      </c>
      <c r="AX174" s="89">
        <v>0.31000000000000005</v>
      </c>
      <c r="AY174" s="89">
        <v>6.49</v>
      </c>
      <c r="AZ174" s="89">
        <v>1.37</v>
      </c>
      <c r="BA174" s="89">
        <v>3.4750000000000001</v>
      </c>
      <c r="BB174" s="89">
        <v>7.5500000000000007</v>
      </c>
      <c r="BC174" s="89">
        <v>2.4180000000000001</v>
      </c>
      <c r="BD174" s="160">
        <v>0.85</v>
      </c>
      <c r="BE174" s="160">
        <v>0.23</v>
      </c>
      <c r="BF174" s="160">
        <v>0.77</v>
      </c>
      <c r="BG174" s="160">
        <v>4.51</v>
      </c>
      <c r="BH174" s="160">
        <v>0.14000000000000001</v>
      </c>
      <c r="BI174" s="160">
        <v>0.86</v>
      </c>
      <c r="BJ174" s="160">
        <v>0.54</v>
      </c>
      <c r="BL174" s="167"/>
    </row>
    <row r="175" spans="1:64" s="88" customFormat="1" ht="14.1" customHeight="1">
      <c r="A175" s="156" t="s">
        <v>440</v>
      </c>
      <c r="B175" s="169" t="s">
        <v>511</v>
      </c>
      <c r="C175" s="169" t="s">
        <v>857</v>
      </c>
      <c r="D175" s="169" t="s">
        <v>850</v>
      </c>
      <c r="E175" s="169" t="s">
        <v>170</v>
      </c>
      <c r="F175" s="169">
        <v>547</v>
      </c>
      <c r="G175" s="169">
        <v>2</v>
      </c>
      <c r="H175" s="169">
        <v>13</v>
      </c>
      <c r="I175" s="165">
        <v>10.4</v>
      </c>
      <c r="J175" s="165">
        <v>66</v>
      </c>
      <c r="K175" s="166" t="s">
        <v>514</v>
      </c>
      <c r="L175" s="165">
        <v>2025</v>
      </c>
      <c r="M175" s="165" t="s">
        <v>851</v>
      </c>
      <c r="N175" s="165">
        <v>25</v>
      </c>
      <c r="O175" s="181">
        <v>115</v>
      </c>
      <c r="P175" s="165" t="s">
        <v>858</v>
      </c>
      <c r="Q175" s="165">
        <v>-70.881</v>
      </c>
      <c r="R175" s="165">
        <v>40.695999999999998</v>
      </c>
      <c r="S175" s="165" t="s">
        <v>172</v>
      </c>
      <c r="T175" s="165">
        <v>25</v>
      </c>
      <c r="U175" s="166" t="s">
        <v>516</v>
      </c>
      <c r="V175" s="158">
        <v>2.4139999999999997</v>
      </c>
      <c r="W175" s="158">
        <v>1.18</v>
      </c>
      <c r="X175" s="158">
        <v>0.158</v>
      </c>
      <c r="Y175" s="157">
        <v>0.10299999999999999</v>
      </c>
      <c r="Z175" s="159">
        <v>5.0000000000000001E-3</v>
      </c>
      <c r="AA175" s="89">
        <v>5.6000000000000001E-2</v>
      </c>
      <c r="AB175" s="89">
        <v>8.8999999999999996E-2</v>
      </c>
      <c r="AC175" s="89">
        <v>0.32700000000000001</v>
      </c>
      <c r="AD175" s="89">
        <v>5.3999999999999999E-2</v>
      </c>
      <c r="AE175" s="89">
        <v>0.14499999999999999</v>
      </c>
      <c r="AF175" s="89">
        <v>6.6000000000000003E-2</v>
      </c>
      <c r="AG175" s="89">
        <v>2.5999999999999999E-2</v>
      </c>
      <c r="AH175" s="89">
        <v>2.3839999999999999</v>
      </c>
      <c r="AI175" s="89">
        <v>-8888</v>
      </c>
      <c r="AJ175" s="89">
        <v>0.03</v>
      </c>
      <c r="AK175" s="89">
        <v>1.18</v>
      </c>
      <c r="AL175" s="89">
        <v>-8888</v>
      </c>
      <c r="AM175" s="89">
        <v>0.11799999999999999</v>
      </c>
      <c r="AN175" s="89">
        <v>0.04</v>
      </c>
      <c r="AO175" s="89">
        <v>8.9999999999999993E-3</v>
      </c>
      <c r="AP175" s="89">
        <v>0.11899999999999999</v>
      </c>
      <c r="AQ175" s="89">
        <v>1.4E-2</v>
      </c>
      <c r="AR175" s="89">
        <v>2.1000000000000001E-2</v>
      </c>
      <c r="AS175" s="89">
        <v>4.7E-2</v>
      </c>
      <c r="AT175" s="89">
        <v>4.4999999999999998E-2</v>
      </c>
      <c r="AU175" s="89">
        <v>-8888</v>
      </c>
      <c r="AV175" s="89">
        <v>3.7519999999999993</v>
      </c>
      <c r="AW175" s="89">
        <v>0.59900000000000009</v>
      </c>
      <c r="AX175" s="89">
        <v>0.27200000000000002</v>
      </c>
      <c r="AY175" s="89">
        <v>4.0239999999999991</v>
      </c>
      <c r="AZ175" s="89">
        <v>0.87100000000000011</v>
      </c>
      <c r="BA175" s="89">
        <v>2.2090000000000001</v>
      </c>
      <c r="BB175" s="89">
        <v>4.6229999999999993</v>
      </c>
      <c r="BC175" s="89">
        <v>1.5669999999999999</v>
      </c>
      <c r="BD175" s="160">
        <v>0.92</v>
      </c>
      <c r="BE175" s="160">
        <v>0.31</v>
      </c>
      <c r="BF175" s="160">
        <v>0.69</v>
      </c>
      <c r="BG175" s="160">
        <v>4.3099999999999996</v>
      </c>
      <c r="BH175" s="160">
        <v>0.13</v>
      </c>
      <c r="BI175" s="160">
        <v>0.87</v>
      </c>
      <c r="BJ175" s="160">
        <v>0.52</v>
      </c>
      <c r="BL175" s="167"/>
    </row>
    <row r="176" spans="1:64" s="88" customFormat="1" ht="14.1" customHeight="1">
      <c r="A176" s="156" t="s">
        <v>441</v>
      </c>
      <c r="B176" s="169" t="s">
        <v>511</v>
      </c>
      <c r="C176" s="169" t="s">
        <v>859</v>
      </c>
      <c r="D176" s="169" t="s">
        <v>850</v>
      </c>
      <c r="E176" s="169" t="s">
        <v>170</v>
      </c>
      <c r="F176" s="169">
        <v>548</v>
      </c>
      <c r="G176" s="169">
        <v>2</v>
      </c>
      <c r="H176" s="169">
        <v>16</v>
      </c>
      <c r="I176" s="165">
        <v>1.8</v>
      </c>
      <c r="J176" s="165">
        <v>66</v>
      </c>
      <c r="K176" s="166" t="s">
        <v>514</v>
      </c>
      <c r="L176" s="165">
        <v>2025</v>
      </c>
      <c r="M176" s="165" t="s">
        <v>851</v>
      </c>
      <c r="N176" s="165">
        <v>25</v>
      </c>
      <c r="O176" s="181">
        <v>115</v>
      </c>
      <c r="P176" s="165" t="s">
        <v>860</v>
      </c>
      <c r="Q176" s="165">
        <v>-70.881</v>
      </c>
      <c r="R176" s="165">
        <v>40.695999999999998</v>
      </c>
      <c r="S176" s="165" t="s">
        <v>172</v>
      </c>
      <c r="T176" s="165">
        <v>25</v>
      </c>
      <c r="U176" s="166" t="s">
        <v>516</v>
      </c>
      <c r="V176" s="158">
        <v>0.72699999999999998</v>
      </c>
      <c r="W176" s="158">
        <v>0.24399999999999999</v>
      </c>
      <c r="X176" s="158">
        <v>6.3E-2</v>
      </c>
      <c r="Y176" s="157">
        <v>3.6999999999999998E-2</v>
      </c>
      <c r="Z176" s="159">
        <v>4.0000000000000001E-3</v>
      </c>
      <c r="AA176" s="89">
        <v>0.02</v>
      </c>
      <c r="AB176" s="89">
        <v>4.1000000000000002E-2</v>
      </c>
      <c r="AC176" s="89">
        <v>0.10100000000000001</v>
      </c>
      <c r="AD176" s="89">
        <v>4.1000000000000002E-2</v>
      </c>
      <c r="AE176" s="89">
        <v>7.3999999999999996E-2</v>
      </c>
      <c r="AF176" s="89">
        <v>2.9000000000000001E-2</v>
      </c>
      <c r="AG176" s="89">
        <v>2.1000000000000001E-2</v>
      </c>
      <c r="AH176" s="89">
        <v>0.71099999999999997</v>
      </c>
      <c r="AI176" s="89">
        <v>-8888</v>
      </c>
      <c r="AJ176" s="89">
        <v>1.6E-2</v>
      </c>
      <c r="AK176" s="89">
        <v>0.24399999999999999</v>
      </c>
      <c r="AL176" s="89">
        <v>-8888</v>
      </c>
      <c r="AM176" s="89">
        <v>0.05</v>
      </c>
      <c r="AN176" s="89">
        <v>1.2999999999999999E-2</v>
      </c>
      <c r="AO176" s="89">
        <v>6.0000000000000001E-3</v>
      </c>
      <c r="AP176" s="89">
        <v>2.5999999999999999E-2</v>
      </c>
      <c r="AQ176" s="89">
        <v>1.7000000000000001E-2</v>
      </c>
      <c r="AR176" s="89">
        <v>6.0000000000000001E-3</v>
      </c>
      <c r="AS176" s="89">
        <v>1.4E-2</v>
      </c>
      <c r="AT176" s="89">
        <v>2.5000000000000001E-2</v>
      </c>
      <c r="AU176" s="89">
        <v>-8888</v>
      </c>
      <c r="AV176" s="89">
        <v>1.034</v>
      </c>
      <c r="AW176" s="89">
        <v>0.24100000000000002</v>
      </c>
      <c r="AX176" s="89">
        <v>0.127</v>
      </c>
      <c r="AY176" s="89">
        <v>1.161</v>
      </c>
      <c r="AZ176" s="89">
        <v>0.36799999999999999</v>
      </c>
      <c r="BA176" s="89">
        <v>0.67500000000000004</v>
      </c>
      <c r="BB176" s="89">
        <v>1.4020000000000001</v>
      </c>
      <c r="BC176" s="89">
        <v>0.433</v>
      </c>
      <c r="BD176" s="160">
        <v>0.93</v>
      </c>
      <c r="BE176" s="160">
        <v>0.35</v>
      </c>
      <c r="BF176" s="160">
        <v>0.65</v>
      </c>
      <c r="BG176" s="160">
        <v>2.81</v>
      </c>
      <c r="BH176" s="160">
        <v>0.17</v>
      </c>
      <c r="BI176" s="160">
        <v>0.83</v>
      </c>
      <c r="BJ176" s="160">
        <v>0.52</v>
      </c>
      <c r="BL176" s="167"/>
    </row>
    <row r="177" spans="1:64" s="88" customFormat="1" ht="14.1" customHeight="1">
      <c r="A177" s="156" t="s">
        <v>442</v>
      </c>
      <c r="B177" s="169" t="s">
        <v>511</v>
      </c>
      <c r="C177" s="169" t="s">
        <v>861</v>
      </c>
      <c r="D177" s="169" t="s">
        <v>850</v>
      </c>
      <c r="E177" s="169" t="s">
        <v>170</v>
      </c>
      <c r="F177" s="169">
        <v>547</v>
      </c>
      <c r="G177" s="169">
        <v>5</v>
      </c>
      <c r="H177" s="169">
        <v>9</v>
      </c>
      <c r="I177" s="165">
        <v>27</v>
      </c>
      <c r="J177" s="165">
        <v>449</v>
      </c>
      <c r="K177" s="166" t="s">
        <v>514</v>
      </c>
      <c r="L177" s="165">
        <v>2025</v>
      </c>
      <c r="M177" s="165" t="s">
        <v>851</v>
      </c>
      <c r="N177" s="165">
        <v>25</v>
      </c>
      <c r="O177" s="181">
        <v>115</v>
      </c>
      <c r="P177" s="165" t="s">
        <v>639</v>
      </c>
      <c r="Q177" s="165">
        <v>-70.882999999999996</v>
      </c>
      <c r="R177" s="165">
        <v>40.512999999999998</v>
      </c>
      <c r="S177" s="165" t="s">
        <v>172</v>
      </c>
      <c r="T177" s="165">
        <v>25</v>
      </c>
      <c r="U177" s="166" t="s">
        <v>516</v>
      </c>
      <c r="V177" s="158">
        <v>1.6569999999999998</v>
      </c>
      <c r="W177" s="158">
        <v>0.59</v>
      </c>
      <c r="X177" s="158">
        <v>0.21299999999999999</v>
      </c>
      <c r="Y177" s="157">
        <v>7.6999999999999999E-2</v>
      </c>
      <c r="Z177" s="159">
        <v>8.9999999999999993E-3</v>
      </c>
      <c r="AA177" s="89">
        <v>4.2000000000000003E-2</v>
      </c>
      <c r="AB177" s="89">
        <v>9.6000000000000002E-2</v>
      </c>
      <c r="AC177" s="89">
        <v>0.122</v>
      </c>
      <c r="AD177" s="89">
        <v>1.4E-2</v>
      </c>
      <c r="AE177" s="89">
        <v>0.2</v>
      </c>
      <c r="AF177" s="89">
        <v>6.6000000000000003E-2</v>
      </c>
      <c r="AG177" s="89">
        <v>1.2E-2</v>
      </c>
      <c r="AH177" s="89">
        <v>1.6419999999999999</v>
      </c>
      <c r="AI177" s="89">
        <v>-8888</v>
      </c>
      <c r="AJ177" s="89">
        <v>1.4999999999999999E-2</v>
      </c>
      <c r="AK177" s="89">
        <v>0.59</v>
      </c>
      <c r="AL177" s="89">
        <v>-8888</v>
      </c>
      <c r="AM177" s="89">
        <v>0.14499999999999999</v>
      </c>
      <c r="AN177" s="89">
        <v>6.8000000000000005E-2</v>
      </c>
      <c r="AO177" s="89">
        <v>5.0000000000000001E-3</v>
      </c>
      <c r="AP177" s="89">
        <v>6.2E-2</v>
      </c>
      <c r="AQ177" s="89">
        <v>1.4E-2</v>
      </c>
      <c r="AR177" s="89">
        <v>1.6E-2</v>
      </c>
      <c r="AS177" s="89">
        <v>6.2E-2</v>
      </c>
      <c r="AT177" s="89">
        <v>6.0999999999999999E-2</v>
      </c>
      <c r="AU177" s="89">
        <v>-8888</v>
      </c>
      <c r="AV177" s="89">
        <v>2.46</v>
      </c>
      <c r="AW177" s="89">
        <v>0.32100000000000001</v>
      </c>
      <c r="AX177" s="89">
        <v>0.317</v>
      </c>
      <c r="AY177" s="89">
        <v>2.7770000000000001</v>
      </c>
      <c r="AZ177" s="89">
        <v>0.63800000000000001</v>
      </c>
      <c r="BA177" s="89">
        <v>1.4410000000000001</v>
      </c>
      <c r="BB177" s="89">
        <v>3.0979999999999999</v>
      </c>
      <c r="BC177" s="89">
        <v>1.0149999999999999</v>
      </c>
      <c r="BD177" s="160">
        <v>0.87</v>
      </c>
      <c r="BE177" s="160">
        <v>0.5</v>
      </c>
      <c r="BF177" s="160">
        <v>0.5</v>
      </c>
      <c r="BG177" s="160">
        <v>3.86</v>
      </c>
      <c r="BH177" s="160">
        <v>0.1</v>
      </c>
      <c r="BI177" s="160">
        <v>0.9</v>
      </c>
      <c r="BJ177" s="160">
        <v>0.53</v>
      </c>
      <c r="BL177" s="167"/>
    </row>
    <row r="178" spans="1:64" s="88" customFormat="1" ht="14.1" customHeight="1">
      <c r="A178" s="156" t="s">
        <v>443</v>
      </c>
      <c r="B178" s="169" t="s">
        <v>511</v>
      </c>
      <c r="C178" s="169" t="s">
        <v>862</v>
      </c>
      <c r="D178" s="169" t="s">
        <v>850</v>
      </c>
      <c r="E178" s="169" t="s">
        <v>170</v>
      </c>
      <c r="F178" s="169">
        <v>548</v>
      </c>
      <c r="G178" s="169">
        <v>5</v>
      </c>
      <c r="H178" s="169">
        <v>20</v>
      </c>
      <c r="I178" s="165">
        <v>2.4</v>
      </c>
      <c r="J178" s="165">
        <v>449</v>
      </c>
      <c r="K178" s="166" t="s">
        <v>514</v>
      </c>
      <c r="L178" s="165">
        <v>2025</v>
      </c>
      <c r="M178" s="165" t="s">
        <v>851</v>
      </c>
      <c r="N178" s="165">
        <v>25</v>
      </c>
      <c r="O178" s="181">
        <v>115</v>
      </c>
      <c r="P178" s="165" t="s">
        <v>863</v>
      </c>
      <c r="Q178" s="165">
        <v>-70.882999999999996</v>
      </c>
      <c r="R178" s="165">
        <v>40.512999999999998</v>
      </c>
      <c r="S178" s="165" t="s">
        <v>172</v>
      </c>
      <c r="T178" s="165">
        <v>25</v>
      </c>
      <c r="U178" s="166" t="s">
        <v>516</v>
      </c>
      <c r="V178" s="158">
        <v>0.83400000000000007</v>
      </c>
      <c r="W178" s="158">
        <v>0.13600000000000001</v>
      </c>
      <c r="X178" s="158">
        <v>0.121</v>
      </c>
      <c r="Y178" s="157">
        <v>4.5999999999999999E-2</v>
      </c>
      <c r="Z178" s="159">
        <v>1.4E-2</v>
      </c>
      <c r="AA178" s="89">
        <v>4.3999999999999997E-2</v>
      </c>
      <c r="AB178" s="89">
        <v>6.2E-2</v>
      </c>
      <c r="AC178" s="89">
        <v>0.10299999999999999</v>
      </c>
      <c r="AD178" s="89">
        <v>1.2999999999999999E-2</v>
      </c>
      <c r="AE178" s="89">
        <v>0.14599999999999999</v>
      </c>
      <c r="AF178" s="89">
        <v>4.4999999999999998E-2</v>
      </c>
      <c r="AG178" s="89">
        <v>1.4E-2</v>
      </c>
      <c r="AH178" s="89">
        <v>0.78900000000000003</v>
      </c>
      <c r="AI178" s="89">
        <v>-8888</v>
      </c>
      <c r="AJ178" s="89">
        <v>4.4999999999999998E-2</v>
      </c>
      <c r="AK178" s="89">
        <v>0.13600000000000001</v>
      </c>
      <c r="AL178" s="89">
        <v>-8888</v>
      </c>
      <c r="AM178" s="89">
        <v>8.8999999999999996E-2</v>
      </c>
      <c r="AN178" s="89">
        <v>3.2000000000000001E-2</v>
      </c>
      <c r="AO178" s="89">
        <v>6.0000000000000001E-3</v>
      </c>
      <c r="AP178" s="89">
        <v>1.7000000000000001E-2</v>
      </c>
      <c r="AQ178" s="89">
        <v>2.3E-2</v>
      </c>
      <c r="AR178" s="89">
        <v>6.0000000000000001E-3</v>
      </c>
      <c r="AS178" s="89">
        <v>1.4999999999999999E-2</v>
      </c>
      <c r="AT178" s="89">
        <v>3.4000000000000002E-2</v>
      </c>
      <c r="AU178" s="89">
        <v>-8888</v>
      </c>
      <c r="AV178" s="89">
        <v>1.0910000000000002</v>
      </c>
      <c r="AW178" s="89">
        <v>0.23799999999999999</v>
      </c>
      <c r="AX178" s="89">
        <v>0.249</v>
      </c>
      <c r="AY178" s="89">
        <v>1.3400000000000003</v>
      </c>
      <c r="AZ178" s="89">
        <v>0.48699999999999999</v>
      </c>
      <c r="BA178" s="89">
        <v>0.74399999999999999</v>
      </c>
      <c r="BB178" s="89">
        <v>1.5780000000000001</v>
      </c>
      <c r="BC178" s="89">
        <v>0.46100000000000002</v>
      </c>
      <c r="BD178" s="160">
        <v>0.89</v>
      </c>
      <c r="BE178" s="160">
        <v>0.51</v>
      </c>
      <c r="BF178" s="160">
        <v>0.49</v>
      </c>
      <c r="BG178" s="160">
        <v>2.2400000000000002</v>
      </c>
      <c r="BH178" s="160">
        <v>0.15</v>
      </c>
      <c r="BI178" s="160">
        <v>0.85</v>
      </c>
      <c r="BJ178" s="160">
        <v>0.53</v>
      </c>
      <c r="BL178" s="167"/>
    </row>
    <row r="179" spans="1:64" s="88" customFormat="1" ht="14.1" customHeight="1">
      <c r="A179" s="156" t="s">
        <v>444</v>
      </c>
      <c r="B179" s="169" t="s">
        <v>511</v>
      </c>
      <c r="C179" s="169" t="s">
        <v>864</v>
      </c>
      <c r="D179" s="169" t="s">
        <v>850</v>
      </c>
      <c r="E179" s="169" t="s">
        <v>170</v>
      </c>
      <c r="F179" s="169">
        <v>549</v>
      </c>
      <c r="G179" s="169">
        <v>6</v>
      </c>
      <c r="H179" s="169">
        <v>8</v>
      </c>
      <c r="I179" s="165">
        <v>35.299999999999997</v>
      </c>
      <c r="J179" s="165">
        <v>1581</v>
      </c>
      <c r="K179" s="166" t="s">
        <v>514</v>
      </c>
      <c r="L179" s="165">
        <v>2025</v>
      </c>
      <c r="M179" s="165" t="s">
        <v>851</v>
      </c>
      <c r="N179" s="165">
        <v>26</v>
      </c>
      <c r="O179" s="181">
        <v>116</v>
      </c>
      <c r="P179" s="165" t="s">
        <v>865</v>
      </c>
      <c r="Q179" s="165">
        <v>-70.882000000000005</v>
      </c>
      <c r="R179" s="165">
        <v>39.941000000000003</v>
      </c>
      <c r="S179" s="165" t="s">
        <v>172</v>
      </c>
      <c r="T179" s="165">
        <v>25</v>
      </c>
      <c r="U179" s="166" t="s">
        <v>516</v>
      </c>
      <c r="V179" s="158">
        <v>0.58899999999999997</v>
      </c>
      <c r="W179" s="158">
        <v>2.5999999999999999E-2</v>
      </c>
      <c r="X179" s="158">
        <v>0.193</v>
      </c>
      <c r="Y179" s="157">
        <v>2.3E-2</v>
      </c>
      <c r="Z179" s="159">
        <v>1.4999999999999999E-2</v>
      </c>
      <c r="AA179" s="89">
        <v>3.4000000000000002E-2</v>
      </c>
      <c r="AB179" s="89">
        <v>2.7E-2</v>
      </c>
      <c r="AC179" s="89">
        <v>0.02</v>
      </c>
      <c r="AD179" s="89">
        <v>1E-3</v>
      </c>
      <c r="AE179" s="89">
        <v>0.27600000000000002</v>
      </c>
      <c r="AF179" s="89">
        <v>1.4999999999999999E-2</v>
      </c>
      <c r="AG179" s="89">
        <v>3.0000000000000001E-3</v>
      </c>
      <c r="AH179" s="89">
        <v>0.58399999999999996</v>
      </c>
      <c r="AI179" s="89">
        <v>-8888</v>
      </c>
      <c r="AJ179" s="89">
        <v>5.0000000000000001E-3</v>
      </c>
      <c r="AK179" s="89">
        <v>2.5999999999999999E-2</v>
      </c>
      <c r="AL179" s="89">
        <v>-8888</v>
      </c>
      <c r="AM179" s="89">
        <v>8.4000000000000005E-2</v>
      </c>
      <c r="AN179" s="89">
        <v>0.109</v>
      </c>
      <c r="AO179" s="89">
        <v>-8888</v>
      </c>
      <c r="AP179" s="89">
        <v>3.0000000000000001E-3</v>
      </c>
      <c r="AQ179" s="89">
        <v>2E-3</v>
      </c>
      <c r="AR179" s="89">
        <v>7.0000000000000001E-3</v>
      </c>
      <c r="AS179" s="89">
        <v>5.1999999999999998E-2</v>
      </c>
      <c r="AT179" s="89">
        <v>-8888</v>
      </c>
      <c r="AU179" s="89">
        <v>-8888</v>
      </c>
      <c r="AV179" s="89">
        <v>0.80800000000000005</v>
      </c>
      <c r="AW179" s="89">
        <v>7.400000000000001E-2</v>
      </c>
      <c r="AX179" s="89">
        <v>0.34000000000000008</v>
      </c>
      <c r="AY179" s="89">
        <v>1.1480000000000001</v>
      </c>
      <c r="AZ179" s="89">
        <v>0.41400000000000009</v>
      </c>
      <c r="BA179" s="89">
        <v>0.63300000000000012</v>
      </c>
      <c r="BB179" s="89">
        <v>1.222</v>
      </c>
      <c r="BC179" s="89">
        <v>0.39600000000000007</v>
      </c>
      <c r="BD179" s="160">
        <v>1.07</v>
      </c>
      <c r="BE179" s="160">
        <v>0.82</v>
      </c>
      <c r="BF179" s="160">
        <v>0.18</v>
      </c>
      <c r="BG179" s="160">
        <v>1.95</v>
      </c>
      <c r="BH179" s="160">
        <v>0.06</v>
      </c>
      <c r="BI179" s="160">
        <v>0.94</v>
      </c>
      <c r="BJ179" s="160">
        <v>0.48</v>
      </c>
      <c r="BL179" s="167"/>
    </row>
    <row r="180" spans="1:64" s="88" customFormat="1" ht="14.1" customHeight="1">
      <c r="A180" s="156" t="s">
        <v>445</v>
      </c>
      <c r="B180" s="169" t="s">
        <v>511</v>
      </c>
      <c r="C180" s="169" t="s">
        <v>866</v>
      </c>
      <c r="D180" s="169" t="s">
        <v>850</v>
      </c>
      <c r="E180" s="169" t="s">
        <v>170</v>
      </c>
      <c r="F180" s="169">
        <v>547</v>
      </c>
      <c r="G180" s="169">
        <v>6</v>
      </c>
      <c r="H180" s="169">
        <v>14</v>
      </c>
      <c r="I180" s="165">
        <v>21.5</v>
      </c>
      <c r="J180" s="165">
        <v>1581</v>
      </c>
      <c r="K180" s="166" t="s">
        <v>514</v>
      </c>
      <c r="L180" s="165">
        <v>2025</v>
      </c>
      <c r="M180" s="165" t="s">
        <v>851</v>
      </c>
      <c r="N180" s="165">
        <v>26</v>
      </c>
      <c r="O180" s="181">
        <v>116</v>
      </c>
      <c r="P180" s="165" t="s">
        <v>867</v>
      </c>
      <c r="Q180" s="165">
        <v>-70.882000000000005</v>
      </c>
      <c r="R180" s="165">
        <v>39.941000000000003</v>
      </c>
      <c r="S180" s="165" t="s">
        <v>172</v>
      </c>
      <c r="T180" s="165">
        <v>25</v>
      </c>
      <c r="U180" s="166" t="s">
        <v>516</v>
      </c>
      <c r="V180" s="158">
        <v>3.8489999999999998</v>
      </c>
      <c r="W180" s="158">
        <v>0.4</v>
      </c>
      <c r="X180" s="158">
        <v>0.80600000000000005</v>
      </c>
      <c r="Y180" s="157">
        <v>0.17299999999999999</v>
      </c>
      <c r="Z180" s="159">
        <v>9.6000000000000002E-2</v>
      </c>
      <c r="AA180" s="89">
        <v>0.35199999999999998</v>
      </c>
      <c r="AB180" s="89">
        <v>0.16300000000000001</v>
      </c>
      <c r="AC180" s="89">
        <v>0.501</v>
      </c>
      <c r="AD180" s="89">
        <v>3.9E-2</v>
      </c>
      <c r="AE180" s="89">
        <v>0.79800000000000004</v>
      </c>
      <c r="AF180" s="89">
        <v>0.61599999999999999</v>
      </c>
      <c r="AG180" s="89">
        <v>1.9E-2</v>
      </c>
      <c r="AH180" s="89">
        <v>3.7879999999999998</v>
      </c>
      <c r="AI180" s="89">
        <v>-8888</v>
      </c>
      <c r="AJ180" s="89">
        <v>6.0999999999999999E-2</v>
      </c>
      <c r="AK180" s="89">
        <v>0.4</v>
      </c>
      <c r="AL180" s="89">
        <v>-8888</v>
      </c>
      <c r="AM180" s="89">
        <v>0.53100000000000003</v>
      </c>
      <c r="AN180" s="89">
        <v>0.27500000000000002</v>
      </c>
      <c r="AO180" s="89">
        <v>1.7000000000000001E-2</v>
      </c>
      <c r="AP180" s="89">
        <v>4.8000000000000001E-2</v>
      </c>
      <c r="AQ180" s="89">
        <v>3.1E-2</v>
      </c>
      <c r="AR180" s="89">
        <v>4.3999999999999997E-2</v>
      </c>
      <c r="AS180" s="89">
        <v>5.0999999999999997E-2</v>
      </c>
      <c r="AT180" s="89">
        <v>4.9000000000000002E-2</v>
      </c>
      <c r="AU180" s="89">
        <v>-8888</v>
      </c>
      <c r="AV180" s="89">
        <v>5.0549999999999997</v>
      </c>
      <c r="AW180" s="89">
        <v>0.89500000000000002</v>
      </c>
      <c r="AX180" s="89">
        <v>1.8620000000000001</v>
      </c>
      <c r="AY180" s="89">
        <v>6.9169999999999998</v>
      </c>
      <c r="AZ180" s="89">
        <v>2.7570000000000001</v>
      </c>
      <c r="BA180" s="89">
        <v>3.9630000000000001</v>
      </c>
      <c r="BB180" s="89">
        <v>7.8119999999999994</v>
      </c>
      <c r="BC180" s="89">
        <v>2.444</v>
      </c>
      <c r="BD180" s="160">
        <v>1.03</v>
      </c>
      <c r="BE180" s="160">
        <v>0.68</v>
      </c>
      <c r="BF180" s="160">
        <v>0.32</v>
      </c>
      <c r="BG180" s="160">
        <v>1.83</v>
      </c>
      <c r="BH180" s="160">
        <v>0.11</v>
      </c>
      <c r="BI180" s="160">
        <v>0.89</v>
      </c>
      <c r="BJ180" s="160">
        <v>0.49</v>
      </c>
      <c r="BL180" s="167"/>
    </row>
    <row r="181" spans="1:64" s="88" customFormat="1" ht="14.1" customHeight="1">
      <c r="A181" s="156" t="s">
        <v>446</v>
      </c>
      <c r="B181" s="169" t="s">
        <v>511</v>
      </c>
      <c r="C181" s="169" t="s">
        <v>868</v>
      </c>
      <c r="D181" s="169" t="s">
        <v>850</v>
      </c>
      <c r="E181" s="169" t="s">
        <v>170</v>
      </c>
      <c r="F181" s="169">
        <v>548</v>
      </c>
      <c r="G181" s="169">
        <v>6</v>
      </c>
      <c r="H181" s="169">
        <v>24</v>
      </c>
      <c r="I181" s="165">
        <v>1.3</v>
      </c>
      <c r="J181" s="165">
        <v>1581</v>
      </c>
      <c r="K181" s="166" t="s">
        <v>514</v>
      </c>
      <c r="L181" s="165">
        <v>2025</v>
      </c>
      <c r="M181" s="165" t="s">
        <v>851</v>
      </c>
      <c r="N181" s="165">
        <v>26</v>
      </c>
      <c r="O181" s="181">
        <v>116</v>
      </c>
      <c r="P181" s="165" t="s">
        <v>869</v>
      </c>
      <c r="Q181" s="165">
        <v>-70.882000000000005</v>
      </c>
      <c r="R181" s="165">
        <v>39.941000000000003</v>
      </c>
      <c r="S181" s="165" t="s">
        <v>172</v>
      </c>
      <c r="T181" s="165">
        <v>25</v>
      </c>
      <c r="U181" s="166" t="s">
        <v>516</v>
      </c>
      <c r="V181" s="158">
        <v>1.0699999999999998</v>
      </c>
      <c r="W181" s="158">
        <v>6.3E-2</v>
      </c>
      <c r="X181" s="158">
        <v>0.186</v>
      </c>
      <c r="Y181" s="157">
        <v>5.5E-2</v>
      </c>
      <c r="Z181" s="159">
        <v>2.9000000000000001E-2</v>
      </c>
      <c r="AA181" s="89">
        <v>9.9000000000000005E-2</v>
      </c>
      <c r="AB181" s="89">
        <v>4.7E-2</v>
      </c>
      <c r="AC181" s="89">
        <v>0.16700000000000001</v>
      </c>
      <c r="AD181" s="89">
        <v>2.5000000000000001E-2</v>
      </c>
      <c r="AE181" s="89">
        <v>0.30099999999999999</v>
      </c>
      <c r="AF181" s="89">
        <v>2.5000000000000001E-2</v>
      </c>
      <c r="AG181" s="89">
        <v>3.1E-2</v>
      </c>
      <c r="AH181" s="89">
        <v>1.0489999999999999</v>
      </c>
      <c r="AI181" s="89">
        <v>-8888</v>
      </c>
      <c r="AJ181" s="89">
        <v>2.1000000000000001E-2</v>
      </c>
      <c r="AK181" s="89">
        <v>6.3E-2</v>
      </c>
      <c r="AL181" s="89">
        <v>-8888</v>
      </c>
      <c r="AM181" s="89">
        <v>0.126</v>
      </c>
      <c r="AN181" s="89">
        <v>0.06</v>
      </c>
      <c r="AO181" s="89">
        <v>8.0000000000000002E-3</v>
      </c>
      <c r="AP181" s="89">
        <v>8.0000000000000002E-3</v>
      </c>
      <c r="AQ181" s="89">
        <v>1.4999999999999999E-2</v>
      </c>
      <c r="AR181" s="89">
        <v>8.9999999999999993E-3</v>
      </c>
      <c r="AS181" s="89">
        <v>2.3E-2</v>
      </c>
      <c r="AT181" s="89">
        <v>0.01</v>
      </c>
      <c r="AU181" s="89">
        <v>-8888</v>
      </c>
      <c r="AV181" s="89">
        <v>1.3189999999999997</v>
      </c>
      <c r="AW181" s="89">
        <v>0.32500000000000001</v>
      </c>
      <c r="AX181" s="89">
        <v>0.45400000000000007</v>
      </c>
      <c r="AY181" s="89">
        <v>1.7729999999999997</v>
      </c>
      <c r="AZ181" s="89">
        <v>0.77900000000000014</v>
      </c>
      <c r="BA181" s="89">
        <v>1.028</v>
      </c>
      <c r="BB181" s="89">
        <v>2.0979999999999999</v>
      </c>
      <c r="BC181" s="89">
        <v>0.59500000000000008</v>
      </c>
      <c r="BD181" s="160">
        <v>0.96</v>
      </c>
      <c r="BE181" s="160">
        <v>0.57999999999999996</v>
      </c>
      <c r="BF181" s="160">
        <v>0.42</v>
      </c>
      <c r="BG181" s="160">
        <v>1.69</v>
      </c>
      <c r="BH181" s="160">
        <v>0.15</v>
      </c>
      <c r="BI181" s="160">
        <v>0.85</v>
      </c>
      <c r="BJ181" s="160">
        <v>0.51</v>
      </c>
      <c r="BL181" s="167"/>
    </row>
    <row r="182" spans="1:64" s="88" customFormat="1" ht="14.1" customHeight="1">
      <c r="A182" s="156" t="s">
        <v>447</v>
      </c>
      <c r="B182" s="169" t="s">
        <v>511</v>
      </c>
      <c r="C182" s="169" t="s">
        <v>870</v>
      </c>
      <c r="D182" s="169" t="s">
        <v>850</v>
      </c>
      <c r="E182" s="169" t="s">
        <v>170</v>
      </c>
      <c r="F182" s="169">
        <v>547</v>
      </c>
      <c r="G182" s="169">
        <v>9</v>
      </c>
      <c r="H182" s="169">
        <v>9</v>
      </c>
      <c r="I182" s="165">
        <v>31.7</v>
      </c>
      <c r="J182" s="165">
        <v>1581</v>
      </c>
      <c r="K182" s="166" t="s">
        <v>514</v>
      </c>
      <c r="L182" s="165">
        <v>2025</v>
      </c>
      <c r="M182" s="165" t="s">
        <v>851</v>
      </c>
      <c r="N182" s="165">
        <v>26</v>
      </c>
      <c r="O182" s="181">
        <v>116</v>
      </c>
      <c r="P182" s="165" t="s">
        <v>871</v>
      </c>
      <c r="Q182" s="165">
        <v>-70.884</v>
      </c>
      <c r="R182" s="165">
        <v>39.771999999999998</v>
      </c>
      <c r="S182" s="165" t="s">
        <v>172</v>
      </c>
      <c r="T182" s="165">
        <v>25</v>
      </c>
      <c r="U182" s="166" t="s">
        <v>516</v>
      </c>
      <c r="V182" s="158">
        <v>1.135</v>
      </c>
      <c r="W182" s="158">
        <v>0.11700000000000001</v>
      </c>
      <c r="X182" s="158">
        <v>0.29400000000000004</v>
      </c>
      <c r="Y182" s="157">
        <v>4.4999999999999998E-2</v>
      </c>
      <c r="Z182" s="159">
        <v>4.5999999999999999E-2</v>
      </c>
      <c r="AA182" s="89">
        <v>0.10299999999999999</v>
      </c>
      <c r="AB182" s="89">
        <v>8.5000000000000006E-2</v>
      </c>
      <c r="AC182" s="89">
        <v>3.7999999999999999E-2</v>
      </c>
      <c r="AD182" s="89">
        <v>3.0000000000000001E-3</v>
      </c>
      <c r="AE182" s="89">
        <v>0.245</v>
      </c>
      <c r="AF182" s="89">
        <v>7.8E-2</v>
      </c>
      <c r="AG182" s="89">
        <v>6.0000000000000001E-3</v>
      </c>
      <c r="AH182" s="89">
        <v>1.127</v>
      </c>
      <c r="AI182" s="89">
        <v>-8888</v>
      </c>
      <c r="AJ182" s="89">
        <v>8.0000000000000002E-3</v>
      </c>
      <c r="AK182" s="89">
        <v>0.11700000000000001</v>
      </c>
      <c r="AL182" s="89">
        <v>-8888</v>
      </c>
      <c r="AM182" s="89">
        <v>0.16800000000000001</v>
      </c>
      <c r="AN182" s="89">
        <v>0.126</v>
      </c>
      <c r="AO182" s="89">
        <v>-8888</v>
      </c>
      <c r="AP182" s="89">
        <v>1.2999999999999999E-2</v>
      </c>
      <c r="AQ182" s="89">
        <v>7.0000000000000001E-3</v>
      </c>
      <c r="AR182" s="89">
        <v>0.01</v>
      </c>
      <c r="AS182" s="89">
        <v>0.02</v>
      </c>
      <c r="AT182" s="89">
        <v>2.4E-2</v>
      </c>
      <c r="AU182" s="89">
        <v>-8888</v>
      </c>
      <c r="AV182" s="89">
        <v>1.546</v>
      </c>
      <c r="AW182" s="89">
        <v>0.17699999999999999</v>
      </c>
      <c r="AX182" s="89">
        <v>0.47199999999999998</v>
      </c>
      <c r="AY182" s="89">
        <v>2.0179999999999998</v>
      </c>
      <c r="AZ182" s="89">
        <v>0.64900000000000002</v>
      </c>
      <c r="BA182" s="89">
        <v>1.06</v>
      </c>
      <c r="BB182" s="89">
        <v>2.1950000000000003</v>
      </c>
      <c r="BC182" s="89">
        <v>0.67999999999999994</v>
      </c>
      <c r="BD182" s="160">
        <v>0.93</v>
      </c>
      <c r="BE182" s="160">
        <v>0.73</v>
      </c>
      <c r="BF182" s="160">
        <v>0.27</v>
      </c>
      <c r="BG182" s="160">
        <v>2.38</v>
      </c>
      <c r="BH182" s="160">
        <v>0.08</v>
      </c>
      <c r="BI182" s="160">
        <v>0.92</v>
      </c>
      <c r="BJ182" s="160">
        <v>0.52</v>
      </c>
      <c r="BL182" s="167"/>
    </row>
    <row r="183" spans="1:64" s="88" customFormat="1" ht="14.1" customHeight="1">
      <c r="A183" s="156" t="s">
        <v>449</v>
      </c>
      <c r="B183" s="169" t="s">
        <v>511</v>
      </c>
      <c r="C183" s="169" t="s">
        <v>872</v>
      </c>
      <c r="D183" s="169" t="s">
        <v>850</v>
      </c>
      <c r="E183" s="169" t="s">
        <v>170</v>
      </c>
      <c r="F183" s="169">
        <v>549</v>
      </c>
      <c r="G183" s="169">
        <v>9</v>
      </c>
      <c r="H183" s="169">
        <v>14</v>
      </c>
      <c r="I183" s="165">
        <v>20.100000000000001</v>
      </c>
      <c r="J183" s="165">
        <v>1581</v>
      </c>
      <c r="K183" s="166" t="s">
        <v>514</v>
      </c>
      <c r="L183" s="165">
        <v>2025</v>
      </c>
      <c r="M183" s="165" t="s">
        <v>851</v>
      </c>
      <c r="N183" s="165">
        <v>26</v>
      </c>
      <c r="O183" s="181">
        <v>116</v>
      </c>
      <c r="P183" s="165" t="s">
        <v>873</v>
      </c>
      <c r="Q183" s="165">
        <v>-70.884</v>
      </c>
      <c r="R183" s="165">
        <v>39.771999999999998</v>
      </c>
      <c r="S183" s="165" t="s">
        <v>172</v>
      </c>
      <c r="T183" s="165">
        <v>25</v>
      </c>
      <c r="U183" s="166" t="s">
        <v>516</v>
      </c>
      <c r="V183" s="158">
        <v>1.4019999999999999</v>
      </c>
      <c r="W183" s="158">
        <v>0.19400000000000001</v>
      </c>
      <c r="X183" s="158">
        <v>0.35199999999999998</v>
      </c>
      <c r="Y183" s="157">
        <v>7.0000000000000007E-2</v>
      </c>
      <c r="Z183" s="159">
        <v>4.9000000000000002E-2</v>
      </c>
      <c r="AA183" s="89">
        <v>0.191</v>
      </c>
      <c r="AB183" s="89">
        <v>6.5000000000000002E-2</v>
      </c>
      <c r="AC183" s="89">
        <v>7.8E-2</v>
      </c>
      <c r="AD183" s="89">
        <v>8.0000000000000002E-3</v>
      </c>
      <c r="AE183" s="89">
        <v>0.32100000000000001</v>
      </c>
      <c r="AF183" s="89">
        <v>0.107</v>
      </c>
      <c r="AG183" s="89">
        <v>1.2999999999999999E-2</v>
      </c>
      <c r="AH183" s="89">
        <v>1.383</v>
      </c>
      <c r="AI183" s="89">
        <v>-8888</v>
      </c>
      <c r="AJ183" s="89">
        <v>1.9E-2</v>
      </c>
      <c r="AK183" s="89">
        <v>0.19400000000000001</v>
      </c>
      <c r="AL183" s="89">
        <v>-8888</v>
      </c>
      <c r="AM183" s="89">
        <v>0.19800000000000001</v>
      </c>
      <c r="AN183" s="89">
        <v>0.154</v>
      </c>
      <c r="AO183" s="89">
        <v>7.0000000000000001E-3</v>
      </c>
      <c r="AP183" s="89">
        <v>1.9E-2</v>
      </c>
      <c r="AQ183" s="89">
        <v>2.1000000000000001E-2</v>
      </c>
      <c r="AR183" s="89">
        <v>1.2E-2</v>
      </c>
      <c r="AS183" s="89">
        <v>2.8000000000000001E-2</v>
      </c>
      <c r="AT183" s="89">
        <v>2.3E-2</v>
      </c>
      <c r="AU183" s="89">
        <v>-8888</v>
      </c>
      <c r="AV183" s="89">
        <v>1.948</v>
      </c>
      <c r="AW183" s="89">
        <v>0.23400000000000004</v>
      </c>
      <c r="AX183" s="89">
        <v>0.66799999999999993</v>
      </c>
      <c r="AY183" s="89">
        <v>2.6159999999999997</v>
      </c>
      <c r="AZ183" s="89">
        <v>0.90199999999999991</v>
      </c>
      <c r="BA183" s="89">
        <v>1.448</v>
      </c>
      <c r="BB183" s="89">
        <v>2.8499999999999996</v>
      </c>
      <c r="BC183" s="89">
        <v>0.94</v>
      </c>
      <c r="BD183" s="160">
        <v>1.03</v>
      </c>
      <c r="BE183" s="160">
        <v>0.74</v>
      </c>
      <c r="BF183" s="160">
        <v>0.26</v>
      </c>
      <c r="BG183" s="160">
        <v>2.16</v>
      </c>
      <c r="BH183" s="160">
        <v>0.08</v>
      </c>
      <c r="BI183" s="160">
        <v>0.92</v>
      </c>
      <c r="BJ183" s="160">
        <v>0.49</v>
      </c>
      <c r="BL183" s="167"/>
    </row>
    <row r="184" spans="1:64" s="88" customFormat="1" ht="14.1" customHeight="1">
      <c r="A184" s="156" t="s">
        <v>450</v>
      </c>
      <c r="B184" s="169" t="s">
        <v>511</v>
      </c>
      <c r="C184" s="169" t="s">
        <v>874</v>
      </c>
      <c r="D184" s="169" t="s">
        <v>850</v>
      </c>
      <c r="E184" s="169" t="s">
        <v>173</v>
      </c>
      <c r="F184" s="169">
        <v>548</v>
      </c>
      <c r="G184" s="169">
        <v>9</v>
      </c>
      <c r="H184" s="169">
        <v>20</v>
      </c>
      <c r="I184" s="165">
        <v>2.2999999999999998</v>
      </c>
      <c r="J184" s="165">
        <v>1581</v>
      </c>
      <c r="K184" s="166" t="s">
        <v>514</v>
      </c>
      <c r="L184" s="165">
        <v>2025</v>
      </c>
      <c r="M184" s="165" t="s">
        <v>851</v>
      </c>
      <c r="N184" s="165">
        <v>26</v>
      </c>
      <c r="O184" s="181">
        <v>116</v>
      </c>
      <c r="P184" s="165" t="s">
        <v>771</v>
      </c>
      <c r="Q184" s="165">
        <v>-70.884</v>
      </c>
      <c r="R184" s="165">
        <v>39.771999999999998</v>
      </c>
      <c r="S184" s="165" t="s">
        <v>172</v>
      </c>
      <c r="T184" s="165">
        <v>25</v>
      </c>
      <c r="U184" s="166" t="s">
        <v>516</v>
      </c>
      <c r="V184" s="158">
        <v>0.93500000000000005</v>
      </c>
      <c r="W184" s="158">
        <v>2.7E-2</v>
      </c>
      <c r="X184" s="158">
        <v>0.191</v>
      </c>
      <c r="Y184" s="157">
        <v>4.9000000000000002E-2</v>
      </c>
      <c r="Z184" s="159">
        <v>3.5000000000000003E-2</v>
      </c>
      <c r="AA184" s="89">
        <v>0.124</v>
      </c>
      <c r="AB184" s="89">
        <v>4.5999999999999999E-2</v>
      </c>
      <c r="AC184" s="89">
        <v>0.13600000000000001</v>
      </c>
      <c r="AD184" s="89">
        <v>1.4E-2</v>
      </c>
      <c r="AE184" s="89">
        <v>0.27400000000000002</v>
      </c>
      <c r="AF184" s="89">
        <v>8.9999999999999993E-3</v>
      </c>
      <c r="AG184" s="89">
        <v>6.0000000000000001E-3</v>
      </c>
      <c r="AH184" s="89">
        <v>0.9</v>
      </c>
      <c r="AI184" s="89">
        <v>-8888</v>
      </c>
      <c r="AJ184" s="89">
        <v>3.5000000000000003E-2</v>
      </c>
      <c r="AK184" s="89">
        <v>2.7E-2</v>
      </c>
      <c r="AL184" s="89">
        <v>-8888</v>
      </c>
      <c r="AM184" s="89">
        <v>0.11700000000000001</v>
      </c>
      <c r="AN184" s="89">
        <v>7.3999999999999996E-2</v>
      </c>
      <c r="AO184" s="89">
        <v>2E-3</v>
      </c>
      <c r="AP184" s="89">
        <v>5.0000000000000001E-3</v>
      </c>
      <c r="AQ184" s="89">
        <v>8.9999999999999993E-3</v>
      </c>
      <c r="AR184" s="89">
        <v>6.0000000000000001E-3</v>
      </c>
      <c r="AS184" s="89">
        <v>8.0000000000000002E-3</v>
      </c>
      <c r="AT184" s="89">
        <v>1.2E-2</v>
      </c>
      <c r="AU184" s="89">
        <v>-8888</v>
      </c>
      <c r="AV184" s="89">
        <v>1.153</v>
      </c>
      <c r="AW184" s="89">
        <v>0.251</v>
      </c>
      <c r="AX184" s="89">
        <v>0.44200000000000006</v>
      </c>
      <c r="AY184" s="89">
        <v>1.5950000000000002</v>
      </c>
      <c r="AZ184" s="89">
        <v>0.69300000000000006</v>
      </c>
      <c r="BA184" s="89">
        <v>0.91100000000000003</v>
      </c>
      <c r="BB184" s="89">
        <v>1.8460000000000001</v>
      </c>
      <c r="BC184" s="89">
        <v>0.52100000000000002</v>
      </c>
      <c r="BD184" s="160">
        <v>0.97</v>
      </c>
      <c r="BE184" s="160">
        <v>0.64</v>
      </c>
      <c r="BF184" s="160">
        <v>0.36</v>
      </c>
      <c r="BG184" s="160">
        <v>1.66</v>
      </c>
      <c r="BH184" s="160">
        <v>0.14000000000000001</v>
      </c>
      <c r="BI184" s="160">
        <v>0.86</v>
      </c>
      <c r="BJ184" s="160">
        <v>0.51</v>
      </c>
      <c r="BL184" s="167"/>
    </row>
    <row r="185" spans="1:64" s="88" customFormat="1" ht="14.1" customHeight="1">
      <c r="A185" s="156" t="s">
        <v>451</v>
      </c>
      <c r="B185" s="169" t="s">
        <v>511</v>
      </c>
      <c r="C185" s="169" t="s">
        <v>875</v>
      </c>
      <c r="D185" s="169" t="s">
        <v>850</v>
      </c>
      <c r="E185" s="169" t="s">
        <v>173</v>
      </c>
      <c r="F185" s="169">
        <v>548</v>
      </c>
      <c r="G185" s="169">
        <v>9</v>
      </c>
      <c r="H185" s="169">
        <v>20</v>
      </c>
      <c r="I185" s="165">
        <v>2.2999999999999998</v>
      </c>
      <c r="J185" s="165">
        <v>1581</v>
      </c>
      <c r="K185" s="166" t="s">
        <v>514</v>
      </c>
      <c r="L185" s="165">
        <v>2025</v>
      </c>
      <c r="M185" s="165" t="s">
        <v>851</v>
      </c>
      <c r="N185" s="165">
        <v>26</v>
      </c>
      <c r="O185" s="181">
        <v>116</v>
      </c>
      <c r="P185" s="165" t="s">
        <v>771</v>
      </c>
      <c r="Q185" s="165">
        <v>-70.884</v>
      </c>
      <c r="R185" s="165">
        <v>39.771999999999998</v>
      </c>
      <c r="S185" s="165" t="s">
        <v>172</v>
      </c>
      <c r="T185" s="165">
        <v>25</v>
      </c>
      <c r="U185" s="166" t="s">
        <v>516</v>
      </c>
      <c r="V185" s="158">
        <v>0.94600000000000006</v>
      </c>
      <c r="W185" s="158">
        <v>2.8000000000000001E-2</v>
      </c>
      <c r="X185" s="158">
        <v>0.189</v>
      </c>
      <c r="Y185" s="157">
        <v>4.8000000000000001E-2</v>
      </c>
      <c r="Z185" s="159">
        <v>3.4000000000000002E-2</v>
      </c>
      <c r="AA185" s="89">
        <v>0.124</v>
      </c>
      <c r="AB185" s="89">
        <v>4.8000000000000001E-2</v>
      </c>
      <c r="AC185" s="89">
        <v>0.13500000000000001</v>
      </c>
      <c r="AD185" s="89">
        <v>1.4999999999999999E-2</v>
      </c>
      <c r="AE185" s="89">
        <v>0.27700000000000002</v>
      </c>
      <c r="AF185" s="89">
        <v>8.9999999999999993E-3</v>
      </c>
      <c r="AG185" s="89">
        <v>7.0000000000000001E-3</v>
      </c>
      <c r="AH185" s="89">
        <v>0.91500000000000004</v>
      </c>
      <c r="AI185" s="89">
        <v>-8888</v>
      </c>
      <c r="AJ185" s="89">
        <v>3.1E-2</v>
      </c>
      <c r="AK185" s="89">
        <v>2.8000000000000001E-2</v>
      </c>
      <c r="AL185" s="89">
        <v>-8888</v>
      </c>
      <c r="AM185" s="89">
        <v>0.11799999999999999</v>
      </c>
      <c r="AN185" s="89">
        <v>7.0999999999999994E-2</v>
      </c>
      <c r="AO185" s="89">
        <v>3.0000000000000001E-3</v>
      </c>
      <c r="AP185" s="89">
        <v>4.0000000000000001E-3</v>
      </c>
      <c r="AQ185" s="89">
        <v>8.9999999999999993E-3</v>
      </c>
      <c r="AR185" s="89">
        <v>7.0000000000000001E-3</v>
      </c>
      <c r="AS185" s="89">
        <v>8.9999999999999993E-3</v>
      </c>
      <c r="AT185" s="89">
        <v>1.2E-2</v>
      </c>
      <c r="AU185" s="89">
        <v>-8888</v>
      </c>
      <c r="AV185" s="89">
        <v>1.163</v>
      </c>
      <c r="AW185" s="89">
        <v>0.253</v>
      </c>
      <c r="AX185" s="89">
        <v>0.44400000000000006</v>
      </c>
      <c r="AY185" s="89">
        <v>1.6070000000000002</v>
      </c>
      <c r="AZ185" s="89">
        <v>0.69700000000000006</v>
      </c>
      <c r="BA185" s="89">
        <v>0.91400000000000015</v>
      </c>
      <c r="BB185" s="89">
        <v>1.8600000000000003</v>
      </c>
      <c r="BC185" s="89">
        <v>0.52700000000000002</v>
      </c>
      <c r="BD185" s="160">
        <v>0.97</v>
      </c>
      <c r="BE185" s="160">
        <v>0.64</v>
      </c>
      <c r="BF185" s="160">
        <v>0.36</v>
      </c>
      <c r="BG185" s="160">
        <v>1.67</v>
      </c>
      <c r="BH185" s="160">
        <v>0.14000000000000001</v>
      </c>
      <c r="BI185" s="160">
        <v>0.86</v>
      </c>
      <c r="BJ185" s="160">
        <v>0.51</v>
      </c>
      <c r="BL185" s="167"/>
    </row>
    <row r="186" spans="1:64" s="88" customFormat="1" ht="14.1" customHeight="1">
      <c r="A186" s="156" t="s">
        <v>452</v>
      </c>
      <c r="B186" s="169" t="s">
        <v>511</v>
      </c>
      <c r="C186" s="169" t="s">
        <v>876</v>
      </c>
      <c r="D186" s="169" t="s">
        <v>850</v>
      </c>
      <c r="E186" s="169" t="s">
        <v>173</v>
      </c>
      <c r="F186" s="169">
        <v>549</v>
      </c>
      <c r="G186" s="169">
        <v>10</v>
      </c>
      <c r="H186" s="169">
        <v>4</v>
      </c>
      <c r="I186" s="165">
        <v>60.4</v>
      </c>
      <c r="J186" s="165">
        <v>85</v>
      </c>
      <c r="K186" s="166" t="s">
        <v>514</v>
      </c>
      <c r="L186" s="165">
        <v>2025</v>
      </c>
      <c r="M186" s="165" t="s">
        <v>851</v>
      </c>
      <c r="N186" s="165">
        <v>26</v>
      </c>
      <c r="O186" s="181">
        <v>116</v>
      </c>
      <c r="P186" s="165" t="s">
        <v>877</v>
      </c>
      <c r="Q186" s="165">
        <v>-70.881</v>
      </c>
      <c r="R186" s="165">
        <v>40.363</v>
      </c>
      <c r="S186" s="165" t="s">
        <v>172</v>
      </c>
      <c r="T186" s="165">
        <v>25</v>
      </c>
      <c r="U186" s="166" t="s">
        <v>516</v>
      </c>
      <c r="V186" s="158">
        <v>0.13600000000000001</v>
      </c>
      <c r="W186" s="158">
        <v>2.5999999999999999E-2</v>
      </c>
      <c r="X186" s="158">
        <v>3.7999999999999999E-2</v>
      </c>
      <c r="Y186" s="157">
        <v>7.0000000000000001E-3</v>
      </c>
      <c r="Z186" s="159">
        <v>3.0000000000000001E-3</v>
      </c>
      <c r="AA186" s="89">
        <v>5.0000000000000001E-3</v>
      </c>
      <c r="AB186" s="89">
        <v>7.0000000000000001E-3</v>
      </c>
      <c r="AC186" s="89">
        <v>5.0000000000000001E-3</v>
      </c>
      <c r="AD186" s="89">
        <v>-8888</v>
      </c>
      <c r="AE186" s="89">
        <v>4.4999999999999998E-2</v>
      </c>
      <c r="AF186" s="89">
        <v>5.0000000000000001E-3</v>
      </c>
      <c r="AG186" s="89">
        <v>3.0000000000000001E-3</v>
      </c>
      <c r="AH186" s="89">
        <v>0.13400000000000001</v>
      </c>
      <c r="AI186" s="89">
        <v>-8888</v>
      </c>
      <c r="AJ186" s="89">
        <v>2E-3</v>
      </c>
      <c r="AK186" s="89">
        <v>2.5999999999999999E-2</v>
      </c>
      <c r="AL186" s="89">
        <v>-8888</v>
      </c>
      <c r="AM186" s="89">
        <v>2.5000000000000001E-2</v>
      </c>
      <c r="AN186" s="89">
        <v>1.2999999999999999E-2</v>
      </c>
      <c r="AO186" s="89">
        <v>1E-3</v>
      </c>
      <c r="AP186" s="89">
        <v>3.0000000000000001E-3</v>
      </c>
      <c r="AQ186" s="89">
        <v>2E-3</v>
      </c>
      <c r="AR186" s="89">
        <v>4.0000000000000001E-3</v>
      </c>
      <c r="AS186" s="89">
        <v>0.11899999999999999</v>
      </c>
      <c r="AT186" s="89">
        <v>7.0000000000000001E-3</v>
      </c>
      <c r="AU186" s="89">
        <v>-8888</v>
      </c>
      <c r="AV186" s="89">
        <v>0.2</v>
      </c>
      <c r="AW186" s="89">
        <v>2.1999999999999999E-2</v>
      </c>
      <c r="AX186" s="89">
        <v>5.7999999999999996E-2</v>
      </c>
      <c r="AY186" s="89">
        <v>0.25800000000000001</v>
      </c>
      <c r="AZ186" s="89">
        <v>7.9999999999999988E-2</v>
      </c>
      <c r="BA186" s="89">
        <v>0.14399999999999999</v>
      </c>
      <c r="BB186" s="89">
        <v>0.28000000000000003</v>
      </c>
      <c r="BC186" s="89">
        <v>9.4E-2</v>
      </c>
      <c r="BD186" s="160">
        <v>1.06</v>
      </c>
      <c r="BE186" s="160">
        <v>0.73</v>
      </c>
      <c r="BF186" s="160">
        <v>0.28000000000000003</v>
      </c>
      <c r="BG186" s="160">
        <v>2.5</v>
      </c>
      <c r="BH186" s="160">
        <v>0.08</v>
      </c>
      <c r="BI186" s="160">
        <v>0.92</v>
      </c>
      <c r="BJ186" s="160">
        <v>0.49</v>
      </c>
      <c r="BL186" s="167"/>
    </row>
    <row r="187" spans="1:64" s="88" customFormat="1" ht="14.1" customHeight="1">
      <c r="A187" s="156" t="s">
        <v>453</v>
      </c>
      <c r="B187" s="169" t="s">
        <v>511</v>
      </c>
      <c r="C187" s="169" t="s">
        <v>878</v>
      </c>
      <c r="D187" s="169" t="s">
        <v>850</v>
      </c>
      <c r="E187" s="169" t="s">
        <v>173</v>
      </c>
      <c r="F187" s="169">
        <v>549</v>
      </c>
      <c r="G187" s="169">
        <v>10</v>
      </c>
      <c r="H187" s="169">
        <v>4</v>
      </c>
      <c r="I187" s="165">
        <v>60.4</v>
      </c>
      <c r="J187" s="165">
        <v>85</v>
      </c>
      <c r="K187" s="166" t="s">
        <v>514</v>
      </c>
      <c r="L187" s="165">
        <v>2025</v>
      </c>
      <c r="M187" s="165" t="s">
        <v>851</v>
      </c>
      <c r="N187" s="165">
        <v>26</v>
      </c>
      <c r="O187" s="181">
        <v>116</v>
      </c>
      <c r="P187" s="165" t="s">
        <v>877</v>
      </c>
      <c r="Q187" s="165">
        <v>-70.881</v>
      </c>
      <c r="R187" s="165">
        <v>40.363</v>
      </c>
      <c r="S187" s="165" t="s">
        <v>172</v>
      </c>
      <c r="T187" s="165">
        <v>25</v>
      </c>
      <c r="U187" s="166" t="s">
        <v>516</v>
      </c>
      <c r="V187" s="158">
        <v>0.13600000000000001</v>
      </c>
      <c r="W187" s="158">
        <v>2.5000000000000001E-2</v>
      </c>
      <c r="X187" s="158">
        <v>3.6999999999999998E-2</v>
      </c>
      <c r="Y187" s="157">
        <v>7.0000000000000001E-3</v>
      </c>
      <c r="Z187" s="159">
        <v>2E-3</v>
      </c>
      <c r="AA187" s="89">
        <v>4.0000000000000001E-3</v>
      </c>
      <c r="AB187" s="89">
        <v>5.0000000000000001E-3</v>
      </c>
      <c r="AC187" s="89">
        <v>5.0000000000000001E-3</v>
      </c>
      <c r="AD187" s="89">
        <v>-8888</v>
      </c>
      <c r="AE187" s="89">
        <v>4.4999999999999998E-2</v>
      </c>
      <c r="AF187" s="89">
        <v>5.0000000000000001E-3</v>
      </c>
      <c r="AG187" s="89">
        <v>3.0000000000000001E-3</v>
      </c>
      <c r="AH187" s="89">
        <v>0.13400000000000001</v>
      </c>
      <c r="AI187" s="89">
        <v>-8888</v>
      </c>
      <c r="AJ187" s="89">
        <v>2E-3</v>
      </c>
      <c r="AK187" s="89">
        <v>2.5000000000000001E-2</v>
      </c>
      <c r="AL187" s="89">
        <v>-8888</v>
      </c>
      <c r="AM187" s="89">
        <v>2.4E-2</v>
      </c>
      <c r="AN187" s="89">
        <v>1.2999999999999999E-2</v>
      </c>
      <c r="AO187" s="89">
        <v>1E-3</v>
      </c>
      <c r="AP187" s="89">
        <v>2E-3</v>
      </c>
      <c r="AQ187" s="89">
        <v>1E-3</v>
      </c>
      <c r="AR187" s="89">
        <v>3.0000000000000001E-3</v>
      </c>
      <c r="AS187" s="89">
        <v>0.109</v>
      </c>
      <c r="AT187" s="89">
        <v>7.0000000000000001E-3</v>
      </c>
      <c r="AU187" s="89">
        <v>-8888</v>
      </c>
      <c r="AV187" s="89">
        <v>0.19800000000000001</v>
      </c>
      <c r="AW187" s="89">
        <v>0.02</v>
      </c>
      <c r="AX187" s="89">
        <v>5.6000000000000001E-2</v>
      </c>
      <c r="AY187" s="89">
        <v>0.254</v>
      </c>
      <c r="AZ187" s="89">
        <v>7.5999999999999998E-2</v>
      </c>
      <c r="BA187" s="89">
        <v>0.13800000000000001</v>
      </c>
      <c r="BB187" s="89">
        <v>0.27400000000000002</v>
      </c>
      <c r="BC187" s="89">
        <v>8.8999999999999996E-2</v>
      </c>
      <c r="BD187" s="160">
        <v>1.01</v>
      </c>
      <c r="BE187" s="160">
        <v>0.74</v>
      </c>
      <c r="BF187" s="160">
        <v>0.26</v>
      </c>
      <c r="BG187" s="160">
        <v>2.61</v>
      </c>
      <c r="BH187" s="160">
        <v>7.0000000000000007E-2</v>
      </c>
      <c r="BI187" s="160">
        <v>0.93</v>
      </c>
      <c r="BJ187" s="160">
        <v>0.5</v>
      </c>
      <c r="BL187" s="167"/>
    </row>
    <row r="188" spans="1:64" s="88" customFormat="1" ht="14.1" customHeight="1">
      <c r="A188" s="156" t="s">
        <v>454</v>
      </c>
      <c r="B188" s="169" t="s">
        <v>511</v>
      </c>
      <c r="C188" s="169" t="s">
        <v>879</v>
      </c>
      <c r="D188" s="169" t="s">
        <v>850</v>
      </c>
      <c r="E188" s="169" t="s">
        <v>170</v>
      </c>
      <c r="F188" s="169">
        <v>547</v>
      </c>
      <c r="G188" s="169">
        <v>10</v>
      </c>
      <c r="H188" s="169">
        <v>13</v>
      </c>
      <c r="I188" s="165">
        <v>23.2</v>
      </c>
      <c r="J188" s="165">
        <v>85</v>
      </c>
      <c r="K188" s="166" t="s">
        <v>514</v>
      </c>
      <c r="L188" s="165">
        <v>2025</v>
      </c>
      <c r="M188" s="165" t="s">
        <v>851</v>
      </c>
      <c r="N188" s="165">
        <v>26</v>
      </c>
      <c r="O188" s="181">
        <v>116</v>
      </c>
      <c r="P188" s="165" t="s">
        <v>880</v>
      </c>
      <c r="Q188" s="165">
        <v>-70.881</v>
      </c>
      <c r="R188" s="165">
        <v>40.363</v>
      </c>
      <c r="S188" s="165" t="s">
        <v>172</v>
      </c>
      <c r="T188" s="165">
        <v>25</v>
      </c>
      <c r="U188" s="166" t="s">
        <v>516</v>
      </c>
      <c r="V188" s="158">
        <v>1.635</v>
      </c>
      <c r="W188" s="158">
        <v>0.33200000000000002</v>
      </c>
      <c r="X188" s="158">
        <v>0.32</v>
      </c>
      <c r="Y188" s="157">
        <v>7.1999999999999995E-2</v>
      </c>
      <c r="Z188" s="159">
        <v>2.1000000000000001E-2</v>
      </c>
      <c r="AA188" s="89">
        <v>8.8999999999999996E-2</v>
      </c>
      <c r="AB188" s="89">
        <v>9.9000000000000005E-2</v>
      </c>
      <c r="AC188" s="89">
        <v>7.9000000000000001E-2</v>
      </c>
      <c r="AD188" s="89">
        <v>6.0000000000000001E-3</v>
      </c>
      <c r="AE188" s="89">
        <v>0.34699999999999998</v>
      </c>
      <c r="AF188" s="89">
        <v>0.13100000000000001</v>
      </c>
      <c r="AG188" s="89">
        <v>0.01</v>
      </c>
      <c r="AH188" s="89">
        <v>1.603</v>
      </c>
      <c r="AI188" s="89">
        <v>-8888</v>
      </c>
      <c r="AJ188" s="89">
        <v>3.2000000000000001E-2</v>
      </c>
      <c r="AK188" s="89">
        <v>0.33200000000000002</v>
      </c>
      <c r="AL188" s="89">
        <v>-8888</v>
      </c>
      <c r="AM188" s="89">
        <v>0.20300000000000001</v>
      </c>
      <c r="AN188" s="89">
        <v>0.11700000000000001</v>
      </c>
      <c r="AO188" s="89">
        <v>3.0000000000000001E-3</v>
      </c>
      <c r="AP188" s="89">
        <v>3.5999999999999997E-2</v>
      </c>
      <c r="AQ188" s="89">
        <v>1.7999999999999999E-2</v>
      </c>
      <c r="AR188" s="89">
        <v>1.2999999999999999E-2</v>
      </c>
      <c r="AS188" s="89">
        <v>7.5999999999999998E-2</v>
      </c>
      <c r="AT188" s="89">
        <v>4.7E-2</v>
      </c>
      <c r="AU188" s="89">
        <v>-8888</v>
      </c>
      <c r="AV188" s="89">
        <v>2.2869999999999999</v>
      </c>
      <c r="AW188" s="89">
        <v>0.26600000000000001</v>
      </c>
      <c r="AX188" s="89">
        <v>0.58799999999999997</v>
      </c>
      <c r="AY188" s="89">
        <v>2.875</v>
      </c>
      <c r="AZ188" s="89">
        <v>0.85399999999999998</v>
      </c>
      <c r="BA188" s="89">
        <v>1.506</v>
      </c>
      <c r="BB188" s="89">
        <v>3.141</v>
      </c>
      <c r="BC188" s="89">
        <v>1.0289999999999999</v>
      </c>
      <c r="BD188" s="160">
        <v>0.92</v>
      </c>
      <c r="BE188" s="160">
        <v>0.69</v>
      </c>
      <c r="BF188" s="160">
        <v>0.31</v>
      </c>
      <c r="BG188" s="160">
        <v>2.68</v>
      </c>
      <c r="BH188" s="160">
        <v>0.08</v>
      </c>
      <c r="BI188" s="160">
        <v>0.92</v>
      </c>
      <c r="BJ188" s="160">
        <v>0.52</v>
      </c>
      <c r="BL188" s="167"/>
    </row>
    <row r="189" spans="1:64" s="88" customFormat="1" ht="14.1" customHeight="1">
      <c r="A189" s="156" t="s">
        <v>455</v>
      </c>
      <c r="B189" s="169" t="s">
        <v>511</v>
      </c>
      <c r="C189" s="169" t="s">
        <v>881</v>
      </c>
      <c r="D189" s="169" t="s">
        <v>850</v>
      </c>
      <c r="E189" s="169" t="s">
        <v>170</v>
      </c>
      <c r="F189" s="169">
        <v>548</v>
      </c>
      <c r="G189" s="169">
        <v>10</v>
      </c>
      <c r="H189" s="169">
        <v>20</v>
      </c>
      <c r="I189" s="165">
        <v>2.7</v>
      </c>
      <c r="J189" s="165">
        <v>85</v>
      </c>
      <c r="K189" s="166" t="s">
        <v>514</v>
      </c>
      <c r="L189" s="165">
        <v>2025</v>
      </c>
      <c r="M189" s="165" t="s">
        <v>851</v>
      </c>
      <c r="N189" s="165">
        <v>26</v>
      </c>
      <c r="O189" s="181">
        <v>116</v>
      </c>
      <c r="P189" s="165" t="s">
        <v>882</v>
      </c>
      <c r="Q189" s="165">
        <v>-70.881</v>
      </c>
      <c r="R189" s="165">
        <v>40.363</v>
      </c>
      <c r="S189" s="165" t="s">
        <v>172</v>
      </c>
      <c r="T189" s="165">
        <v>25</v>
      </c>
      <c r="U189" s="166" t="s">
        <v>516</v>
      </c>
      <c r="V189" s="158">
        <v>1.3340000000000001</v>
      </c>
      <c r="W189" s="158">
        <v>0.19700000000000001</v>
      </c>
      <c r="X189" s="158">
        <v>0.27500000000000002</v>
      </c>
      <c r="Y189" s="157">
        <v>6.7000000000000004E-2</v>
      </c>
      <c r="Z189" s="159">
        <v>3.7999999999999999E-2</v>
      </c>
      <c r="AA189" s="89">
        <v>0.14099999999999999</v>
      </c>
      <c r="AB189" s="89">
        <v>7.0999999999999994E-2</v>
      </c>
      <c r="AC189" s="89">
        <v>0.17499999999999999</v>
      </c>
      <c r="AD189" s="89">
        <v>2.1000000000000001E-2</v>
      </c>
      <c r="AE189" s="89">
        <v>0.38100000000000001</v>
      </c>
      <c r="AF189" s="89">
        <v>4.7E-2</v>
      </c>
      <c r="AG189" s="89">
        <v>1.2999999999999999E-2</v>
      </c>
      <c r="AH189" s="89">
        <v>1.1950000000000001</v>
      </c>
      <c r="AI189" s="89">
        <v>-8888</v>
      </c>
      <c r="AJ189" s="89">
        <v>0.13900000000000001</v>
      </c>
      <c r="AK189" s="89">
        <v>0.19700000000000001</v>
      </c>
      <c r="AL189" s="89">
        <v>-8888</v>
      </c>
      <c r="AM189" s="89">
        <v>0.17699999999999999</v>
      </c>
      <c r="AN189" s="89">
        <v>9.8000000000000004E-2</v>
      </c>
      <c r="AO189" s="89">
        <v>5.0000000000000001E-3</v>
      </c>
      <c r="AP189" s="89">
        <v>2.1000000000000001E-2</v>
      </c>
      <c r="AQ189" s="89">
        <v>2.3E-2</v>
      </c>
      <c r="AR189" s="89">
        <v>8.0000000000000002E-3</v>
      </c>
      <c r="AS189" s="89">
        <v>3.7999999999999999E-2</v>
      </c>
      <c r="AT189" s="89">
        <v>2.4E-2</v>
      </c>
      <c r="AU189" s="89">
        <v>-8888</v>
      </c>
      <c r="AV189" s="89">
        <v>1.806</v>
      </c>
      <c r="AW189" s="89">
        <v>0.34700000000000003</v>
      </c>
      <c r="AX189" s="89">
        <v>0.60699999999999998</v>
      </c>
      <c r="AY189" s="89">
        <v>2.4130000000000003</v>
      </c>
      <c r="AZ189" s="89">
        <v>0.95399999999999996</v>
      </c>
      <c r="BA189" s="89">
        <v>1.4260000000000002</v>
      </c>
      <c r="BB189" s="89">
        <v>2.7600000000000002</v>
      </c>
      <c r="BC189" s="89">
        <v>0.88800000000000001</v>
      </c>
      <c r="BD189" s="160">
        <v>1.07</v>
      </c>
      <c r="BE189" s="160">
        <v>0.64</v>
      </c>
      <c r="BF189" s="160">
        <v>0.36</v>
      </c>
      <c r="BG189" s="160">
        <v>1.89</v>
      </c>
      <c r="BH189" s="160">
        <v>0.13</v>
      </c>
      <c r="BI189" s="160">
        <v>0.87</v>
      </c>
      <c r="BJ189" s="160">
        <v>0.48</v>
      </c>
      <c r="BL189" s="167"/>
    </row>
    <row r="190" spans="1:64" s="88" customFormat="1" ht="14.1" customHeight="1">
      <c r="A190" s="156" t="s">
        <v>456</v>
      </c>
      <c r="B190" s="169" t="s">
        <v>511</v>
      </c>
      <c r="C190" s="169" t="s">
        <v>883</v>
      </c>
      <c r="D190" s="169" t="s">
        <v>850</v>
      </c>
      <c r="E190" s="169" t="s">
        <v>170</v>
      </c>
      <c r="F190" s="169">
        <v>547</v>
      </c>
      <c r="G190" s="169">
        <v>15</v>
      </c>
      <c r="H190" s="169">
        <v>14</v>
      </c>
      <c r="I190" s="165">
        <v>20.5</v>
      </c>
      <c r="J190" s="165">
        <v>211</v>
      </c>
      <c r="K190" s="166" t="s">
        <v>514</v>
      </c>
      <c r="L190" s="165">
        <v>2025</v>
      </c>
      <c r="M190" s="165" t="s">
        <v>851</v>
      </c>
      <c r="N190" s="165">
        <v>27</v>
      </c>
      <c r="O190" s="181">
        <v>117</v>
      </c>
      <c r="P190" s="165" t="s">
        <v>884</v>
      </c>
      <c r="Q190" s="165">
        <v>-70.884</v>
      </c>
      <c r="R190" s="165">
        <v>40.045999999999999</v>
      </c>
      <c r="S190" s="165" t="s">
        <v>172</v>
      </c>
      <c r="T190" s="165">
        <v>25</v>
      </c>
      <c r="U190" s="166" t="s">
        <v>516</v>
      </c>
      <c r="V190" s="158">
        <v>2.0310000000000001</v>
      </c>
      <c r="W190" s="158">
        <v>0.186</v>
      </c>
      <c r="X190" s="158">
        <v>0.41399999999999998</v>
      </c>
      <c r="Y190" s="157">
        <v>9.0999999999999998E-2</v>
      </c>
      <c r="Z190" s="159">
        <v>5.8000000000000003E-2</v>
      </c>
      <c r="AA190" s="89">
        <v>0.16400000000000001</v>
      </c>
      <c r="AB190" s="89">
        <v>9.6000000000000002E-2</v>
      </c>
      <c r="AC190" s="89">
        <v>0.17399999999999999</v>
      </c>
      <c r="AD190" s="89">
        <v>1.6E-2</v>
      </c>
      <c r="AE190" s="89">
        <v>0.50900000000000001</v>
      </c>
      <c r="AF190" s="89">
        <v>0.16800000000000001</v>
      </c>
      <c r="AG190" s="89">
        <v>1.6E-2</v>
      </c>
      <c r="AH190" s="89">
        <v>1.9550000000000001</v>
      </c>
      <c r="AI190" s="89">
        <v>-8888</v>
      </c>
      <c r="AJ190" s="89">
        <v>7.5999999999999998E-2</v>
      </c>
      <c r="AK190" s="89">
        <v>0.186</v>
      </c>
      <c r="AL190" s="89">
        <v>-8888</v>
      </c>
      <c r="AM190" s="89">
        <v>0.28199999999999997</v>
      </c>
      <c r="AN190" s="89">
        <v>0.13200000000000001</v>
      </c>
      <c r="AO190" s="89">
        <v>6.0000000000000001E-3</v>
      </c>
      <c r="AP190" s="89">
        <v>2.1000000000000001E-2</v>
      </c>
      <c r="AQ190" s="89">
        <v>2.1999999999999999E-2</v>
      </c>
      <c r="AR190" s="89">
        <v>1.4E-2</v>
      </c>
      <c r="AS190" s="89">
        <v>4.8000000000000001E-2</v>
      </c>
      <c r="AT190" s="89">
        <v>2.5999999999999999E-2</v>
      </c>
      <c r="AU190" s="89">
        <v>-8888</v>
      </c>
      <c r="AV190" s="89">
        <v>2.6310000000000002</v>
      </c>
      <c r="AW190" s="89">
        <v>0.39300000000000002</v>
      </c>
      <c r="AX190" s="89">
        <v>0.89900000000000013</v>
      </c>
      <c r="AY190" s="89">
        <v>3.5300000000000002</v>
      </c>
      <c r="AZ190" s="89">
        <v>1.2920000000000003</v>
      </c>
      <c r="BA190" s="89">
        <v>1.8920000000000001</v>
      </c>
      <c r="BB190" s="89">
        <v>3.923</v>
      </c>
      <c r="BC190" s="89">
        <v>1.1970000000000001</v>
      </c>
      <c r="BD190" s="160">
        <v>0.93</v>
      </c>
      <c r="BE190" s="160">
        <v>0.7</v>
      </c>
      <c r="BF190" s="160">
        <v>0.3</v>
      </c>
      <c r="BG190" s="160">
        <v>2.04</v>
      </c>
      <c r="BH190" s="160">
        <v>0.1</v>
      </c>
      <c r="BI190" s="160">
        <v>0.9</v>
      </c>
      <c r="BJ190" s="160">
        <v>0.52</v>
      </c>
      <c r="BL190" s="167"/>
    </row>
    <row r="191" spans="1:64" s="88" customFormat="1" ht="14.1" customHeight="1">
      <c r="A191" s="156" t="s">
        <v>457</v>
      </c>
      <c r="B191" s="169" t="s">
        <v>511</v>
      </c>
      <c r="C191" s="169" t="s">
        <v>885</v>
      </c>
      <c r="D191" s="169" t="s">
        <v>850</v>
      </c>
      <c r="E191" s="169" t="s">
        <v>170</v>
      </c>
      <c r="F191" s="169">
        <v>548</v>
      </c>
      <c r="G191" s="169">
        <v>15</v>
      </c>
      <c r="H191" s="169">
        <v>21</v>
      </c>
      <c r="I191" s="165">
        <v>2.6</v>
      </c>
      <c r="J191" s="165">
        <v>211</v>
      </c>
      <c r="K191" s="166" t="s">
        <v>514</v>
      </c>
      <c r="L191" s="165">
        <v>2025</v>
      </c>
      <c r="M191" s="165" t="s">
        <v>851</v>
      </c>
      <c r="N191" s="165">
        <v>27</v>
      </c>
      <c r="O191" s="181">
        <v>117</v>
      </c>
      <c r="P191" s="165" t="s">
        <v>886</v>
      </c>
      <c r="Q191" s="165">
        <v>-70.884</v>
      </c>
      <c r="R191" s="165">
        <v>40.045999999999999</v>
      </c>
      <c r="S191" s="165" t="s">
        <v>172</v>
      </c>
      <c r="T191" s="165">
        <v>25</v>
      </c>
      <c r="U191" s="166" t="s">
        <v>516</v>
      </c>
      <c r="V191" s="158">
        <v>2.1160000000000001</v>
      </c>
      <c r="W191" s="158">
        <v>0.19800000000000001</v>
      </c>
      <c r="X191" s="158">
        <v>0.433</v>
      </c>
      <c r="Y191" s="157">
        <v>9.0999999999999998E-2</v>
      </c>
      <c r="Z191" s="159">
        <v>5.6000000000000001E-2</v>
      </c>
      <c r="AA191" s="89">
        <v>0.13100000000000001</v>
      </c>
      <c r="AB191" s="89">
        <v>0.10100000000000001</v>
      </c>
      <c r="AC191" s="89">
        <v>0.128</v>
      </c>
      <c r="AD191" s="89">
        <v>1.2E-2</v>
      </c>
      <c r="AE191" s="89">
        <v>0.50800000000000001</v>
      </c>
      <c r="AF191" s="89">
        <v>0.20899999999999999</v>
      </c>
      <c r="AG191" s="89">
        <v>1.7999999999999999E-2</v>
      </c>
      <c r="AH191" s="89">
        <v>2.06</v>
      </c>
      <c r="AI191" s="89">
        <v>-8888</v>
      </c>
      <c r="AJ191" s="89">
        <v>5.6000000000000001E-2</v>
      </c>
      <c r="AK191" s="89">
        <v>0.19800000000000001</v>
      </c>
      <c r="AL191" s="89">
        <v>-8888</v>
      </c>
      <c r="AM191" s="89">
        <v>0.30599999999999999</v>
      </c>
      <c r="AN191" s="89">
        <v>0.127</v>
      </c>
      <c r="AO191" s="89">
        <v>6.0000000000000001E-3</v>
      </c>
      <c r="AP191" s="89">
        <v>2.1999999999999999E-2</v>
      </c>
      <c r="AQ191" s="89">
        <v>1.9E-2</v>
      </c>
      <c r="AR191" s="89">
        <v>1.4999999999999999E-2</v>
      </c>
      <c r="AS191" s="89">
        <v>4.3999999999999997E-2</v>
      </c>
      <c r="AT191" s="89">
        <v>2.5000000000000001E-2</v>
      </c>
      <c r="AU191" s="89">
        <v>-8888</v>
      </c>
      <c r="AV191" s="89">
        <v>2.7469999999999999</v>
      </c>
      <c r="AW191" s="89">
        <v>0.35</v>
      </c>
      <c r="AX191" s="89">
        <v>0.90400000000000003</v>
      </c>
      <c r="AY191" s="89">
        <v>3.6509999999999998</v>
      </c>
      <c r="AZ191" s="89">
        <v>1.254</v>
      </c>
      <c r="BA191" s="89">
        <v>1.885</v>
      </c>
      <c r="BB191" s="89">
        <v>4.0010000000000003</v>
      </c>
      <c r="BC191" s="89">
        <v>1.2210000000000001</v>
      </c>
      <c r="BD191" s="160">
        <v>0.89</v>
      </c>
      <c r="BE191" s="160">
        <v>0.72</v>
      </c>
      <c r="BF191" s="160">
        <v>0.28000000000000003</v>
      </c>
      <c r="BG191" s="160">
        <v>2.19</v>
      </c>
      <c r="BH191" s="160">
        <v>0.09</v>
      </c>
      <c r="BI191" s="160">
        <v>0.91</v>
      </c>
      <c r="BJ191" s="160">
        <v>0.53</v>
      </c>
      <c r="BL191" s="167"/>
    </row>
    <row r="192" spans="1:64" s="88" customFormat="1" ht="14.1" customHeight="1">
      <c r="A192" s="156" t="s">
        <v>458</v>
      </c>
      <c r="B192" s="169" t="s">
        <v>511</v>
      </c>
      <c r="C192" s="169" t="s">
        <v>887</v>
      </c>
      <c r="D192" s="169" t="s">
        <v>850</v>
      </c>
      <c r="E192" s="169" t="s">
        <v>170</v>
      </c>
      <c r="F192" s="169">
        <v>547</v>
      </c>
      <c r="G192" s="169">
        <v>16</v>
      </c>
      <c r="H192" s="169">
        <v>12</v>
      </c>
      <c r="I192" s="165">
        <v>16.100000000000001</v>
      </c>
      <c r="J192" s="165">
        <v>129</v>
      </c>
      <c r="K192" s="166" t="s">
        <v>514</v>
      </c>
      <c r="L192" s="165">
        <v>2025</v>
      </c>
      <c r="M192" s="165" t="s">
        <v>851</v>
      </c>
      <c r="N192" s="165">
        <v>28</v>
      </c>
      <c r="O192" s="181">
        <v>118</v>
      </c>
      <c r="P192" s="165" t="s">
        <v>888</v>
      </c>
      <c r="Q192" s="165">
        <v>-70.882999999999996</v>
      </c>
      <c r="R192" s="165">
        <v>40.256</v>
      </c>
      <c r="S192" s="165" t="s">
        <v>172</v>
      </c>
      <c r="T192" s="165">
        <v>25</v>
      </c>
      <c r="U192" s="166" t="s">
        <v>516</v>
      </c>
      <c r="V192" s="158">
        <v>1.4969999999999999</v>
      </c>
      <c r="W192" s="158">
        <v>0.156</v>
      </c>
      <c r="X192" s="158">
        <v>0.32100000000000001</v>
      </c>
      <c r="Y192" s="157">
        <v>7.0999999999999994E-2</v>
      </c>
      <c r="Z192" s="159">
        <v>0.04</v>
      </c>
      <c r="AA192" s="89">
        <v>0.13600000000000001</v>
      </c>
      <c r="AB192" s="89">
        <v>8.5000000000000006E-2</v>
      </c>
      <c r="AC192" s="89">
        <v>0.16300000000000001</v>
      </c>
      <c r="AD192" s="89">
        <v>1.6E-2</v>
      </c>
      <c r="AE192" s="89">
        <v>0.41399999999999998</v>
      </c>
      <c r="AF192" s="89">
        <v>9.7000000000000003E-2</v>
      </c>
      <c r="AG192" s="89">
        <v>0.01</v>
      </c>
      <c r="AH192" s="89">
        <v>1.3859999999999999</v>
      </c>
      <c r="AI192" s="89">
        <v>-8888</v>
      </c>
      <c r="AJ192" s="89">
        <v>0.111</v>
      </c>
      <c r="AK192" s="89">
        <v>0.156</v>
      </c>
      <c r="AL192" s="89">
        <v>-8888</v>
      </c>
      <c r="AM192" s="89">
        <v>0.20499999999999999</v>
      </c>
      <c r="AN192" s="89">
        <v>0.11600000000000001</v>
      </c>
      <c r="AO192" s="89">
        <v>5.0000000000000001E-3</v>
      </c>
      <c r="AP192" s="89">
        <v>1.7999999999999999E-2</v>
      </c>
      <c r="AQ192" s="89">
        <v>1.9E-2</v>
      </c>
      <c r="AR192" s="89">
        <v>1.2E-2</v>
      </c>
      <c r="AS192" s="89">
        <v>4.7E-2</v>
      </c>
      <c r="AT192" s="89">
        <v>2.5999999999999999E-2</v>
      </c>
      <c r="AU192" s="89">
        <v>-8888</v>
      </c>
      <c r="AV192" s="89">
        <v>1.9739999999999998</v>
      </c>
      <c r="AW192" s="89">
        <v>0.34500000000000003</v>
      </c>
      <c r="AX192" s="89">
        <v>0.68699999999999994</v>
      </c>
      <c r="AY192" s="89">
        <v>2.6609999999999996</v>
      </c>
      <c r="AZ192" s="89">
        <v>1.032</v>
      </c>
      <c r="BA192" s="89">
        <v>1.5089999999999999</v>
      </c>
      <c r="BB192" s="89">
        <v>3.0059999999999998</v>
      </c>
      <c r="BC192" s="89">
        <v>0.93799999999999994</v>
      </c>
      <c r="BD192" s="160">
        <v>1.01</v>
      </c>
      <c r="BE192" s="160">
        <v>0.67</v>
      </c>
      <c r="BF192" s="160">
        <v>0.33</v>
      </c>
      <c r="BG192" s="160">
        <v>1.91</v>
      </c>
      <c r="BH192" s="160">
        <v>0.11</v>
      </c>
      <c r="BI192" s="160">
        <v>0.89</v>
      </c>
      <c r="BJ192" s="160">
        <v>0.5</v>
      </c>
      <c r="BL192" s="167"/>
    </row>
    <row r="193" spans="1:64" s="88" customFormat="1" ht="14.1" customHeight="1">
      <c r="A193" s="156" t="s">
        <v>459</v>
      </c>
      <c r="B193" s="169" t="s">
        <v>511</v>
      </c>
      <c r="C193" s="169" t="s">
        <v>889</v>
      </c>
      <c r="D193" s="169" t="s">
        <v>850</v>
      </c>
      <c r="E193" s="169" t="s">
        <v>170</v>
      </c>
      <c r="F193" s="169">
        <v>548</v>
      </c>
      <c r="G193" s="169">
        <v>16</v>
      </c>
      <c r="H193" s="169">
        <v>20</v>
      </c>
      <c r="I193" s="165">
        <v>2.4</v>
      </c>
      <c r="J193" s="165">
        <v>129</v>
      </c>
      <c r="K193" s="166" t="s">
        <v>514</v>
      </c>
      <c r="L193" s="165">
        <v>2025</v>
      </c>
      <c r="M193" s="165" t="s">
        <v>851</v>
      </c>
      <c r="N193" s="165">
        <v>28</v>
      </c>
      <c r="O193" s="181">
        <v>118</v>
      </c>
      <c r="P193" s="165" t="s">
        <v>890</v>
      </c>
      <c r="Q193" s="165">
        <v>-70.882999999999996</v>
      </c>
      <c r="R193" s="165">
        <v>40.256</v>
      </c>
      <c r="S193" s="165" t="s">
        <v>172</v>
      </c>
      <c r="T193" s="165">
        <v>25</v>
      </c>
      <c r="U193" s="166" t="s">
        <v>516</v>
      </c>
      <c r="V193" s="158">
        <v>1.468</v>
      </c>
      <c r="W193" s="158">
        <v>0.161</v>
      </c>
      <c r="X193" s="158">
        <v>0.29800000000000004</v>
      </c>
      <c r="Y193" s="157">
        <v>7.0000000000000007E-2</v>
      </c>
      <c r="Z193" s="159">
        <v>3.5000000000000003E-2</v>
      </c>
      <c r="AA193" s="89">
        <v>0.13600000000000001</v>
      </c>
      <c r="AB193" s="89">
        <v>8.5000000000000006E-2</v>
      </c>
      <c r="AC193" s="89">
        <v>0.16900000000000001</v>
      </c>
      <c r="AD193" s="89">
        <v>1.6E-2</v>
      </c>
      <c r="AE193" s="89">
        <v>0.37</v>
      </c>
      <c r="AF193" s="89">
        <v>0.106</v>
      </c>
      <c r="AG193" s="89">
        <v>1.0999999999999999E-2</v>
      </c>
      <c r="AH193" s="89">
        <v>1.395</v>
      </c>
      <c r="AI193" s="89">
        <v>-8888</v>
      </c>
      <c r="AJ193" s="89">
        <v>7.2999999999999995E-2</v>
      </c>
      <c r="AK193" s="89">
        <v>0.161</v>
      </c>
      <c r="AL193" s="89">
        <v>-8888</v>
      </c>
      <c r="AM193" s="89">
        <v>0.19700000000000001</v>
      </c>
      <c r="AN193" s="89">
        <v>0.10100000000000001</v>
      </c>
      <c r="AO193" s="89">
        <v>6.0000000000000001E-3</v>
      </c>
      <c r="AP193" s="89">
        <v>1.9E-2</v>
      </c>
      <c r="AQ193" s="89">
        <v>2.1000000000000001E-2</v>
      </c>
      <c r="AR193" s="89">
        <v>1.2E-2</v>
      </c>
      <c r="AS193" s="89">
        <v>0.03</v>
      </c>
      <c r="AT193" s="89">
        <v>2.5000000000000001E-2</v>
      </c>
      <c r="AU193" s="89">
        <v>-8888</v>
      </c>
      <c r="AV193" s="89">
        <v>1.927</v>
      </c>
      <c r="AW193" s="89">
        <v>0.35100000000000003</v>
      </c>
      <c r="AX193" s="89">
        <v>0.64700000000000002</v>
      </c>
      <c r="AY193" s="89">
        <v>2.5739999999999998</v>
      </c>
      <c r="AZ193" s="89">
        <v>0.998</v>
      </c>
      <c r="BA193" s="89">
        <v>1.4570000000000001</v>
      </c>
      <c r="BB193" s="89">
        <v>2.9249999999999998</v>
      </c>
      <c r="BC193" s="89">
        <v>0.90400000000000003</v>
      </c>
      <c r="BD193" s="160">
        <v>0.99</v>
      </c>
      <c r="BE193" s="160">
        <v>0.65</v>
      </c>
      <c r="BF193" s="160">
        <v>0.35</v>
      </c>
      <c r="BG193" s="160">
        <v>1.93</v>
      </c>
      <c r="BH193" s="160">
        <v>0.12</v>
      </c>
      <c r="BI193" s="160">
        <v>0.88</v>
      </c>
      <c r="BJ193" s="160">
        <v>0.5</v>
      </c>
      <c r="BL193" s="167"/>
    </row>
    <row r="194" spans="1:64" s="88" customFormat="1" ht="14.1" customHeight="1">
      <c r="A194" s="156" t="s">
        <v>460</v>
      </c>
      <c r="B194" s="169" t="s">
        <v>511</v>
      </c>
      <c r="C194" s="169" t="s">
        <v>891</v>
      </c>
      <c r="D194" s="169" t="s">
        <v>850</v>
      </c>
      <c r="E194" s="169" t="s">
        <v>170</v>
      </c>
      <c r="F194" s="169">
        <v>549</v>
      </c>
      <c r="G194" s="169">
        <v>17</v>
      </c>
      <c r="H194" s="169">
        <v>8</v>
      </c>
      <c r="I194" s="165">
        <v>50.4</v>
      </c>
      <c r="J194" s="165">
        <v>140</v>
      </c>
      <c r="K194" s="166" t="s">
        <v>514</v>
      </c>
      <c r="L194" s="165">
        <v>2025</v>
      </c>
      <c r="M194" s="165" t="s">
        <v>851</v>
      </c>
      <c r="N194" s="165">
        <v>28</v>
      </c>
      <c r="O194" s="181">
        <v>118</v>
      </c>
      <c r="P194" s="165" t="s">
        <v>764</v>
      </c>
      <c r="Q194" s="165">
        <v>-70.882999999999996</v>
      </c>
      <c r="R194" s="165">
        <v>40.151000000000003</v>
      </c>
      <c r="S194" s="165" t="s">
        <v>172</v>
      </c>
      <c r="T194" s="165">
        <v>25</v>
      </c>
      <c r="U194" s="166" t="s">
        <v>516</v>
      </c>
      <c r="V194" s="158">
        <v>8.8999999999999996E-2</v>
      </c>
      <c r="W194" s="158">
        <v>8.0000000000000002E-3</v>
      </c>
      <c r="X194" s="158">
        <v>2.7E-2</v>
      </c>
      <c r="Y194" s="157">
        <v>4.0000000000000001E-3</v>
      </c>
      <c r="Z194" s="159">
        <v>3.0000000000000001E-3</v>
      </c>
      <c r="AA194" s="89">
        <v>7.0000000000000001E-3</v>
      </c>
      <c r="AB194" s="89">
        <v>2E-3</v>
      </c>
      <c r="AC194" s="89">
        <v>4.0000000000000001E-3</v>
      </c>
      <c r="AD194" s="89">
        <v>-8888</v>
      </c>
      <c r="AE194" s="89">
        <v>3.9E-2</v>
      </c>
      <c r="AF194" s="89">
        <v>3.0000000000000001E-3</v>
      </c>
      <c r="AG194" s="89">
        <v>2E-3</v>
      </c>
      <c r="AH194" s="89">
        <v>8.8999999999999996E-2</v>
      </c>
      <c r="AI194" s="89">
        <v>-8888</v>
      </c>
      <c r="AJ194" s="89">
        <v>-8888</v>
      </c>
      <c r="AK194" s="89">
        <v>8.0000000000000002E-3</v>
      </c>
      <c r="AL194" s="89">
        <v>-8888</v>
      </c>
      <c r="AM194" s="89">
        <v>1.4E-2</v>
      </c>
      <c r="AN194" s="89">
        <v>1.2999999999999999E-2</v>
      </c>
      <c r="AO194" s="89">
        <v>-8888</v>
      </c>
      <c r="AP194" s="89">
        <v>1E-3</v>
      </c>
      <c r="AQ194" s="89">
        <v>-8888</v>
      </c>
      <c r="AR194" s="89">
        <v>3.0000000000000001E-3</v>
      </c>
      <c r="AS194" s="89">
        <v>4.2999999999999997E-2</v>
      </c>
      <c r="AT194" s="89">
        <v>-8888</v>
      </c>
      <c r="AU194" s="89">
        <v>-8888</v>
      </c>
      <c r="AV194" s="89">
        <v>0.124</v>
      </c>
      <c r="AW194" s="89">
        <v>1.2E-2</v>
      </c>
      <c r="AX194" s="89">
        <v>5.2000000000000005E-2</v>
      </c>
      <c r="AY194" s="89">
        <v>0.17599999999999999</v>
      </c>
      <c r="AZ194" s="89">
        <v>6.4000000000000001E-2</v>
      </c>
      <c r="BA194" s="89">
        <v>9.9000000000000005E-2</v>
      </c>
      <c r="BB194" s="89">
        <v>0.188</v>
      </c>
      <c r="BC194" s="89">
        <v>6.4000000000000001E-2</v>
      </c>
      <c r="BD194" s="160">
        <v>1.1100000000000001</v>
      </c>
      <c r="BE194" s="160">
        <v>0.81</v>
      </c>
      <c r="BF194" s="160">
        <v>0.19</v>
      </c>
      <c r="BG194" s="160">
        <v>1.94</v>
      </c>
      <c r="BH194" s="160">
        <v>0.06</v>
      </c>
      <c r="BI194" s="160">
        <v>0.94</v>
      </c>
      <c r="BJ194" s="160">
        <v>0.47</v>
      </c>
      <c r="BL194" s="167"/>
    </row>
    <row r="195" spans="1:64" s="88" customFormat="1" ht="14.1" customHeight="1">
      <c r="A195" s="156" t="s">
        <v>461</v>
      </c>
      <c r="B195" s="169" t="s">
        <v>511</v>
      </c>
      <c r="C195" s="169" t="s">
        <v>892</v>
      </c>
      <c r="D195" s="169" t="s">
        <v>850</v>
      </c>
      <c r="E195" s="169" t="s">
        <v>170</v>
      </c>
      <c r="F195" s="169">
        <v>547</v>
      </c>
      <c r="G195" s="169">
        <v>17</v>
      </c>
      <c r="H195" s="169">
        <v>13</v>
      </c>
      <c r="I195" s="165">
        <v>27.6</v>
      </c>
      <c r="J195" s="165">
        <v>140</v>
      </c>
      <c r="K195" s="166" t="s">
        <v>514</v>
      </c>
      <c r="L195" s="165">
        <v>2025</v>
      </c>
      <c r="M195" s="165" t="s">
        <v>851</v>
      </c>
      <c r="N195" s="165">
        <v>28</v>
      </c>
      <c r="O195" s="181">
        <v>118</v>
      </c>
      <c r="P195" s="165" t="s">
        <v>893</v>
      </c>
      <c r="Q195" s="165">
        <v>-70.882999999999996</v>
      </c>
      <c r="R195" s="165">
        <v>40.151000000000003</v>
      </c>
      <c r="S195" s="165" t="s">
        <v>172</v>
      </c>
      <c r="T195" s="165">
        <v>25</v>
      </c>
      <c r="U195" s="166" t="s">
        <v>516</v>
      </c>
      <c r="V195" s="158">
        <v>1.421</v>
      </c>
      <c r="W195" s="158">
        <v>9.5000000000000001E-2</v>
      </c>
      <c r="X195" s="158">
        <v>0.318</v>
      </c>
      <c r="Y195" s="157">
        <v>6.0999999999999999E-2</v>
      </c>
      <c r="Z195" s="159">
        <v>0.04</v>
      </c>
      <c r="AA195" s="89">
        <v>5.7000000000000002E-2</v>
      </c>
      <c r="AB195" s="89">
        <v>7.5999999999999998E-2</v>
      </c>
      <c r="AC195" s="89">
        <v>8.7999999999999995E-2</v>
      </c>
      <c r="AD195" s="89">
        <v>1.2E-2</v>
      </c>
      <c r="AE195" s="89">
        <v>0.40300000000000002</v>
      </c>
      <c r="AF195" s="89">
        <v>0.14699999999999999</v>
      </c>
      <c r="AG195" s="89">
        <v>7.0000000000000001E-3</v>
      </c>
      <c r="AH195" s="89">
        <v>1.401</v>
      </c>
      <c r="AI195" s="89">
        <v>-8888</v>
      </c>
      <c r="AJ195" s="89">
        <v>0.02</v>
      </c>
      <c r="AK195" s="89">
        <v>9.5000000000000001E-2</v>
      </c>
      <c r="AL195" s="89">
        <v>-8888</v>
      </c>
      <c r="AM195" s="89">
        <v>0.21</v>
      </c>
      <c r="AN195" s="89">
        <v>0.108</v>
      </c>
      <c r="AO195" s="89">
        <v>2E-3</v>
      </c>
      <c r="AP195" s="89">
        <v>1.0999999999999999E-2</v>
      </c>
      <c r="AQ195" s="89">
        <v>8.9999999999999993E-3</v>
      </c>
      <c r="AR195" s="89">
        <v>1.4E-2</v>
      </c>
      <c r="AS195" s="89">
        <v>8.8999999999999996E-2</v>
      </c>
      <c r="AT195" s="89">
        <v>-8888</v>
      </c>
      <c r="AU195" s="89">
        <v>-8888</v>
      </c>
      <c r="AV195" s="89">
        <v>1.8340000000000001</v>
      </c>
      <c r="AW195" s="89">
        <v>0.24399999999999999</v>
      </c>
      <c r="AX195" s="89">
        <v>0.64700000000000002</v>
      </c>
      <c r="AY195" s="89">
        <v>2.4809999999999999</v>
      </c>
      <c r="AZ195" s="89">
        <v>0.89100000000000001</v>
      </c>
      <c r="BA195" s="89">
        <v>1.304</v>
      </c>
      <c r="BB195" s="89">
        <v>2.7250000000000001</v>
      </c>
      <c r="BC195" s="89">
        <v>0.82499999999999996</v>
      </c>
      <c r="BD195" s="160">
        <v>0.92</v>
      </c>
      <c r="BE195" s="160">
        <v>0.73</v>
      </c>
      <c r="BF195" s="160">
        <v>0.27</v>
      </c>
      <c r="BG195" s="160">
        <v>2.06</v>
      </c>
      <c r="BH195" s="160">
        <v>0.09</v>
      </c>
      <c r="BI195" s="160">
        <v>0.91</v>
      </c>
      <c r="BJ195" s="160">
        <v>0.52</v>
      </c>
      <c r="BL195" s="167"/>
    </row>
    <row r="196" spans="1:64" s="88" customFormat="1" ht="14.1" customHeight="1">
      <c r="A196" s="156" t="s">
        <v>462</v>
      </c>
      <c r="B196" s="169" t="s">
        <v>511</v>
      </c>
      <c r="C196" s="169" t="s">
        <v>894</v>
      </c>
      <c r="D196" s="169" t="s">
        <v>850</v>
      </c>
      <c r="E196" s="169" t="s">
        <v>170</v>
      </c>
      <c r="F196" s="169">
        <v>548</v>
      </c>
      <c r="G196" s="169">
        <v>17</v>
      </c>
      <c r="H196" s="169">
        <v>21</v>
      </c>
      <c r="I196" s="165">
        <v>2.2999999999999998</v>
      </c>
      <c r="J196" s="165">
        <v>140</v>
      </c>
      <c r="K196" s="166" t="s">
        <v>514</v>
      </c>
      <c r="L196" s="165">
        <v>2025</v>
      </c>
      <c r="M196" s="165" t="s">
        <v>851</v>
      </c>
      <c r="N196" s="165">
        <v>28</v>
      </c>
      <c r="O196" s="181">
        <v>118</v>
      </c>
      <c r="P196" s="165" t="s">
        <v>895</v>
      </c>
      <c r="Q196" s="165">
        <v>-70.882999999999996</v>
      </c>
      <c r="R196" s="165">
        <v>40.151000000000003</v>
      </c>
      <c r="S196" s="165" t="s">
        <v>172</v>
      </c>
      <c r="T196" s="165">
        <v>25</v>
      </c>
      <c r="U196" s="166" t="s">
        <v>516</v>
      </c>
      <c r="V196" s="158">
        <v>1.778</v>
      </c>
      <c r="W196" s="158">
        <v>0.154</v>
      </c>
      <c r="X196" s="158">
        <v>0.34499999999999997</v>
      </c>
      <c r="Y196" s="157">
        <v>8.4000000000000005E-2</v>
      </c>
      <c r="Z196" s="159">
        <v>4.3999999999999997E-2</v>
      </c>
      <c r="AA196" s="89">
        <v>0.125</v>
      </c>
      <c r="AB196" s="89">
        <v>0.104</v>
      </c>
      <c r="AC196" s="89">
        <v>0.17599999999999999</v>
      </c>
      <c r="AD196" s="89">
        <v>1.9E-2</v>
      </c>
      <c r="AE196" s="89">
        <v>0.41899999999999998</v>
      </c>
      <c r="AF196" s="89">
        <v>0.155</v>
      </c>
      <c r="AG196" s="89">
        <v>1.2999999999999999E-2</v>
      </c>
      <c r="AH196" s="89">
        <v>1.7230000000000001</v>
      </c>
      <c r="AI196" s="89">
        <v>-8888</v>
      </c>
      <c r="AJ196" s="89">
        <v>5.5E-2</v>
      </c>
      <c r="AK196" s="89">
        <v>0.154</v>
      </c>
      <c r="AL196" s="89">
        <v>-8888</v>
      </c>
      <c r="AM196" s="89">
        <v>0.23699999999999999</v>
      </c>
      <c r="AN196" s="89">
        <v>0.108</v>
      </c>
      <c r="AO196" s="89">
        <v>4.0000000000000001E-3</v>
      </c>
      <c r="AP196" s="89">
        <v>1.9E-2</v>
      </c>
      <c r="AQ196" s="89">
        <v>0.02</v>
      </c>
      <c r="AR196" s="89">
        <v>1.6E-2</v>
      </c>
      <c r="AS196" s="89">
        <v>5.7000000000000002E-2</v>
      </c>
      <c r="AT196" s="89">
        <v>2.5999999999999999E-2</v>
      </c>
      <c r="AU196" s="89">
        <v>-8888</v>
      </c>
      <c r="AV196" s="89">
        <v>2.2770000000000001</v>
      </c>
      <c r="AW196" s="89">
        <v>0.39600000000000002</v>
      </c>
      <c r="AX196" s="89">
        <v>0.74299999999999999</v>
      </c>
      <c r="AY196" s="89">
        <v>3.02</v>
      </c>
      <c r="AZ196" s="89">
        <v>1.139</v>
      </c>
      <c r="BA196" s="89">
        <v>1.6379999999999999</v>
      </c>
      <c r="BB196" s="89">
        <v>3.4159999999999999</v>
      </c>
      <c r="BC196" s="89">
        <v>1.014</v>
      </c>
      <c r="BD196" s="160">
        <v>0.92</v>
      </c>
      <c r="BE196" s="160">
        <v>0.65</v>
      </c>
      <c r="BF196" s="160">
        <v>0.35</v>
      </c>
      <c r="BG196" s="160">
        <v>2</v>
      </c>
      <c r="BH196" s="160">
        <v>0.12</v>
      </c>
      <c r="BI196" s="160">
        <v>0.88</v>
      </c>
      <c r="BJ196" s="160">
        <v>0.52</v>
      </c>
      <c r="BL196" s="167"/>
    </row>
    <row r="197" spans="1:64" s="88" customFormat="1" ht="14.1" customHeight="1">
      <c r="A197" s="156" t="s">
        <v>463</v>
      </c>
      <c r="B197" s="169" t="s">
        <v>511</v>
      </c>
      <c r="C197" s="169" t="s">
        <v>896</v>
      </c>
      <c r="D197" s="169" t="s">
        <v>850</v>
      </c>
      <c r="E197" s="169" t="s">
        <v>170</v>
      </c>
      <c r="F197" s="169">
        <v>547</v>
      </c>
      <c r="G197" s="169">
        <v>18</v>
      </c>
      <c r="H197" s="169">
        <v>7</v>
      </c>
      <c r="I197" s="165">
        <v>20</v>
      </c>
      <c r="J197" s="165">
        <v>57</v>
      </c>
      <c r="K197" s="166" t="s">
        <v>514</v>
      </c>
      <c r="L197" s="165">
        <v>2025</v>
      </c>
      <c r="M197" s="165" t="s">
        <v>851</v>
      </c>
      <c r="N197" s="165">
        <v>28</v>
      </c>
      <c r="O197" s="181">
        <v>118</v>
      </c>
      <c r="P197" s="165" t="s">
        <v>897</v>
      </c>
      <c r="Q197" s="165">
        <v>-70.885000000000005</v>
      </c>
      <c r="R197" s="165">
        <v>40.863</v>
      </c>
      <c r="S197" s="165" t="s">
        <v>172</v>
      </c>
      <c r="T197" s="165">
        <v>25</v>
      </c>
      <c r="U197" s="166" t="s">
        <v>516</v>
      </c>
      <c r="V197" s="158">
        <v>0.95299999999999996</v>
      </c>
      <c r="W197" s="158">
        <v>0.23</v>
      </c>
      <c r="X197" s="158">
        <v>0.12</v>
      </c>
      <c r="Y197" s="157">
        <v>4.4999999999999998E-2</v>
      </c>
      <c r="Z197" s="159">
        <v>0.01</v>
      </c>
      <c r="AA197" s="89">
        <v>2.9000000000000001E-2</v>
      </c>
      <c r="AB197" s="89">
        <v>8.7999999999999995E-2</v>
      </c>
      <c r="AC197" s="89">
        <v>5.2999999999999999E-2</v>
      </c>
      <c r="AD197" s="89">
        <v>8.9999999999999993E-3</v>
      </c>
      <c r="AE197" s="89">
        <v>9.1999999999999998E-2</v>
      </c>
      <c r="AF197" s="89">
        <v>3.5999999999999997E-2</v>
      </c>
      <c r="AG197" s="89">
        <v>0.01</v>
      </c>
      <c r="AH197" s="89">
        <v>0.94099999999999995</v>
      </c>
      <c r="AI197" s="89">
        <v>-8888</v>
      </c>
      <c r="AJ197" s="89">
        <v>1.2E-2</v>
      </c>
      <c r="AK197" s="89">
        <v>0.23</v>
      </c>
      <c r="AL197" s="89">
        <v>-8888</v>
      </c>
      <c r="AM197" s="89">
        <v>9.1999999999999998E-2</v>
      </c>
      <c r="AN197" s="89">
        <v>2.8000000000000001E-2</v>
      </c>
      <c r="AO197" s="89">
        <v>2E-3</v>
      </c>
      <c r="AP197" s="89">
        <v>2.3E-2</v>
      </c>
      <c r="AQ197" s="89">
        <v>1.4E-2</v>
      </c>
      <c r="AR197" s="89">
        <v>0.01</v>
      </c>
      <c r="AS197" s="89">
        <v>2.8000000000000001E-2</v>
      </c>
      <c r="AT197" s="89">
        <v>3.5999999999999997E-2</v>
      </c>
      <c r="AU197" s="89">
        <v>-8888</v>
      </c>
      <c r="AV197" s="89">
        <v>1.3029999999999999</v>
      </c>
      <c r="AW197" s="89">
        <v>0.20500000000000002</v>
      </c>
      <c r="AX197" s="89">
        <v>0.16700000000000001</v>
      </c>
      <c r="AY197" s="89">
        <v>1.47</v>
      </c>
      <c r="AZ197" s="89">
        <v>0.372</v>
      </c>
      <c r="BA197" s="89">
        <v>0.72199999999999998</v>
      </c>
      <c r="BB197" s="89">
        <v>1.6749999999999998</v>
      </c>
      <c r="BC197" s="89">
        <v>0.495</v>
      </c>
      <c r="BD197" s="160">
        <v>0.76</v>
      </c>
      <c r="BE197" s="160">
        <v>0.45</v>
      </c>
      <c r="BF197" s="160">
        <v>0.55000000000000004</v>
      </c>
      <c r="BG197" s="160">
        <v>3.5</v>
      </c>
      <c r="BH197" s="160">
        <v>0.12</v>
      </c>
      <c r="BI197" s="160">
        <v>0.88</v>
      </c>
      <c r="BJ197" s="160">
        <v>0.56999999999999995</v>
      </c>
      <c r="BL197" s="167"/>
    </row>
    <row r="198" spans="1:64" s="88" customFormat="1" ht="14.1" customHeight="1">
      <c r="A198" s="156" t="s">
        <v>464</v>
      </c>
      <c r="B198" s="169" t="s">
        <v>511</v>
      </c>
      <c r="C198" s="169" t="s">
        <v>898</v>
      </c>
      <c r="D198" s="169" t="s">
        <v>850</v>
      </c>
      <c r="E198" s="169" t="s">
        <v>173</v>
      </c>
      <c r="F198" s="169">
        <v>548</v>
      </c>
      <c r="G198" s="169">
        <v>18</v>
      </c>
      <c r="H198" s="169">
        <v>15</v>
      </c>
      <c r="I198" s="165">
        <v>2</v>
      </c>
      <c r="J198" s="165">
        <v>57</v>
      </c>
      <c r="K198" s="166" t="s">
        <v>514</v>
      </c>
      <c r="L198" s="165">
        <v>2025</v>
      </c>
      <c r="M198" s="165" t="s">
        <v>851</v>
      </c>
      <c r="N198" s="165">
        <v>28</v>
      </c>
      <c r="O198" s="181">
        <v>118</v>
      </c>
      <c r="P198" s="165" t="s">
        <v>899</v>
      </c>
      <c r="Q198" s="165">
        <v>-70.885000000000005</v>
      </c>
      <c r="R198" s="165">
        <v>40.863</v>
      </c>
      <c r="S198" s="165" t="s">
        <v>172</v>
      </c>
      <c r="T198" s="165">
        <v>25</v>
      </c>
      <c r="U198" s="166" t="s">
        <v>516</v>
      </c>
      <c r="V198" s="158">
        <v>0.39900000000000002</v>
      </c>
      <c r="W198" s="158">
        <v>3.5999999999999997E-2</v>
      </c>
      <c r="X198" s="158">
        <v>6.9000000000000006E-2</v>
      </c>
      <c r="Y198" s="157">
        <v>2.1999999999999999E-2</v>
      </c>
      <c r="Z198" s="159">
        <v>1.2E-2</v>
      </c>
      <c r="AA198" s="89">
        <v>0.03</v>
      </c>
      <c r="AB198" s="89">
        <v>2.4E-2</v>
      </c>
      <c r="AC198" s="89">
        <v>6.2E-2</v>
      </c>
      <c r="AD198" s="89">
        <v>8.9999999999999993E-3</v>
      </c>
      <c r="AE198" s="89">
        <v>8.2000000000000003E-2</v>
      </c>
      <c r="AF198" s="89">
        <v>2.1000000000000001E-2</v>
      </c>
      <c r="AG198" s="89">
        <v>7.0000000000000001E-3</v>
      </c>
      <c r="AH198" s="89">
        <v>0.39200000000000002</v>
      </c>
      <c r="AI198" s="89">
        <v>-8888</v>
      </c>
      <c r="AJ198" s="89">
        <v>7.0000000000000001E-3</v>
      </c>
      <c r="AK198" s="89">
        <v>3.5999999999999997E-2</v>
      </c>
      <c r="AL198" s="89">
        <v>-8888</v>
      </c>
      <c r="AM198" s="89">
        <v>4.5999999999999999E-2</v>
      </c>
      <c r="AN198" s="89">
        <v>2.3E-2</v>
      </c>
      <c r="AO198" s="89">
        <v>2E-3</v>
      </c>
      <c r="AP198" s="89">
        <v>5.0000000000000001E-3</v>
      </c>
      <c r="AQ198" s="89">
        <v>8.0000000000000002E-3</v>
      </c>
      <c r="AR198" s="89">
        <v>4.0000000000000001E-3</v>
      </c>
      <c r="AS198" s="89">
        <v>4.0000000000000001E-3</v>
      </c>
      <c r="AT198" s="89">
        <v>1.2999999999999999E-2</v>
      </c>
      <c r="AU198" s="89">
        <v>-8888</v>
      </c>
      <c r="AV198" s="89">
        <v>0.504</v>
      </c>
      <c r="AW198" s="89">
        <v>0.124</v>
      </c>
      <c r="AX198" s="89">
        <v>0.14499999999999999</v>
      </c>
      <c r="AY198" s="89">
        <v>0.64900000000000002</v>
      </c>
      <c r="AZ198" s="89">
        <v>0.26900000000000002</v>
      </c>
      <c r="BA198" s="89">
        <v>0.374</v>
      </c>
      <c r="BB198" s="89">
        <v>0.77300000000000002</v>
      </c>
      <c r="BC198" s="89">
        <v>0.21199999999999999</v>
      </c>
      <c r="BD198" s="160">
        <v>0.94</v>
      </c>
      <c r="BE198" s="160">
        <v>0.54</v>
      </c>
      <c r="BF198" s="160">
        <v>0.46</v>
      </c>
      <c r="BG198" s="160">
        <v>1.87</v>
      </c>
      <c r="BH198" s="160">
        <v>0.16</v>
      </c>
      <c r="BI198" s="160">
        <v>0.84</v>
      </c>
      <c r="BJ198" s="160">
        <v>0.52</v>
      </c>
      <c r="BL198" s="167"/>
    </row>
    <row r="199" spans="1:64" s="88" customFormat="1" ht="14.1" customHeight="1">
      <c r="A199" s="156" t="s">
        <v>465</v>
      </c>
      <c r="B199" s="169" t="s">
        <v>511</v>
      </c>
      <c r="C199" s="169" t="s">
        <v>900</v>
      </c>
      <c r="D199" s="169" t="s">
        <v>850</v>
      </c>
      <c r="E199" s="169" t="s">
        <v>173</v>
      </c>
      <c r="F199" s="169">
        <v>548</v>
      </c>
      <c r="G199" s="169">
        <v>18</v>
      </c>
      <c r="H199" s="169">
        <v>15</v>
      </c>
      <c r="I199" s="165">
        <v>2</v>
      </c>
      <c r="J199" s="165">
        <v>57</v>
      </c>
      <c r="K199" s="166" t="s">
        <v>514</v>
      </c>
      <c r="L199" s="165">
        <v>2025</v>
      </c>
      <c r="M199" s="165" t="s">
        <v>851</v>
      </c>
      <c r="N199" s="165">
        <v>28</v>
      </c>
      <c r="O199" s="181">
        <v>118</v>
      </c>
      <c r="P199" s="165" t="s">
        <v>899</v>
      </c>
      <c r="Q199" s="165">
        <v>-70.885000000000005</v>
      </c>
      <c r="R199" s="165">
        <v>40.863</v>
      </c>
      <c r="S199" s="165" t="s">
        <v>172</v>
      </c>
      <c r="T199" s="165">
        <v>25</v>
      </c>
      <c r="U199" s="166" t="s">
        <v>516</v>
      </c>
      <c r="V199" s="158">
        <v>0.42699999999999999</v>
      </c>
      <c r="W199" s="158">
        <v>0.04</v>
      </c>
      <c r="X199" s="158">
        <v>7.2000000000000008E-2</v>
      </c>
      <c r="Y199" s="157">
        <v>2.3E-2</v>
      </c>
      <c r="Z199" s="159">
        <v>1.4E-2</v>
      </c>
      <c r="AA199" s="89">
        <v>3.2000000000000001E-2</v>
      </c>
      <c r="AB199" s="89">
        <v>2.5999999999999999E-2</v>
      </c>
      <c r="AC199" s="89">
        <v>6.7000000000000004E-2</v>
      </c>
      <c r="AD199" s="89">
        <v>1.0999999999999999E-2</v>
      </c>
      <c r="AE199" s="89">
        <v>0.09</v>
      </c>
      <c r="AF199" s="89">
        <v>0.02</v>
      </c>
      <c r="AG199" s="89">
        <v>8.0000000000000002E-3</v>
      </c>
      <c r="AH199" s="89">
        <v>0.41599999999999998</v>
      </c>
      <c r="AI199" s="89">
        <v>-8888</v>
      </c>
      <c r="AJ199" s="89">
        <v>1.0999999999999999E-2</v>
      </c>
      <c r="AK199" s="89">
        <v>0.04</v>
      </c>
      <c r="AL199" s="89">
        <v>-8888</v>
      </c>
      <c r="AM199" s="89">
        <v>4.9000000000000002E-2</v>
      </c>
      <c r="AN199" s="89">
        <v>2.3E-2</v>
      </c>
      <c r="AO199" s="89">
        <v>2E-3</v>
      </c>
      <c r="AP199" s="89">
        <v>5.0000000000000001E-3</v>
      </c>
      <c r="AQ199" s="89">
        <v>8.9999999999999993E-3</v>
      </c>
      <c r="AR199" s="89">
        <v>4.0000000000000001E-3</v>
      </c>
      <c r="AS199" s="89">
        <v>4.0000000000000001E-3</v>
      </c>
      <c r="AT199" s="89">
        <v>1.4E-2</v>
      </c>
      <c r="AU199" s="89">
        <v>-8888</v>
      </c>
      <c r="AV199" s="89">
        <v>0.53899999999999992</v>
      </c>
      <c r="AW199" s="89">
        <v>0.13499999999999998</v>
      </c>
      <c r="AX199" s="89">
        <v>0.156</v>
      </c>
      <c r="AY199" s="89">
        <v>0.69499999999999995</v>
      </c>
      <c r="AZ199" s="89">
        <v>0.29099999999999998</v>
      </c>
      <c r="BA199" s="89">
        <v>0.40299999999999997</v>
      </c>
      <c r="BB199" s="89">
        <v>0.83</v>
      </c>
      <c r="BC199" s="89">
        <v>0.23</v>
      </c>
      <c r="BD199" s="160">
        <v>0.94</v>
      </c>
      <c r="BE199" s="160">
        <v>0.54</v>
      </c>
      <c r="BF199" s="160">
        <v>0.46</v>
      </c>
      <c r="BG199" s="160">
        <v>1.85</v>
      </c>
      <c r="BH199" s="160">
        <v>0.16</v>
      </c>
      <c r="BI199" s="160">
        <v>0.84</v>
      </c>
      <c r="BJ199" s="160">
        <v>0.51</v>
      </c>
      <c r="BL199" s="167"/>
    </row>
    <row r="200" spans="1:64" s="88" customFormat="1" ht="14.1" customHeight="1">
      <c r="A200" s="156" t="s">
        <v>466</v>
      </c>
      <c r="B200" s="169" t="s">
        <v>511</v>
      </c>
      <c r="C200" s="169" t="s">
        <v>901</v>
      </c>
      <c r="D200" s="169" t="s">
        <v>850</v>
      </c>
      <c r="E200" s="169" t="s">
        <v>170</v>
      </c>
      <c r="F200" s="169">
        <v>547</v>
      </c>
      <c r="G200" s="169">
        <v>19</v>
      </c>
      <c r="H200" s="169">
        <v>1</v>
      </c>
      <c r="I200" s="165">
        <v>38.9</v>
      </c>
      <c r="J200" s="165">
        <v>47</v>
      </c>
      <c r="K200" s="166" t="s">
        <v>514</v>
      </c>
      <c r="L200" s="165">
        <v>2025</v>
      </c>
      <c r="M200" s="165" t="s">
        <v>851</v>
      </c>
      <c r="N200" s="165">
        <v>29</v>
      </c>
      <c r="O200" s="181">
        <v>119</v>
      </c>
      <c r="P200" s="165" t="s">
        <v>902</v>
      </c>
      <c r="Q200" s="165">
        <v>-70.882999999999996</v>
      </c>
      <c r="R200" s="165">
        <v>41.03</v>
      </c>
      <c r="S200" s="165" t="s">
        <v>172</v>
      </c>
      <c r="T200" s="165">
        <v>25</v>
      </c>
      <c r="U200" s="166" t="s">
        <v>516</v>
      </c>
      <c r="V200" s="158">
        <v>1.07</v>
      </c>
      <c r="W200" s="158">
        <v>6.0999999999999999E-2</v>
      </c>
      <c r="X200" s="158">
        <v>0.153</v>
      </c>
      <c r="Y200" s="157">
        <v>3.1E-2</v>
      </c>
      <c r="Z200" s="159">
        <v>-8888</v>
      </c>
      <c r="AA200" s="89">
        <v>6.0000000000000001E-3</v>
      </c>
      <c r="AB200" s="89">
        <v>1.4E-2</v>
      </c>
      <c r="AC200" s="89">
        <v>6.0999999999999999E-2</v>
      </c>
      <c r="AD200" s="89">
        <v>4.0000000000000001E-3</v>
      </c>
      <c r="AE200" s="89">
        <v>0.47799999999999998</v>
      </c>
      <c r="AF200" s="89">
        <v>0.01</v>
      </c>
      <c r="AG200" s="89">
        <v>1.7999999999999999E-2</v>
      </c>
      <c r="AH200" s="89">
        <v>1.06</v>
      </c>
      <c r="AI200" s="89">
        <v>-8888</v>
      </c>
      <c r="AJ200" s="89">
        <v>0.01</v>
      </c>
      <c r="AK200" s="89">
        <v>6.0999999999999999E-2</v>
      </c>
      <c r="AL200" s="89">
        <v>-8888</v>
      </c>
      <c r="AM200" s="89">
        <v>0.13500000000000001</v>
      </c>
      <c r="AN200" s="89">
        <v>1.7999999999999999E-2</v>
      </c>
      <c r="AO200" s="89">
        <v>-8888</v>
      </c>
      <c r="AP200" s="89">
        <v>6.0000000000000001E-3</v>
      </c>
      <c r="AQ200" s="89">
        <v>3.0000000000000001E-3</v>
      </c>
      <c r="AR200" s="89">
        <v>0.02</v>
      </c>
      <c r="AS200" s="89">
        <v>2.1000000000000001E-2</v>
      </c>
      <c r="AT200" s="89">
        <v>0.01</v>
      </c>
      <c r="AU200" s="89">
        <v>-8888</v>
      </c>
      <c r="AV200" s="89">
        <v>1.284</v>
      </c>
      <c r="AW200" s="89">
        <v>0.128</v>
      </c>
      <c r="AX200" s="89">
        <v>0.49399999999999999</v>
      </c>
      <c r="AY200" s="89">
        <v>1.778</v>
      </c>
      <c r="AZ200" s="89">
        <v>0.622</v>
      </c>
      <c r="BA200" s="89">
        <v>0.83600000000000008</v>
      </c>
      <c r="BB200" s="89">
        <v>1.9060000000000001</v>
      </c>
      <c r="BC200" s="89">
        <v>0.58699999999999997</v>
      </c>
      <c r="BD200" s="160">
        <v>0.78</v>
      </c>
      <c r="BE200" s="160">
        <v>0.79</v>
      </c>
      <c r="BF200" s="160">
        <v>0.21</v>
      </c>
      <c r="BG200" s="160">
        <v>2.06</v>
      </c>
      <c r="BH200" s="160">
        <v>7.0000000000000007E-2</v>
      </c>
      <c r="BI200" s="160">
        <v>0.93</v>
      </c>
      <c r="BJ200" s="160">
        <v>0.56000000000000005</v>
      </c>
      <c r="BL200" s="167"/>
    </row>
    <row r="201" spans="1:64" s="88" customFormat="1" ht="14.1" customHeight="1">
      <c r="A201" s="156" t="s">
        <v>467</v>
      </c>
      <c r="B201" s="169" t="s">
        <v>511</v>
      </c>
      <c r="C201" s="169" t="s">
        <v>903</v>
      </c>
      <c r="D201" s="169" t="s">
        <v>850</v>
      </c>
      <c r="E201" s="169" t="s">
        <v>170</v>
      </c>
      <c r="F201" s="169">
        <v>548</v>
      </c>
      <c r="G201" s="169">
        <v>19</v>
      </c>
      <c r="H201" s="169">
        <v>19</v>
      </c>
      <c r="I201" s="165">
        <v>1.9</v>
      </c>
      <c r="J201" s="165">
        <v>47</v>
      </c>
      <c r="K201" s="166" t="s">
        <v>514</v>
      </c>
      <c r="L201" s="165">
        <v>2025</v>
      </c>
      <c r="M201" s="165" t="s">
        <v>851</v>
      </c>
      <c r="N201" s="165">
        <v>29</v>
      </c>
      <c r="O201" s="181">
        <v>119</v>
      </c>
      <c r="P201" s="165" t="s">
        <v>904</v>
      </c>
      <c r="Q201" s="165">
        <v>-70.882999999999996</v>
      </c>
      <c r="R201" s="165">
        <v>41.03</v>
      </c>
      <c r="S201" s="165" t="s">
        <v>172</v>
      </c>
      <c r="T201" s="165">
        <v>25</v>
      </c>
      <c r="U201" s="166" t="s">
        <v>516</v>
      </c>
      <c r="V201" s="158">
        <v>0.43099999999999999</v>
      </c>
      <c r="W201" s="158">
        <v>3.5999999999999997E-2</v>
      </c>
      <c r="X201" s="158">
        <v>7.5999999999999998E-2</v>
      </c>
      <c r="Y201" s="157">
        <v>2.4E-2</v>
      </c>
      <c r="Z201" s="159">
        <v>8.0000000000000002E-3</v>
      </c>
      <c r="AA201" s="89">
        <v>3.4000000000000002E-2</v>
      </c>
      <c r="AB201" s="89">
        <v>2.1999999999999999E-2</v>
      </c>
      <c r="AC201" s="89">
        <v>0.06</v>
      </c>
      <c r="AD201" s="89">
        <v>7.0000000000000001E-3</v>
      </c>
      <c r="AE201" s="89">
        <v>9.7000000000000003E-2</v>
      </c>
      <c r="AF201" s="89">
        <v>2.1999999999999999E-2</v>
      </c>
      <c r="AG201" s="89">
        <v>8.0000000000000002E-3</v>
      </c>
      <c r="AH201" s="89">
        <v>0.42</v>
      </c>
      <c r="AI201" s="89">
        <v>-8888</v>
      </c>
      <c r="AJ201" s="89">
        <v>1.0999999999999999E-2</v>
      </c>
      <c r="AK201" s="89">
        <v>3.5999999999999997E-2</v>
      </c>
      <c r="AL201" s="89">
        <v>-8888</v>
      </c>
      <c r="AM201" s="89">
        <v>4.9000000000000002E-2</v>
      </c>
      <c r="AN201" s="89">
        <v>2.7E-2</v>
      </c>
      <c r="AO201" s="89">
        <v>2E-3</v>
      </c>
      <c r="AP201" s="89">
        <v>5.0000000000000001E-3</v>
      </c>
      <c r="AQ201" s="89">
        <v>8.9999999999999993E-3</v>
      </c>
      <c r="AR201" s="89">
        <v>5.0000000000000001E-3</v>
      </c>
      <c r="AS201" s="89">
        <v>0.01</v>
      </c>
      <c r="AT201" s="89">
        <v>1.6E-2</v>
      </c>
      <c r="AU201" s="89">
        <v>-8888</v>
      </c>
      <c r="AV201" s="89">
        <v>0.54299999999999993</v>
      </c>
      <c r="AW201" s="89">
        <v>0.121</v>
      </c>
      <c r="AX201" s="89">
        <v>0.161</v>
      </c>
      <c r="AY201" s="89">
        <v>0.70399999999999996</v>
      </c>
      <c r="AZ201" s="89">
        <v>0.28200000000000003</v>
      </c>
      <c r="BA201" s="89">
        <v>0.39400000000000002</v>
      </c>
      <c r="BB201" s="89">
        <v>0.82499999999999996</v>
      </c>
      <c r="BC201" s="89">
        <v>0.22700000000000001</v>
      </c>
      <c r="BD201" s="160">
        <v>0.91</v>
      </c>
      <c r="BE201" s="160">
        <v>0.56999999999999995</v>
      </c>
      <c r="BF201" s="160">
        <v>0.43</v>
      </c>
      <c r="BG201" s="160">
        <v>1.93</v>
      </c>
      <c r="BH201" s="160">
        <v>0.15</v>
      </c>
      <c r="BI201" s="160">
        <v>0.85</v>
      </c>
      <c r="BJ201" s="160">
        <v>0.52</v>
      </c>
      <c r="BL201" s="167"/>
    </row>
    <row r="202" spans="1:64" s="88" customFormat="1" ht="14.1" customHeight="1">
      <c r="A202" s="156" t="s">
        <v>468</v>
      </c>
      <c r="B202" s="169" t="s">
        <v>511</v>
      </c>
      <c r="C202" s="169" t="s">
        <v>905</v>
      </c>
      <c r="D202" s="169" t="s">
        <v>850</v>
      </c>
      <c r="E202" s="169" t="s">
        <v>170</v>
      </c>
      <c r="F202" s="169">
        <v>547</v>
      </c>
      <c r="G202" s="169">
        <v>22</v>
      </c>
      <c r="H202" s="169">
        <v>2</v>
      </c>
      <c r="I202" s="165">
        <v>11.4</v>
      </c>
      <c r="J202" s="165">
        <v>16</v>
      </c>
      <c r="K202" s="166" t="s">
        <v>514</v>
      </c>
      <c r="L202" s="165">
        <v>2025</v>
      </c>
      <c r="M202" s="165" t="s">
        <v>851</v>
      </c>
      <c r="N202" s="165">
        <v>29</v>
      </c>
      <c r="O202" s="181">
        <v>119</v>
      </c>
      <c r="P202" s="165" t="s">
        <v>906</v>
      </c>
      <c r="Q202" s="165">
        <v>-70.566000000000003</v>
      </c>
      <c r="R202" s="165">
        <v>41.322000000000003</v>
      </c>
      <c r="S202" s="165" t="s">
        <v>172</v>
      </c>
      <c r="T202" s="165">
        <v>25</v>
      </c>
      <c r="U202" s="166" t="s">
        <v>516</v>
      </c>
      <c r="V202" s="158">
        <v>0.48299999999999998</v>
      </c>
      <c r="W202" s="158">
        <v>1.7999999999999999E-2</v>
      </c>
      <c r="X202" s="158">
        <v>6.3E-2</v>
      </c>
      <c r="Y202" s="157">
        <v>2.4E-2</v>
      </c>
      <c r="Z202" s="159">
        <v>5.0000000000000001E-3</v>
      </c>
      <c r="AA202" s="89">
        <v>5.0000000000000001E-3</v>
      </c>
      <c r="AB202" s="89">
        <v>6.0000000000000001E-3</v>
      </c>
      <c r="AC202" s="89">
        <v>4.2000000000000003E-2</v>
      </c>
      <c r="AD202" s="89">
        <v>6.0000000000000001E-3</v>
      </c>
      <c r="AE202" s="89">
        <v>0.191</v>
      </c>
      <c r="AF202" s="89">
        <v>1.4999999999999999E-2</v>
      </c>
      <c r="AG202" s="89">
        <v>4.9000000000000002E-2</v>
      </c>
      <c r="AH202" s="89">
        <v>0.47499999999999998</v>
      </c>
      <c r="AI202" s="89">
        <v>-8888</v>
      </c>
      <c r="AJ202" s="89">
        <v>8.0000000000000002E-3</v>
      </c>
      <c r="AK202" s="89">
        <v>1.7999999999999999E-2</v>
      </c>
      <c r="AL202" s="89">
        <v>-8888</v>
      </c>
      <c r="AM202" s="89">
        <v>5.2999999999999999E-2</v>
      </c>
      <c r="AN202" s="89">
        <v>0.01</v>
      </c>
      <c r="AO202" s="89">
        <v>-8888</v>
      </c>
      <c r="AP202" s="89">
        <v>3.0000000000000001E-3</v>
      </c>
      <c r="AQ202" s="89">
        <v>7.0000000000000001E-3</v>
      </c>
      <c r="AR202" s="89">
        <v>1.4999999999999999E-2</v>
      </c>
      <c r="AS202" s="89">
        <v>1.7000000000000001E-2</v>
      </c>
      <c r="AT202" s="89">
        <v>6.0000000000000001E-3</v>
      </c>
      <c r="AU202" s="89">
        <v>-8888</v>
      </c>
      <c r="AV202" s="89">
        <v>0.56400000000000006</v>
      </c>
      <c r="AW202" s="89">
        <v>0.127</v>
      </c>
      <c r="AX202" s="89">
        <v>0.21600000000000003</v>
      </c>
      <c r="AY202" s="89">
        <v>0.78</v>
      </c>
      <c r="AZ202" s="89">
        <v>0.34300000000000003</v>
      </c>
      <c r="BA202" s="89">
        <v>0.42400000000000004</v>
      </c>
      <c r="BB202" s="89">
        <v>0.90700000000000003</v>
      </c>
      <c r="BC202" s="89">
        <v>0.28900000000000003</v>
      </c>
      <c r="BD202" s="160">
        <v>0.88</v>
      </c>
      <c r="BE202" s="160">
        <v>0.63</v>
      </c>
      <c r="BF202" s="160">
        <v>0.37</v>
      </c>
      <c r="BG202" s="160">
        <v>1.64</v>
      </c>
      <c r="BH202" s="160">
        <v>0.14000000000000001</v>
      </c>
      <c r="BI202" s="160">
        <v>0.86</v>
      </c>
      <c r="BJ202" s="160">
        <v>0.53</v>
      </c>
      <c r="BL202" s="167"/>
    </row>
    <row r="203" spans="1:64" s="88" customFormat="1" ht="14.1" customHeight="1">
      <c r="A203" s="156" t="s">
        <v>469</v>
      </c>
      <c r="B203" s="169" t="s">
        <v>511</v>
      </c>
      <c r="C203" s="169" t="s">
        <v>907</v>
      </c>
      <c r="D203" s="169" t="s">
        <v>850</v>
      </c>
      <c r="E203" s="169" t="s">
        <v>170</v>
      </c>
      <c r="F203" s="169">
        <v>548</v>
      </c>
      <c r="G203" s="169">
        <v>22</v>
      </c>
      <c r="H203" s="169">
        <v>5</v>
      </c>
      <c r="I203" s="165">
        <v>2.4</v>
      </c>
      <c r="J203" s="165">
        <v>16</v>
      </c>
      <c r="K203" s="166" t="s">
        <v>514</v>
      </c>
      <c r="L203" s="165">
        <v>2025</v>
      </c>
      <c r="M203" s="165" t="s">
        <v>851</v>
      </c>
      <c r="N203" s="165">
        <v>29</v>
      </c>
      <c r="O203" s="181">
        <v>119</v>
      </c>
      <c r="P203" s="165" t="s">
        <v>908</v>
      </c>
      <c r="Q203" s="165">
        <v>-70.566000000000003</v>
      </c>
      <c r="R203" s="165">
        <v>41.322000000000003</v>
      </c>
      <c r="S203" s="165" t="s">
        <v>172</v>
      </c>
      <c r="T203" s="165">
        <v>25</v>
      </c>
      <c r="U203" s="166" t="s">
        <v>516</v>
      </c>
      <c r="V203" s="158">
        <v>0.44600000000000001</v>
      </c>
      <c r="W203" s="158">
        <v>2.5999999999999999E-2</v>
      </c>
      <c r="X203" s="158">
        <v>6.4000000000000001E-2</v>
      </c>
      <c r="Y203" s="157">
        <v>2.5000000000000001E-2</v>
      </c>
      <c r="Z203" s="159">
        <v>8.9999999999999993E-3</v>
      </c>
      <c r="AA203" s="89">
        <v>7.0000000000000001E-3</v>
      </c>
      <c r="AB203" s="89">
        <v>8.0000000000000002E-3</v>
      </c>
      <c r="AC203" s="89">
        <v>4.3999999999999997E-2</v>
      </c>
      <c r="AD203" s="89">
        <v>7.0000000000000001E-3</v>
      </c>
      <c r="AE203" s="89">
        <v>0.158</v>
      </c>
      <c r="AF203" s="89">
        <v>2.1000000000000001E-2</v>
      </c>
      <c r="AG203" s="89">
        <v>4.8000000000000001E-2</v>
      </c>
      <c r="AH203" s="89">
        <v>0.442</v>
      </c>
      <c r="AI203" s="89">
        <v>-8888</v>
      </c>
      <c r="AJ203" s="89">
        <v>4.0000000000000001E-3</v>
      </c>
      <c r="AK203" s="89">
        <v>2.5999999999999999E-2</v>
      </c>
      <c r="AL203" s="89">
        <v>-8888</v>
      </c>
      <c r="AM203" s="89">
        <v>4.9000000000000002E-2</v>
      </c>
      <c r="AN203" s="89">
        <v>1.4999999999999999E-2</v>
      </c>
      <c r="AO203" s="89">
        <v>-8888</v>
      </c>
      <c r="AP203" s="89">
        <v>4.0000000000000001E-3</v>
      </c>
      <c r="AQ203" s="89">
        <v>0.01</v>
      </c>
      <c r="AR203" s="89">
        <v>1.2999999999999999E-2</v>
      </c>
      <c r="AS203" s="89">
        <v>1.4999999999999999E-2</v>
      </c>
      <c r="AT203" s="89">
        <v>8.0000000000000002E-3</v>
      </c>
      <c r="AU203" s="89">
        <v>-8888</v>
      </c>
      <c r="AV203" s="89">
        <v>0.53600000000000003</v>
      </c>
      <c r="AW203" s="89">
        <v>0.13200000000000001</v>
      </c>
      <c r="AX203" s="89">
        <v>0.19500000000000001</v>
      </c>
      <c r="AY203" s="89">
        <v>0.73100000000000009</v>
      </c>
      <c r="AZ203" s="89">
        <v>0.32700000000000001</v>
      </c>
      <c r="BA203" s="89">
        <v>0.41700000000000004</v>
      </c>
      <c r="BB203" s="89">
        <v>0.86299999999999999</v>
      </c>
      <c r="BC203" s="89">
        <v>0.27700000000000002</v>
      </c>
      <c r="BD203" s="160">
        <v>0.93</v>
      </c>
      <c r="BE203" s="160">
        <v>0.6</v>
      </c>
      <c r="BF203" s="160">
        <v>0.4</v>
      </c>
      <c r="BG203" s="160">
        <v>1.64</v>
      </c>
      <c r="BH203" s="160">
        <v>0.15</v>
      </c>
      <c r="BI203" s="160">
        <v>0.85</v>
      </c>
      <c r="BJ203" s="160">
        <v>0.52</v>
      </c>
      <c r="BL203" s="167"/>
    </row>
    <row r="204" spans="1:64" s="88" customFormat="1" ht="12.75" customHeight="1">
      <c r="B204" s="22"/>
      <c r="C204" s="22"/>
      <c r="D204" s="22"/>
      <c r="E204" s="22"/>
      <c r="F204" s="22"/>
      <c r="G204" s="22"/>
      <c r="H204" s="22"/>
      <c r="I204" s="22"/>
      <c r="J204" s="22"/>
      <c r="K204" s="22"/>
      <c r="L204" s="22"/>
      <c r="M204" s="22"/>
      <c r="N204" s="22"/>
      <c r="O204" s="22"/>
      <c r="P204" s="22"/>
      <c r="Q204" s="22"/>
      <c r="R204" s="22"/>
      <c r="S204" s="22"/>
      <c r="T204" s="25"/>
      <c r="U204" s="22"/>
      <c r="V204" s="89"/>
      <c r="W204" s="89"/>
      <c r="X204" s="89"/>
      <c r="Y204" s="89"/>
      <c r="Z204" s="89"/>
      <c r="AA204" s="89"/>
      <c r="AB204" s="89"/>
      <c r="AC204" s="89"/>
      <c r="AD204" s="89"/>
      <c r="AE204" s="89"/>
      <c r="AF204" s="89"/>
      <c r="AG204" s="89"/>
      <c r="AH204" s="89"/>
      <c r="AI204" s="89"/>
      <c r="AJ204" s="89"/>
      <c r="AK204" s="89"/>
      <c r="AL204" s="89"/>
      <c r="AM204" s="89"/>
      <c r="AN204" s="89"/>
      <c r="AO204" s="89"/>
      <c r="AP204" s="89"/>
      <c r="AQ204" s="89"/>
      <c r="AR204" s="89"/>
      <c r="AS204" s="89"/>
      <c r="AT204" s="89"/>
      <c r="AU204" s="89"/>
      <c r="AV204" s="89"/>
      <c r="AW204" s="89"/>
      <c r="AX204" s="89"/>
      <c r="AY204" s="89"/>
      <c r="AZ204" s="89"/>
      <c r="BA204" s="89"/>
      <c r="BB204" s="89"/>
      <c r="BC204" s="89"/>
      <c r="BD204" s="90"/>
      <c r="BE204" s="90"/>
      <c r="BF204" s="90"/>
      <c r="BG204" s="90"/>
      <c r="BH204" s="90"/>
      <c r="BI204" s="90"/>
      <c r="BJ204" s="90"/>
    </row>
    <row r="205" spans="1:64" ht="12.75" customHeight="1">
      <c r="R205" s="91"/>
    </row>
    <row r="206" spans="1:64" ht="12.75" customHeight="1">
      <c r="R206" s="91"/>
    </row>
    <row r="207" spans="1:64" ht="12.75" customHeight="1">
      <c r="R207" s="91"/>
    </row>
    <row r="208" spans="1:64" ht="12.75" customHeight="1">
      <c r="R208" s="91"/>
    </row>
    <row r="209" spans="18:18" ht="12.75" customHeight="1">
      <c r="R209" s="91"/>
    </row>
    <row r="210" spans="18:18" ht="12.75" customHeight="1">
      <c r="R210" s="91"/>
    </row>
    <row r="211" spans="18:18" ht="12.75" customHeight="1">
      <c r="R211" s="91"/>
    </row>
    <row r="212" spans="18:18" ht="12.75" customHeight="1">
      <c r="R212" s="91"/>
    </row>
    <row r="213" spans="18:18" ht="12.75" customHeight="1">
      <c r="R213" s="91"/>
    </row>
    <row r="214" spans="18:18" ht="12.75" customHeight="1">
      <c r="R214" s="91"/>
    </row>
    <row r="215" spans="18:18" ht="12.75" customHeight="1">
      <c r="R215" s="91"/>
    </row>
    <row r="216" spans="18:18" ht="12.75" customHeight="1">
      <c r="R216" s="91"/>
    </row>
    <row r="217" spans="18:18" ht="12.75" customHeight="1">
      <c r="R217" s="91"/>
    </row>
    <row r="218" spans="18:18" ht="12.75" customHeight="1">
      <c r="R218" s="91"/>
    </row>
    <row r="219" spans="18:18" ht="12.75" customHeight="1">
      <c r="R219" s="91"/>
    </row>
    <row r="220" spans="18:18" ht="12.75" customHeight="1">
      <c r="R220" s="91"/>
    </row>
    <row r="221" spans="18:18" ht="12.75" customHeight="1">
      <c r="R221" s="91"/>
    </row>
    <row r="222" spans="18:18" ht="12.75" customHeight="1">
      <c r="R222" s="91"/>
    </row>
    <row r="223" spans="18:18" ht="12.75" customHeight="1">
      <c r="R223" s="91"/>
    </row>
    <row r="224" spans="18:18" ht="12.75" customHeight="1">
      <c r="R224" s="91"/>
    </row>
    <row r="225" spans="18:18" ht="12.75" customHeight="1">
      <c r="R225" s="91"/>
    </row>
    <row r="226" spans="18:18" ht="12.75" customHeight="1">
      <c r="R226" s="91"/>
    </row>
    <row r="227" spans="18:18" ht="12.75" customHeight="1">
      <c r="R227" s="91"/>
    </row>
    <row r="228" spans="18:18" ht="12.75" customHeight="1">
      <c r="R228" s="91"/>
    </row>
    <row r="229" spans="18:18" ht="12.75" customHeight="1">
      <c r="R229" s="91"/>
    </row>
    <row r="230" spans="18:18" ht="12.75" customHeight="1">
      <c r="R230" s="91"/>
    </row>
    <row r="231" spans="18:18" ht="12.75" customHeight="1">
      <c r="R231" s="91"/>
    </row>
    <row r="232" spans="18:18" ht="12.75" customHeight="1">
      <c r="R232" s="91"/>
    </row>
    <row r="233" spans="18:18" ht="12.75" customHeight="1">
      <c r="R233" s="91"/>
    </row>
    <row r="234" spans="18:18" ht="12.75" customHeight="1">
      <c r="R234" s="91"/>
    </row>
    <row r="235" spans="18:18" ht="12.75" customHeight="1">
      <c r="R235" s="91"/>
    </row>
    <row r="236" spans="18:18" ht="12.75" customHeight="1">
      <c r="R236" s="91"/>
    </row>
    <row r="237" spans="18:18" ht="12.75" customHeight="1">
      <c r="R237" s="91"/>
    </row>
    <row r="238" spans="18:18" ht="12.75" customHeight="1">
      <c r="R238" s="91"/>
    </row>
    <row r="239" spans="18:18" ht="12.75" customHeight="1">
      <c r="R239" s="91"/>
    </row>
    <row r="240" spans="18:18" ht="12.75" customHeight="1">
      <c r="R240" s="91"/>
    </row>
    <row r="241" spans="18:18" ht="12.75" customHeight="1">
      <c r="R241" s="91"/>
    </row>
    <row r="242" spans="18:18" ht="12.75" customHeight="1">
      <c r="R242" s="91"/>
    </row>
    <row r="243" spans="18:18" ht="12.75" customHeight="1">
      <c r="R243" s="91"/>
    </row>
    <row r="244" spans="18:18" ht="12.75" customHeight="1">
      <c r="R244" s="91"/>
    </row>
    <row r="245" spans="18:18" ht="12.75" customHeight="1">
      <c r="R245" s="91"/>
    </row>
    <row r="246" spans="18:18" ht="12.75" customHeight="1">
      <c r="R246" s="91"/>
    </row>
    <row r="247" spans="18:18" ht="12.75" customHeight="1">
      <c r="R247" s="91"/>
    </row>
    <row r="248" spans="18:18" ht="12.75" customHeight="1">
      <c r="R248" s="91"/>
    </row>
    <row r="249" spans="18:18" ht="12.75" customHeight="1">
      <c r="R249" s="91"/>
    </row>
    <row r="250" spans="18:18" ht="12.75" customHeight="1">
      <c r="R250" s="91"/>
    </row>
    <row r="251" spans="18:18" ht="12.75" customHeight="1">
      <c r="R251" s="91"/>
    </row>
    <row r="252" spans="18:18" ht="12.75" customHeight="1">
      <c r="R252" s="91"/>
    </row>
    <row r="253" spans="18:18" ht="12.75" customHeight="1">
      <c r="R253" s="91"/>
    </row>
    <row r="254" spans="18:18" ht="12.75" customHeight="1">
      <c r="R254" s="91"/>
    </row>
    <row r="255" spans="18:18" ht="12.75" customHeight="1">
      <c r="R255" s="91"/>
    </row>
    <row r="256" spans="18:18" ht="12.75" customHeight="1">
      <c r="R256" s="91"/>
    </row>
    <row r="257" spans="18:18" ht="12.75" customHeight="1">
      <c r="R257" s="91"/>
    </row>
    <row r="258" spans="18:18" ht="12.75" customHeight="1">
      <c r="R258" s="91"/>
    </row>
    <row r="259" spans="18:18" ht="12.75" customHeight="1">
      <c r="R259" s="91"/>
    </row>
    <row r="260" spans="18:18" ht="12.75" customHeight="1">
      <c r="R260" s="91"/>
    </row>
    <row r="261" spans="18:18" ht="12.75" customHeight="1">
      <c r="R261" s="91"/>
    </row>
    <row r="262" spans="18:18" ht="12.75" customHeight="1">
      <c r="R262" s="91"/>
    </row>
    <row r="263" spans="18:18" ht="12.75" customHeight="1">
      <c r="R263" s="91"/>
    </row>
    <row r="264" spans="18:18" ht="12.75" customHeight="1">
      <c r="R264" s="91"/>
    </row>
    <row r="265" spans="18:18" ht="12.75" customHeight="1">
      <c r="R265" s="91"/>
    </row>
    <row r="266" spans="18:18" ht="12.75" customHeight="1">
      <c r="R266" s="91"/>
    </row>
    <row r="267" spans="18:18" ht="12.75" customHeight="1">
      <c r="R267" s="91"/>
    </row>
    <row r="268" spans="18:18" ht="12.75" customHeight="1">
      <c r="R268" s="91"/>
    </row>
    <row r="269" spans="18:18" ht="12.75" customHeight="1">
      <c r="R269" s="91"/>
    </row>
    <row r="270" spans="18:18" ht="12.75" customHeight="1">
      <c r="R270" s="91"/>
    </row>
    <row r="271" spans="18:18" ht="12.75" customHeight="1">
      <c r="R271" s="91"/>
    </row>
    <row r="272" spans="18:18" ht="12.75" customHeight="1">
      <c r="R272" s="91"/>
    </row>
    <row r="273" spans="18:18" ht="12.75" customHeight="1">
      <c r="R273" s="91"/>
    </row>
    <row r="274" spans="18:18" ht="12.75" customHeight="1">
      <c r="R274" s="91"/>
    </row>
    <row r="275" spans="18:18" ht="12.75" customHeight="1">
      <c r="R275" s="91"/>
    </row>
    <row r="276" spans="18:18" ht="12.75" customHeight="1">
      <c r="R276" s="91"/>
    </row>
    <row r="277" spans="18:18" ht="12.75" customHeight="1">
      <c r="R277" s="91"/>
    </row>
    <row r="278" spans="18:18" ht="12.75" customHeight="1">
      <c r="R278" s="91"/>
    </row>
    <row r="279" spans="18:18" ht="12.75" customHeight="1">
      <c r="R279" s="91"/>
    </row>
    <row r="280" spans="18:18" ht="12.75" customHeight="1">
      <c r="R280" s="91"/>
    </row>
    <row r="281" spans="18:18" ht="12.75" customHeight="1">
      <c r="R281" s="91"/>
    </row>
    <row r="282" spans="18:18" ht="12.75" customHeight="1">
      <c r="R282" s="91"/>
    </row>
    <row r="283" spans="18:18" ht="12.75" customHeight="1">
      <c r="R283" s="91"/>
    </row>
    <row r="284" spans="18:18" ht="12.75" customHeight="1">
      <c r="R284" s="91"/>
    </row>
    <row r="285" spans="18:18" ht="12.75" customHeight="1">
      <c r="R285" s="91"/>
    </row>
    <row r="286" spans="18:18" ht="12.75" customHeight="1">
      <c r="R286" s="91"/>
    </row>
    <row r="287" spans="18:18" ht="12.75" customHeight="1">
      <c r="R287" s="91"/>
    </row>
    <row r="288" spans="18:18" ht="12.75" customHeight="1">
      <c r="R288" s="91"/>
    </row>
    <row r="289" spans="18:18" ht="12.75" customHeight="1">
      <c r="R289" s="91"/>
    </row>
    <row r="290" spans="18:18" ht="12.75" customHeight="1">
      <c r="R290" s="91"/>
    </row>
    <row r="291" spans="18:18" ht="12.75" customHeight="1">
      <c r="R291" s="91"/>
    </row>
    <row r="292" spans="18:18" ht="12.75" customHeight="1">
      <c r="R292" s="91"/>
    </row>
    <row r="293" spans="18:18" ht="12.75" customHeight="1">
      <c r="R293" s="91"/>
    </row>
    <row r="294" spans="18:18" ht="12.75" customHeight="1">
      <c r="R294" s="91"/>
    </row>
    <row r="295" spans="18:18" ht="12.75" customHeight="1">
      <c r="R295" s="91"/>
    </row>
    <row r="296" spans="18:18" ht="12.75" customHeight="1">
      <c r="R296" s="91"/>
    </row>
    <row r="297" spans="18:18" ht="12.75" customHeight="1">
      <c r="R297" s="91"/>
    </row>
    <row r="298" spans="18:18" ht="12.75" customHeight="1">
      <c r="R298" s="91"/>
    </row>
    <row r="299" spans="18:18" ht="12.75" customHeight="1">
      <c r="R299" s="91"/>
    </row>
    <row r="300" spans="18:18" ht="12.75" customHeight="1">
      <c r="R300" s="91"/>
    </row>
    <row r="301" spans="18:18" ht="12.75" customHeight="1">
      <c r="R301" s="91"/>
    </row>
    <row r="302" spans="18:18" ht="12.75" customHeight="1">
      <c r="R302" s="91"/>
    </row>
    <row r="303" spans="18:18" ht="12.75" customHeight="1">
      <c r="R303" s="91"/>
    </row>
    <row r="304" spans="18:18" ht="12.75" customHeight="1">
      <c r="R304" s="91"/>
    </row>
    <row r="305" spans="18:18" ht="12.75" customHeight="1">
      <c r="R305" s="91"/>
    </row>
    <row r="306" spans="18:18" ht="12.75" customHeight="1">
      <c r="R306" s="91"/>
    </row>
    <row r="307" spans="18:18" ht="12.75" customHeight="1">
      <c r="R307" s="91"/>
    </row>
    <row r="308" spans="18:18" ht="12.75" customHeight="1">
      <c r="R308" s="91"/>
    </row>
    <row r="309" spans="18:18" ht="12.75" customHeight="1">
      <c r="R309" s="91"/>
    </row>
    <row r="310" spans="18:18" ht="12.75" customHeight="1">
      <c r="R310" s="91"/>
    </row>
    <row r="311" spans="18:18" ht="12.75" customHeight="1">
      <c r="R311" s="91"/>
    </row>
    <row r="312" spans="18:18" ht="12.75" customHeight="1">
      <c r="R312" s="91"/>
    </row>
    <row r="313" spans="18:18" ht="12.75" customHeight="1">
      <c r="R313" s="91"/>
    </row>
    <row r="314" spans="18:18" ht="12.75" customHeight="1">
      <c r="R314" s="91"/>
    </row>
    <row r="315" spans="18:18" ht="12.75" customHeight="1">
      <c r="R315" s="91"/>
    </row>
    <row r="316" spans="18:18" ht="12.75" customHeight="1">
      <c r="R316" s="91"/>
    </row>
    <row r="317" spans="18:18" ht="12.75" customHeight="1">
      <c r="R317" s="91"/>
    </row>
    <row r="318" spans="18:18" ht="12.75" customHeight="1">
      <c r="R318" s="91"/>
    </row>
    <row r="319" spans="18:18" ht="12.75" customHeight="1">
      <c r="R319" s="91"/>
    </row>
    <row r="320" spans="18:18" ht="12.75" customHeight="1">
      <c r="R320" s="91"/>
    </row>
    <row r="321" spans="18:18" ht="12.75" customHeight="1">
      <c r="R321" s="91"/>
    </row>
    <row r="322" spans="18:18" ht="12.75" customHeight="1">
      <c r="R322" s="91"/>
    </row>
    <row r="323" spans="18:18" ht="12.75" customHeight="1">
      <c r="R323" s="91"/>
    </row>
    <row r="324" spans="18:18" ht="12.75" customHeight="1">
      <c r="R324" s="91"/>
    </row>
    <row r="325" spans="18:18" ht="12.75" customHeight="1">
      <c r="R325" s="91"/>
    </row>
    <row r="326" spans="18:18" ht="12.75" customHeight="1">
      <c r="R326" s="91"/>
    </row>
    <row r="327" spans="18:18" ht="12.75" customHeight="1">
      <c r="R327" s="91"/>
    </row>
    <row r="328" spans="18:18" ht="12.75" customHeight="1">
      <c r="R328" s="91"/>
    </row>
    <row r="329" spans="18:18" ht="12.75" customHeight="1">
      <c r="R329" s="91"/>
    </row>
    <row r="330" spans="18:18" ht="12.75" customHeight="1">
      <c r="R330" s="91"/>
    </row>
    <row r="331" spans="18:18" ht="12.75" customHeight="1">
      <c r="R331" s="91"/>
    </row>
    <row r="332" spans="18:18" ht="12.75" customHeight="1">
      <c r="R332" s="91"/>
    </row>
    <row r="333" spans="18:18" ht="12.75" customHeight="1">
      <c r="R333" s="91"/>
    </row>
    <row r="334" spans="18:18" ht="12.75" customHeight="1">
      <c r="R334" s="91"/>
    </row>
    <row r="335" spans="18:18" ht="12.75" customHeight="1">
      <c r="R335" s="91"/>
    </row>
    <row r="336" spans="18:18" ht="12.75" customHeight="1">
      <c r="R336" s="91"/>
    </row>
    <row r="337" spans="18:18" ht="12.75" customHeight="1">
      <c r="R337" s="91"/>
    </row>
    <row r="338" spans="18:18" ht="12.75" customHeight="1">
      <c r="R338" s="91"/>
    </row>
    <row r="339" spans="18:18" ht="12.75" customHeight="1">
      <c r="R339" s="91"/>
    </row>
    <row r="340" spans="18:18" ht="12.75" customHeight="1">
      <c r="R340" s="91"/>
    </row>
    <row r="341" spans="18:18" ht="12.75" customHeight="1">
      <c r="R341" s="91"/>
    </row>
    <row r="342" spans="18:18" ht="12.75" customHeight="1">
      <c r="R342" s="91"/>
    </row>
    <row r="343" spans="18:18" ht="12.75" customHeight="1">
      <c r="R343" s="91"/>
    </row>
    <row r="344" spans="18:18" ht="12.75" customHeight="1">
      <c r="R344" s="91"/>
    </row>
    <row r="345" spans="18:18" ht="12.75" customHeight="1">
      <c r="R345" s="91"/>
    </row>
    <row r="346" spans="18:18" ht="12.75" customHeight="1">
      <c r="R346" s="91"/>
    </row>
    <row r="347" spans="18:18" ht="12.75" customHeight="1">
      <c r="R347" s="91"/>
    </row>
    <row r="348" spans="18:18" ht="12.75" customHeight="1">
      <c r="R348" s="91"/>
    </row>
    <row r="349" spans="18:18" ht="12.75" customHeight="1">
      <c r="R349" s="91"/>
    </row>
    <row r="350" spans="18:18" ht="12.75" customHeight="1">
      <c r="R350" s="91"/>
    </row>
    <row r="351" spans="18:18" ht="12.75" customHeight="1">
      <c r="R351" s="91"/>
    </row>
    <row r="352" spans="18:18" ht="12.75" customHeight="1">
      <c r="R352" s="91"/>
    </row>
    <row r="353" spans="18:18" ht="12.75" customHeight="1">
      <c r="R353" s="91"/>
    </row>
    <row r="354" spans="18:18" ht="12.75" customHeight="1">
      <c r="R354" s="91"/>
    </row>
    <row r="355" spans="18:18" ht="12.75" customHeight="1">
      <c r="R355" s="91"/>
    </row>
    <row r="356" spans="18:18" ht="12.75" customHeight="1">
      <c r="R356" s="91"/>
    </row>
    <row r="357" spans="18:18" ht="12.75" customHeight="1">
      <c r="R357" s="91"/>
    </row>
    <row r="358" spans="18:18" ht="12.75" customHeight="1">
      <c r="R358" s="91"/>
    </row>
    <row r="359" spans="18:18" ht="12.75" customHeight="1">
      <c r="R359" s="91"/>
    </row>
    <row r="360" spans="18:18" ht="12.75" customHeight="1">
      <c r="R360" s="91"/>
    </row>
    <row r="361" spans="18:18" ht="12.75" customHeight="1">
      <c r="R361" s="91"/>
    </row>
    <row r="362" spans="18:18" ht="12.75" customHeight="1">
      <c r="R362" s="91"/>
    </row>
    <row r="363" spans="18:18" ht="12.75" customHeight="1">
      <c r="R363" s="91"/>
    </row>
    <row r="364" spans="18:18" ht="12.75" customHeight="1">
      <c r="R364" s="91"/>
    </row>
    <row r="365" spans="18:18" ht="12.75" customHeight="1">
      <c r="R365" s="91"/>
    </row>
    <row r="366" spans="18:18" ht="12.75" customHeight="1">
      <c r="R366" s="91"/>
    </row>
    <row r="367" spans="18:18" ht="12.75" customHeight="1">
      <c r="R367" s="91"/>
    </row>
    <row r="368" spans="18:18" ht="12.75" customHeight="1">
      <c r="R368" s="91"/>
    </row>
    <row r="369" spans="18:18" ht="12.75" customHeight="1">
      <c r="R369" s="91"/>
    </row>
    <row r="370" spans="18:18" ht="12.75" customHeight="1">
      <c r="R370" s="91"/>
    </row>
    <row r="371" spans="18:18" ht="12.75" customHeight="1">
      <c r="R371" s="91"/>
    </row>
    <row r="372" spans="18:18" ht="12.75" customHeight="1">
      <c r="R372" s="91"/>
    </row>
    <row r="373" spans="18:18" ht="12.75" customHeight="1">
      <c r="R373" s="91"/>
    </row>
    <row r="374" spans="18:18" ht="12.75" customHeight="1">
      <c r="R374" s="91"/>
    </row>
    <row r="375" spans="18:18" ht="12.75" customHeight="1">
      <c r="R375" s="91"/>
    </row>
    <row r="376" spans="18:18" ht="12.75" customHeight="1">
      <c r="R376" s="91"/>
    </row>
    <row r="377" spans="18:18" ht="12.75" customHeight="1">
      <c r="R377" s="91"/>
    </row>
    <row r="378" spans="18:18" ht="12.75" customHeight="1">
      <c r="R378" s="91"/>
    </row>
    <row r="379" spans="18:18" ht="12.75" customHeight="1">
      <c r="R379" s="91"/>
    </row>
    <row r="380" spans="18:18" ht="12.75" customHeight="1">
      <c r="R380" s="91"/>
    </row>
    <row r="381" spans="18:18" ht="12.75" customHeight="1">
      <c r="R381" s="91"/>
    </row>
    <row r="382" spans="18:18" ht="12.75" customHeight="1">
      <c r="R382" s="91"/>
    </row>
    <row r="383" spans="18:18" ht="12.75" customHeight="1">
      <c r="R383" s="91"/>
    </row>
    <row r="384" spans="18:18" ht="12.75" customHeight="1">
      <c r="R384" s="91"/>
    </row>
    <row r="385" spans="18:18" ht="12.75" customHeight="1">
      <c r="R385" s="91"/>
    </row>
    <row r="386" spans="18:18" ht="12.75" customHeight="1">
      <c r="R386" s="91"/>
    </row>
    <row r="387" spans="18:18" ht="12.75" customHeight="1">
      <c r="R387" s="91"/>
    </row>
    <row r="388" spans="18:18" ht="12.75" customHeight="1">
      <c r="R388" s="91"/>
    </row>
    <row r="389" spans="18:18" ht="12.75" customHeight="1">
      <c r="R389" s="91"/>
    </row>
    <row r="390" spans="18:18" ht="12.75" customHeight="1">
      <c r="R390" s="91"/>
    </row>
    <row r="391" spans="18:18" ht="12.75" customHeight="1">
      <c r="R391" s="91"/>
    </row>
    <row r="392" spans="18:18" ht="12.75" customHeight="1">
      <c r="R392" s="91"/>
    </row>
    <row r="393" spans="18:18" ht="12.75" customHeight="1">
      <c r="R393" s="91"/>
    </row>
    <row r="394" spans="18:18" ht="12.75" customHeight="1">
      <c r="R394" s="91"/>
    </row>
    <row r="395" spans="18:18" ht="12.75" customHeight="1">
      <c r="R395" s="91"/>
    </row>
    <row r="396" spans="18:18" ht="12.75" customHeight="1">
      <c r="R396" s="91"/>
    </row>
    <row r="397" spans="18:18" ht="12.75" customHeight="1">
      <c r="R397" s="91"/>
    </row>
    <row r="398" spans="18:18" ht="12.75" customHeight="1">
      <c r="R398" s="91"/>
    </row>
    <row r="399" spans="18:18" ht="12.75" customHeight="1">
      <c r="R399" s="91"/>
    </row>
    <row r="400" spans="18:18" ht="12.75" customHeight="1">
      <c r="R400" s="91"/>
    </row>
    <row r="401" spans="18:18" ht="12.75" customHeight="1">
      <c r="R401" s="91"/>
    </row>
    <row r="402" spans="18:18" ht="12.75" customHeight="1">
      <c r="R402" s="91"/>
    </row>
    <row r="403" spans="18:18" ht="12.75" customHeight="1">
      <c r="R403" s="91"/>
    </row>
    <row r="404" spans="18:18" ht="12.75" customHeight="1">
      <c r="R404" s="91"/>
    </row>
    <row r="405" spans="18:18" ht="12.75" customHeight="1">
      <c r="R405" s="91"/>
    </row>
    <row r="406" spans="18:18" ht="12.75" customHeight="1">
      <c r="R406" s="91"/>
    </row>
    <row r="407" spans="18:18" ht="12.75" customHeight="1">
      <c r="R407" s="91"/>
    </row>
    <row r="408" spans="18:18" ht="12.75" customHeight="1">
      <c r="R408" s="91"/>
    </row>
    <row r="409" spans="18:18" ht="12.75" customHeight="1">
      <c r="R409" s="91"/>
    </row>
    <row r="410" spans="18:18" ht="12.75" customHeight="1">
      <c r="R410" s="91"/>
    </row>
    <row r="411" spans="18:18" ht="12.75" customHeight="1">
      <c r="R411" s="91"/>
    </row>
    <row r="412" spans="18:18" ht="12.75" customHeight="1">
      <c r="R412" s="91"/>
    </row>
    <row r="413" spans="18:18" ht="12.75" customHeight="1">
      <c r="R413" s="91"/>
    </row>
    <row r="414" spans="18:18" ht="12.75" customHeight="1">
      <c r="R414" s="91"/>
    </row>
    <row r="415" spans="18:18" ht="12.75" customHeight="1">
      <c r="R415" s="91"/>
    </row>
    <row r="416" spans="18:18" ht="12.75" customHeight="1">
      <c r="R416" s="91"/>
    </row>
    <row r="417" spans="18:18" ht="12.75" customHeight="1">
      <c r="R417" s="91"/>
    </row>
    <row r="418" spans="18:18" ht="12.75" customHeight="1">
      <c r="R418" s="91"/>
    </row>
    <row r="419" spans="18:18" ht="12.75" customHeight="1">
      <c r="R419" s="91"/>
    </row>
    <row r="420" spans="18:18" ht="12.75" customHeight="1">
      <c r="R420" s="91"/>
    </row>
    <row r="421" spans="18:18" ht="12.75" customHeight="1">
      <c r="R421" s="91"/>
    </row>
    <row r="422" spans="18:18" ht="12.75" customHeight="1">
      <c r="R422" s="91"/>
    </row>
    <row r="423" spans="18:18" ht="12.75" customHeight="1">
      <c r="R423" s="91"/>
    </row>
    <row r="424" spans="18:18" ht="12.75" customHeight="1">
      <c r="R424" s="91"/>
    </row>
    <row r="425" spans="18:18" ht="12.75" customHeight="1">
      <c r="R425" s="91"/>
    </row>
    <row r="426" spans="18:18" ht="12.75" customHeight="1">
      <c r="R426" s="91"/>
    </row>
    <row r="427" spans="18:18" ht="12.75" customHeight="1">
      <c r="R427" s="91"/>
    </row>
    <row r="428" spans="18:18" ht="12.75" customHeight="1">
      <c r="R428" s="91"/>
    </row>
    <row r="429" spans="18:18" ht="12.75" customHeight="1">
      <c r="R429" s="91"/>
    </row>
    <row r="430" spans="18:18" ht="12.75" customHeight="1">
      <c r="R430" s="91"/>
    </row>
    <row r="431" spans="18:18" ht="12.75" customHeight="1">
      <c r="R431" s="91"/>
    </row>
    <row r="432" spans="18:18" ht="12.75" customHeight="1">
      <c r="R432" s="91"/>
    </row>
    <row r="433" spans="18:18" ht="12.75" customHeight="1">
      <c r="R433" s="91"/>
    </row>
    <row r="434" spans="18:18" ht="12.75" customHeight="1">
      <c r="R434" s="91"/>
    </row>
    <row r="435" spans="18:18" ht="12.75" customHeight="1">
      <c r="R435" s="91"/>
    </row>
    <row r="436" spans="18:18" ht="12.75" customHeight="1">
      <c r="R436" s="91"/>
    </row>
    <row r="437" spans="18:18" ht="12.75" customHeight="1">
      <c r="R437" s="91"/>
    </row>
    <row r="438" spans="18:18" ht="12.75" customHeight="1">
      <c r="R438" s="91"/>
    </row>
    <row r="439" spans="18:18" ht="12.75" customHeight="1">
      <c r="R439" s="91"/>
    </row>
    <row r="440" spans="18:18" ht="12.75" customHeight="1">
      <c r="R440" s="91"/>
    </row>
    <row r="441" spans="18:18" ht="12.75" customHeight="1">
      <c r="R441" s="91"/>
    </row>
    <row r="442" spans="18:18" ht="12.75" customHeight="1">
      <c r="R442" s="91"/>
    </row>
    <row r="443" spans="18:18" ht="12.75" customHeight="1">
      <c r="R443" s="91"/>
    </row>
    <row r="444" spans="18:18" ht="12.75" customHeight="1">
      <c r="R444" s="91"/>
    </row>
    <row r="445" spans="18:18" ht="12.75" customHeight="1">
      <c r="R445" s="91"/>
    </row>
    <row r="446" spans="18:18" ht="12.75" customHeight="1">
      <c r="R446" s="91"/>
    </row>
    <row r="447" spans="18:18" ht="12.75" customHeight="1">
      <c r="R447" s="91"/>
    </row>
    <row r="448" spans="18:18" ht="12.75" customHeight="1">
      <c r="R448" s="91"/>
    </row>
    <row r="449" spans="18:18" ht="12.75" customHeight="1">
      <c r="R449" s="91"/>
    </row>
    <row r="450" spans="18:18" ht="12.75" customHeight="1">
      <c r="R450" s="91"/>
    </row>
    <row r="451" spans="18:18" ht="12.75" customHeight="1">
      <c r="R451" s="91"/>
    </row>
    <row r="452" spans="18:18" ht="12.75" customHeight="1">
      <c r="R452" s="91"/>
    </row>
    <row r="453" spans="18:18" ht="12.75" customHeight="1">
      <c r="R453" s="91"/>
    </row>
    <row r="454" spans="18:18" ht="12.75" customHeight="1">
      <c r="R454" s="91"/>
    </row>
    <row r="455" spans="18:18" ht="12.75" customHeight="1">
      <c r="R455" s="91"/>
    </row>
    <row r="456" spans="18:18" ht="12.75" customHeight="1">
      <c r="R456" s="91"/>
    </row>
    <row r="457" spans="18:18" ht="12.75" customHeight="1">
      <c r="R457" s="91"/>
    </row>
    <row r="458" spans="18:18" ht="12.75" customHeight="1">
      <c r="R458" s="91"/>
    </row>
    <row r="459" spans="18:18" ht="12.75" customHeight="1">
      <c r="R459" s="91"/>
    </row>
    <row r="460" spans="18:18" ht="12.75" customHeight="1">
      <c r="R460" s="91"/>
    </row>
    <row r="461" spans="18:18" ht="12.75" customHeight="1">
      <c r="R461" s="91"/>
    </row>
    <row r="462" spans="18:18" ht="12.75" customHeight="1">
      <c r="R462" s="91"/>
    </row>
    <row r="463" spans="18:18" ht="12.75" customHeight="1">
      <c r="R463" s="91"/>
    </row>
    <row r="464" spans="18:18" ht="12.75" customHeight="1">
      <c r="R464" s="91"/>
    </row>
    <row r="465" spans="18:18" ht="12.75" customHeight="1">
      <c r="R465" s="91"/>
    </row>
    <row r="466" spans="18:18" ht="12.75" customHeight="1">
      <c r="R466" s="91"/>
    </row>
    <row r="467" spans="18:18" ht="12.75" customHeight="1">
      <c r="R467" s="91"/>
    </row>
    <row r="468" spans="18:18" ht="12.75" customHeight="1">
      <c r="R468" s="91"/>
    </row>
    <row r="469" spans="18:18" ht="12.75" customHeight="1">
      <c r="R469" s="91"/>
    </row>
    <row r="470" spans="18:18" ht="12.75" customHeight="1">
      <c r="R470" s="91"/>
    </row>
    <row r="471" spans="18:18" ht="12.75" customHeight="1">
      <c r="R471" s="91"/>
    </row>
    <row r="472" spans="18:18" ht="12.75" customHeight="1">
      <c r="R472" s="91"/>
    </row>
    <row r="473" spans="18:18" ht="12.75" customHeight="1">
      <c r="R473" s="91"/>
    </row>
    <row r="474" spans="18:18" ht="12.75" customHeight="1">
      <c r="R474" s="91"/>
    </row>
    <row r="475" spans="18:18" ht="12.75" customHeight="1">
      <c r="R475" s="91"/>
    </row>
    <row r="476" spans="18:18" ht="12.75" customHeight="1">
      <c r="R476" s="91"/>
    </row>
    <row r="477" spans="18:18" ht="12.75" customHeight="1">
      <c r="R477" s="91"/>
    </row>
    <row r="478" spans="18:18" ht="12.75" customHeight="1">
      <c r="R478" s="91"/>
    </row>
    <row r="479" spans="18:18" ht="12.75" customHeight="1">
      <c r="R479" s="91"/>
    </row>
    <row r="480" spans="18:18" ht="12.75" customHeight="1">
      <c r="R480" s="91"/>
    </row>
    <row r="481" spans="18:18" ht="12.75" customHeight="1">
      <c r="R481" s="91"/>
    </row>
    <row r="482" spans="18:18" ht="12.75" customHeight="1">
      <c r="R482" s="91"/>
    </row>
    <row r="483" spans="18:18" ht="12.75" customHeight="1">
      <c r="R483" s="91"/>
    </row>
    <row r="484" spans="18:18" ht="12.75" customHeight="1">
      <c r="R484" s="91"/>
    </row>
    <row r="485" spans="18:18" ht="12.75" customHeight="1">
      <c r="R485" s="91"/>
    </row>
    <row r="486" spans="18:18" ht="12.75" customHeight="1">
      <c r="R486" s="91"/>
    </row>
    <row r="487" spans="18:18" ht="12.75" customHeight="1">
      <c r="R487" s="91"/>
    </row>
    <row r="488" spans="18:18" ht="12.75" customHeight="1">
      <c r="R488" s="91"/>
    </row>
    <row r="489" spans="18:18" ht="12.75" customHeight="1">
      <c r="R489" s="91"/>
    </row>
    <row r="490" spans="18:18" ht="12.75" customHeight="1">
      <c r="R490" s="91"/>
    </row>
    <row r="491" spans="18:18" ht="12.75" customHeight="1">
      <c r="R491" s="91"/>
    </row>
    <row r="492" spans="18:18" ht="12.75" customHeight="1">
      <c r="R492" s="91"/>
    </row>
    <row r="493" spans="18:18" ht="12.75" customHeight="1">
      <c r="R493" s="91"/>
    </row>
    <row r="494" spans="18:18" ht="12.75" customHeight="1">
      <c r="R494" s="91"/>
    </row>
    <row r="495" spans="18:18" ht="12.75" customHeight="1">
      <c r="R495" s="91"/>
    </row>
    <row r="496" spans="18:18" ht="12.75" customHeight="1">
      <c r="R496" s="91"/>
    </row>
    <row r="497" spans="18:18" ht="12.75" customHeight="1">
      <c r="R497" s="91"/>
    </row>
    <row r="498" spans="18:18" ht="12.75" customHeight="1">
      <c r="R498" s="91"/>
    </row>
    <row r="499" spans="18:18" ht="12.75" customHeight="1">
      <c r="R499" s="91"/>
    </row>
    <row r="500" spans="18:18" ht="12.75" customHeight="1">
      <c r="R500" s="91"/>
    </row>
    <row r="501" spans="18:18" ht="12.75" customHeight="1">
      <c r="R501" s="91"/>
    </row>
    <row r="502" spans="18:18" ht="12.75" customHeight="1">
      <c r="R502" s="91"/>
    </row>
    <row r="503" spans="18:18" ht="12.75" customHeight="1">
      <c r="R503" s="91"/>
    </row>
    <row r="504" spans="18:18" ht="12.75" customHeight="1">
      <c r="R504" s="91"/>
    </row>
    <row r="505" spans="18:18" ht="12.75" customHeight="1">
      <c r="R505" s="91"/>
    </row>
    <row r="506" spans="18:18" ht="12.75" customHeight="1">
      <c r="R506" s="91"/>
    </row>
    <row r="507" spans="18:18" ht="12.75" customHeight="1">
      <c r="R507" s="91"/>
    </row>
    <row r="508" spans="18:18" ht="12.75" customHeight="1">
      <c r="R508" s="91"/>
    </row>
    <row r="509" spans="18:18" ht="12.75" customHeight="1">
      <c r="R509" s="91"/>
    </row>
    <row r="510" spans="18:18" ht="12.75" customHeight="1">
      <c r="R510" s="91"/>
    </row>
    <row r="511" spans="18:18" ht="12.75" customHeight="1">
      <c r="R511" s="91"/>
    </row>
    <row r="512" spans="18:18" ht="12.75" customHeight="1">
      <c r="R512" s="91"/>
    </row>
    <row r="513" spans="18:18" ht="12.75" customHeight="1">
      <c r="R513" s="91"/>
    </row>
    <row r="514" spans="18:18" ht="12.75" customHeight="1">
      <c r="R514" s="91"/>
    </row>
    <row r="515" spans="18:18" ht="12.75" customHeight="1">
      <c r="R515" s="91"/>
    </row>
    <row r="516" spans="18:18" ht="12.75" customHeight="1">
      <c r="R516" s="91"/>
    </row>
    <row r="517" spans="18:18" ht="12.75" customHeight="1">
      <c r="R517" s="91"/>
    </row>
    <row r="518" spans="18:18" ht="12.75" customHeight="1">
      <c r="R518" s="91"/>
    </row>
    <row r="519" spans="18:18" ht="12.75" customHeight="1">
      <c r="R519" s="91"/>
    </row>
    <row r="520" spans="18:18" ht="12.75" customHeight="1">
      <c r="R520" s="91"/>
    </row>
    <row r="521" spans="18:18" ht="12.75" customHeight="1">
      <c r="R521" s="91"/>
    </row>
    <row r="522" spans="18:18" ht="12.75" customHeight="1">
      <c r="R522" s="91"/>
    </row>
    <row r="523" spans="18:18" ht="12.75" customHeight="1">
      <c r="R523" s="91"/>
    </row>
    <row r="524" spans="18:18" ht="12.75" customHeight="1">
      <c r="R524" s="91"/>
    </row>
    <row r="525" spans="18:18" ht="12.75" customHeight="1">
      <c r="R525" s="91"/>
    </row>
    <row r="526" spans="18:18" ht="12.75" customHeight="1">
      <c r="R526" s="91"/>
    </row>
    <row r="527" spans="18:18" ht="12.75" customHeight="1">
      <c r="R527" s="91"/>
    </row>
    <row r="528" spans="18:18" ht="12.75" customHeight="1">
      <c r="R528" s="91"/>
    </row>
    <row r="529" spans="18:18" ht="12.75" customHeight="1">
      <c r="R529" s="91"/>
    </row>
    <row r="530" spans="18:18" ht="12.75" customHeight="1">
      <c r="R530" s="91"/>
    </row>
    <row r="531" spans="18:18" ht="12.75" customHeight="1">
      <c r="R531" s="91"/>
    </row>
    <row r="532" spans="18:18" ht="12.75" customHeight="1">
      <c r="R532" s="91"/>
    </row>
    <row r="533" spans="18:18" ht="12.75" customHeight="1">
      <c r="R533" s="91"/>
    </row>
    <row r="534" spans="18:18" ht="12.75" customHeight="1">
      <c r="R534" s="91"/>
    </row>
    <row r="535" spans="18:18" ht="12.75" customHeight="1">
      <c r="R535" s="91"/>
    </row>
    <row r="536" spans="18:18" ht="12.75" customHeight="1">
      <c r="R536" s="91"/>
    </row>
    <row r="537" spans="18:18" ht="12.75" customHeight="1">
      <c r="R537" s="91"/>
    </row>
    <row r="538" spans="18:18" ht="12.75" customHeight="1">
      <c r="R538" s="91"/>
    </row>
    <row r="539" spans="18:18" ht="12.75" customHeight="1">
      <c r="R539" s="91"/>
    </row>
    <row r="540" spans="18:18" ht="12.75" customHeight="1">
      <c r="R540" s="91"/>
    </row>
    <row r="541" spans="18:18" ht="12.75" customHeight="1">
      <c r="R541" s="91"/>
    </row>
    <row r="542" spans="18:18" ht="12.75" customHeight="1">
      <c r="R542" s="91"/>
    </row>
    <row r="543" spans="18:18" ht="12.75" customHeight="1">
      <c r="R543" s="91"/>
    </row>
    <row r="544" spans="18:18" ht="12.75" customHeight="1">
      <c r="R544" s="91"/>
    </row>
    <row r="545" spans="18:18" ht="12.75" customHeight="1">
      <c r="R545" s="91"/>
    </row>
    <row r="546" spans="18:18" ht="12.75" customHeight="1">
      <c r="R546" s="91"/>
    </row>
    <row r="547" spans="18:18" ht="12.75" customHeight="1">
      <c r="R547" s="91"/>
    </row>
    <row r="548" spans="18:18" ht="12.75" customHeight="1">
      <c r="R548" s="91"/>
    </row>
    <row r="549" spans="18:18" ht="12.75" customHeight="1">
      <c r="R549" s="91"/>
    </row>
    <row r="550" spans="18:18" ht="12.75" customHeight="1">
      <c r="R550" s="91"/>
    </row>
    <row r="551" spans="18:18" ht="12.75" customHeight="1">
      <c r="R551" s="91"/>
    </row>
    <row r="552" spans="18:18" ht="12.75" customHeight="1">
      <c r="R552" s="91"/>
    </row>
    <row r="553" spans="18:18" ht="12.75" customHeight="1">
      <c r="R553" s="91"/>
    </row>
    <row r="554" spans="18:18" ht="12.75" customHeight="1">
      <c r="R554" s="91"/>
    </row>
    <row r="555" spans="18:18" ht="12.75" customHeight="1">
      <c r="R555" s="91"/>
    </row>
    <row r="556" spans="18:18" ht="12.75" customHeight="1">
      <c r="R556" s="91"/>
    </row>
    <row r="557" spans="18:18" ht="12.75" customHeight="1">
      <c r="R557" s="91"/>
    </row>
    <row r="558" spans="18:18" ht="12.75" customHeight="1">
      <c r="R558" s="91"/>
    </row>
    <row r="559" spans="18:18" ht="12.75" customHeight="1">
      <c r="R559" s="91"/>
    </row>
    <row r="560" spans="18:18" ht="12.75" customHeight="1">
      <c r="R560" s="91"/>
    </row>
    <row r="561" spans="18:18" ht="12.75" customHeight="1">
      <c r="R561" s="91"/>
    </row>
    <row r="562" spans="18:18" ht="12.75" customHeight="1">
      <c r="R562" s="91"/>
    </row>
    <row r="563" spans="18:18" ht="12.75" customHeight="1">
      <c r="R563" s="91"/>
    </row>
    <row r="564" spans="18:18" ht="12.75" customHeight="1">
      <c r="R564" s="91"/>
    </row>
    <row r="565" spans="18:18" ht="12.75" customHeight="1">
      <c r="R565" s="91"/>
    </row>
    <row r="566" spans="18:18" ht="12.75" customHeight="1">
      <c r="R566" s="91"/>
    </row>
    <row r="567" spans="18:18" ht="12.75" customHeight="1">
      <c r="R567" s="91"/>
    </row>
    <row r="568" spans="18:18" ht="12.75" customHeight="1">
      <c r="R568" s="91"/>
    </row>
    <row r="569" spans="18:18" ht="12.75" customHeight="1">
      <c r="R569" s="91"/>
    </row>
    <row r="570" spans="18:18" ht="12.75" customHeight="1">
      <c r="R570" s="91"/>
    </row>
    <row r="571" spans="18:18" ht="12.75" customHeight="1">
      <c r="R571" s="91"/>
    </row>
    <row r="572" spans="18:18" ht="12.75" customHeight="1">
      <c r="R572" s="91"/>
    </row>
    <row r="573" spans="18:18" ht="12.75" customHeight="1">
      <c r="R573" s="91"/>
    </row>
    <row r="574" spans="18:18" ht="12.75" customHeight="1">
      <c r="R574" s="91"/>
    </row>
    <row r="575" spans="18:18" ht="12.75" customHeight="1">
      <c r="R575" s="91"/>
    </row>
    <row r="576" spans="18:18" ht="12.75" customHeight="1">
      <c r="R576" s="91"/>
    </row>
    <row r="577" spans="18:18" ht="12.75" customHeight="1">
      <c r="R577" s="91"/>
    </row>
    <row r="578" spans="18:18" ht="12.75" customHeight="1">
      <c r="R578" s="91"/>
    </row>
    <row r="579" spans="18:18" ht="12.75" customHeight="1">
      <c r="R579" s="91"/>
    </row>
    <row r="580" spans="18:18" ht="12.75" customHeight="1">
      <c r="R580" s="91"/>
    </row>
    <row r="581" spans="18:18" ht="12.75" customHeight="1">
      <c r="R581" s="91"/>
    </row>
    <row r="582" spans="18:18" ht="12.75" customHeight="1">
      <c r="R582" s="91"/>
    </row>
    <row r="583" spans="18:18" ht="12.75" customHeight="1">
      <c r="R583" s="91"/>
    </row>
    <row r="584" spans="18:18" ht="12.75" customHeight="1">
      <c r="R584" s="91"/>
    </row>
    <row r="585" spans="18:18" ht="12.75" customHeight="1">
      <c r="R585" s="91"/>
    </row>
    <row r="586" spans="18:18" ht="12.75" customHeight="1">
      <c r="R586" s="91"/>
    </row>
    <row r="587" spans="18:18" ht="12.75" customHeight="1">
      <c r="R587" s="91"/>
    </row>
    <row r="588" spans="18:18" ht="12.75" customHeight="1">
      <c r="R588" s="91"/>
    </row>
    <row r="589" spans="18:18" ht="12.75" customHeight="1">
      <c r="R589" s="91"/>
    </row>
    <row r="590" spans="18:18" ht="12.75" customHeight="1">
      <c r="R590" s="91"/>
    </row>
    <row r="591" spans="18:18" ht="12.75" customHeight="1">
      <c r="R591" s="91"/>
    </row>
    <row r="592" spans="18:18" ht="12.75" customHeight="1">
      <c r="R592" s="91"/>
    </row>
    <row r="593" spans="18:18" ht="12.75" customHeight="1">
      <c r="R593" s="91"/>
    </row>
    <row r="594" spans="18:18" ht="12.75" customHeight="1">
      <c r="R594" s="91"/>
    </row>
    <row r="595" spans="18:18" ht="12.75" customHeight="1">
      <c r="R595" s="91"/>
    </row>
    <row r="596" spans="18:18" ht="12.75" customHeight="1">
      <c r="R596" s="91"/>
    </row>
    <row r="597" spans="18:18" ht="12.75" customHeight="1">
      <c r="R597" s="91"/>
    </row>
    <row r="598" spans="18:18" ht="12.75" customHeight="1">
      <c r="R598" s="91"/>
    </row>
    <row r="599" spans="18:18" ht="12.75" customHeight="1">
      <c r="R599" s="91"/>
    </row>
    <row r="600" spans="18:18" ht="12.75" customHeight="1">
      <c r="R600" s="91"/>
    </row>
    <row r="601" spans="18:18" ht="12.75" customHeight="1">
      <c r="R601" s="91"/>
    </row>
    <row r="602" spans="18:18" ht="12.75" customHeight="1">
      <c r="R602" s="91"/>
    </row>
    <row r="603" spans="18:18" ht="12.75" customHeight="1">
      <c r="R603" s="91"/>
    </row>
    <row r="604" spans="18:18" ht="12.75" customHeight="1">
      <c r="R604" s="91"/>
    </row>
    <row r="605" spans="18:18" ht="12.75" customHeight="1">
      <c r="R605" s="91"/>
    </row>
    <row r="606" spans="18:18" ht="12.75" customHeight="1">
      <c r="R606" s="91"/>
    </row>
    <row r="607" spans="18:18" ht="12.75" customHeight="1">
      <c r="R607" s="91"/>
    </row>
    <row r="608" spans="18:18" ht="12.75" customHeight="1">
      <c r="R608" s="91"/>
    </row>
    <row r="609" spans="18:18" ht="12.75" customHeight="1">
      <c r="R609" s="91"/>
    </row>
    <row r="610" spans="18:18" ht="12.75" customHeight="1">
      <c r="R610" s="91"/>
    </row>
    <row r="611" spans="18:18" ht="12.75" customHeight="1">
      <c r="R611" s="91"/>
    </row>
    <row r="612" spans="18:18" ht="12.75" customHeight="1">
      <c r="R612" s="91"/>
    </row>
    <row r="613" spans="18:18" ht="12.75" customHeight="1">
      <c r="R613" s="91"/>
    </row>
    <row r="614" spans="18:18" ht="12.75" customHeight="1">
      <c r="R614" s="91"/>
    </row>
    <row r="615" spans="18:18" ht="12.75" customHeight="1">
      <c r="R615" s="91"/>
    </row>
    <row r="616" spans="18:18" ht="12.75" customHeight="1">
      <c r="R616" s="91"/>
    </row>
    <row r="617" spans="18:18" ht="12.75" customHeight="1">
      <c r="R617" s="91"/>
    </row>
    <row r="618" spans="18:18" ht="12.75" customHeight="1">
      <c r="R618" s="91"/>
    </row>
    <row r="619" spans="18:18" ht="12.75" customHeight="1">
      <c r="R619" s="91"/>
    </row>
    <row r="620" spans="18:18" ht="12.75" customHeight="1">
      <c r="R620" s="91"/>
    </row>
    <row r="621" spans="18:18" ht="12.75" customHeight="1">
      <c r="R621" s="91"/>
    </row>
    <row r="622" spans="18:18" ht="12.75" customHeight="1">
      <c r="R622" s="91"/>
    </row>
    <row r="623" spans="18:18" ht="12.75" customHeight="1">
      <c r="R623" s="91"/>
    </row>
    <row r="624" spans="18:18" ht="12.75" customHeight="1">
      <c r="R624" s="91"/>
    </row>
    <row r="625" spans="18:18" ht="12.75" customHeight="1">
      <c r="R625" s="91"/>
    </row>
    <row r="626" spans="18:18" ht="12.75" customHeight="1">
      <c r="R626" s="91"/>
    </row>
    <row r="627" spans="18:18" ht="12.75" customHeight="1">
      <c r="R627" s="91"/>
    </row>
    <row r="628" spans="18:18" ht="12.75" customHeight="1">
      <c r="R628" s="91"/>
    </row>
    <row r="629" spans="18:18" ht="12.75" customHeight="1">
      <c r="R629" s="91"/>
    </row>
    <row r="630" spans="18:18" ht="12.75" customHeight="1">
      <c r="R630" s="91"/>
    </row>
    <row r="631" spans="18:18" ht="12.75" customHeight="1">
      <c r="R631" s="91"/>
    </row>
    <row r="632" spans="18:18" ht="12.75" customHeight="1">
      <c r="R632" s="91"/>
    </row>
    <row r="633" spans="18:18" ht="12.75" customHeight="1">
      <c r="R633" s="91"/>
    </row>
    <row r="634" spans="18:18" ht="12.75" customHeight="1">
      <c r="R634" s="91"/>
    </row>
    <row r="635" spans="18:18" ht="12.75" customHeight="1">
      <c r="R635" s="91"/>
    </row>
    <row r="636" spans="18:18" ht="12.75" customHeight="1">
      <c r="R636" s="91"/>
    </row>
    <row r="637" spans="18:18" ht="12.75" customHeight="1">
      <c r="R637" s="91"/>
    </row>
    <row r="638" spans="18:18" ht="12.75" customHeight="1">
      <c r="R638" s="91"/>
    </row>
    <row r="639" spans="18:18" ht="12.75" customHeight="1">
      <c r="R639" s="91"/>
    </row>
    <row r="640" spans="18:18" ht="12.75" customHeight="1">
      <c r="R640" s="91"/>
    </row>
    <row r="641" spans="18:18" ht="12.75" customHeight="1">
      <c r="R641" s="91"/>
    </row>
    <row r="642" spans="18:18" ht="12.75" customHeight="1">
      <c r="R642" s="91"/>
    </row>
    <row r="643" spans="18:18" ht="12.75" customHeight="1">
      <c r="R643" s="91"/>
    </row>
    <row r="644" spans="18:18" ht="12.75" customHeight="1">
      <c r="R644" s="91"/>
    </row>
    <row r="645" spans="18:18" ht="12.75" customHeight="1">
      <c r="R645" s="91"/>
    </row>
    <row r="646" spans="18:18" ht="12.75" customHeight="1">
      <c r="R646" s="91"/>
    </row>
    <row r="647" spans="18:18" ht="12.75" customHeight="1">
      <c r="R647" s="91"/>
    </row>
    <row r="648" spans="18:18" ht="12.75" customHeight="1">
      <c r="R648" s="91"/>
    </row>
    <row r="649" spans="18:18" ht="12.75" customHeight="1">
      <c r="R649" s="91"/>
    </row>
    <row r="650" spans="18:18" ht="12.75" customHeight="1">
      <c r="R650" s="91"/>
    </row>
    <row r="651" spans="18:18" ht="12.75" customHeight="1">
      <c r="R651" s="91"/>
    </row>
    <row r="652" spans="18:18" ht="12.75" customHeight="1">
      <c r="R652" s="91"/>
    </row>
    <row r="653" spans="18:18" ht="12.75" customHeight="1">
      <c r="R653" s="91"/>
    </row>
    <row r="654" spans="18:18" ht="12.75" customHeight="1">
      <c r="R654" s="91"/>
    </row>
    <row r="655" spans="18:18" ht="12.75" customHeight="1">
      <c r="R655" s="91"/>
    </row>
    <row r="656" spans="18:18" ht="12.75" customHeight="1">
      <c r="R656" s="91"/>
    </row>
    <row r="657" spans="18:18" ht="12.75" customHeight="1">
      <c r="R657" s="91"/>
    </row>
    <row r="658" spans="18:18" ht="12.75" customHeight="1">
      <c r="R658" s="91"/>
    </row>
    <row r="659" spans="18:18" ht="12.75" customHeight="1">
      <c r="R659" s="91"/>
    </row>
    <row r="660" spans="18:18" ht="12.75" customHeight="1">
      <c r="R660" s="91"/>
    </row>
    <row r="661" spans="18:18" ht="12.75" customHeight="1">
      <c r="R661" s="91"/>
    </row>
    <row r="662" spans="18:18" ht="12.75" customHeight="1">
      <c r="R662" s="91"/>
    </row>
    <row r="663" spans="18:18" ht="12.75" customHeight="1">
      <c r="R663" s="91"/>
    </row>
    <row r="664" spans="18:18" ht="12.75" customHeight="1">
      <c r="R664" s="91"/>
    </row>
    <row r="665" spans="18:18" ht="12.75" customHeight="1">
      <c r="R665" s="91"/>
    </row>
    <row r="666" spans="18:18" ht="12.75" customHeight="1">
      <c r="R666" s="91"/>
    </row>
    <row r="667" spans="18:18" ht="12.75" customHeight="1">
      <c r="R667" s="91"/>
    </row>
    <row r="668" spans="18:18" ht="12.75" customHeight="1">
      <c r="R668" s="91"/>
    </row>
    <row r="669" spans="18:18" ht="12.75" customHeight="1">
      <c r="R669" s="91"/>
    </row>
    <row r="670" spans="18:18" ht="12.75" customHeight="1">
      <c r="R670" s="91"/>
    </row>
    <row r="671" spans="18:18" ht="12.75" customHeight="1">
      <c r="R671" s="91"/>
    </row>
    <row r="672" spans="18:18" ht="12.75" customHeight="1">
      <c r="R672" s="91"/>
    </row>
    <row r="673" spans="18:18" ht="12.75" customHeight="1">
      <c r="R673" s="91"/>
    </row>
    <row r="674" spans="18:18" ht="12.75" customHeight="1">
      <c r="R674" s="91"/>
    </row>
    <row r="675" spans="18:18" ht="12.75" customHeight="1">
      <c r="R675" s="91"/>
    </row>
    <row r="676" spans="18:18" ht="12.75" customHeight="1">
      <c r="R676" s="91"/>
    </row>
    <row r="677" spans="18:18" ht="12.75" customHeight="1">
      <c r="R677" s="91"/>
    </row>
    <row r="678" spans="18:18" ht="12.75" customHeight="1">
      <c r="R678" s="91"/>
    </row>
    <row r="679" spans="18:18" ht="12.75" customHeight="1">
      <c r="R679" s="91"/>
    </row>
    <row r="680" spans="18:18" ht="12.75" customHeight="1">
      <c r="R680" s="91"/>
    </row>
    <row r="681" spans="18:18" ht="12.75" customHeight="1">
      <c r="R681" s="91"/>
    </row>
    <row r="682" spans="18:18" ht="12.75" customHeight="1">
      <c r="R682" s="91"/>
    </row>
    <row r="683" spans="18:18" ht="12.75" customHeight="1">
      <c r="R683" s="91"/>
    </row>
    <row r="684" spans="18:18" ht="12.75" customHeight="1">
      <c r="R684" s="91"/>
    </row>
    <row r="685" spans="18:18" ht="12.75" customHeight="1">
      <c r="R685" s="91"/>
    </row>
    <row r="686" spans="18:18" ht="12.75" customHeight="1">
      <c r="R686" s="91"/>
    </row>
    <row r="687" spans="18:18" ht="12.75" customHeight="1">
      <c r="R687" s="91"/>
    </row>
    <row r="688" spans="18:18" ht="12.75" customHeight="1">
      <c r="R688" s="91"/>
    </row>
    <row r="689" spans="18:18" ht="12.75" customHeight="1">
      <c r="R689" s="91"/>
    </row>
    <row r="690" spans="18:18" ht="12.75" customHeight="1">
      <c r="R690" s="91"/>
    </row>
    <row r="691" spans="18:18" ht="12.75" customHeight="1">
      <c r="R691" s="91"/>
    </row>
    <row r="692" spans="18:18" ht="12.75" customHeight="1">
      <c r="R692" s="91"/>
    </row>
    <row r="693" spans="18:18" ht="12.75" customHeight="1">
      <c r="R693" s="91"/>
    </row>
    <row r="694" spans="18:18" ht="12.75" customHeight="1">
      <c r="R694" s="91"/>
    </row>
    <row r="695" spans="18:18" ht="12.75" customHeight="1">
      <c r="R695" s="91"/>
    </row>
    <row r="696" spans="18:18" ht="12.75" customHeight="1">
      <c r="R696" s="91"/>
    </row>
    <row r="697" spans="18:18" ht="12.75" customHeight="1">
      <c r="R697" s="91"/>
    </row>
    <row r="698" spans="18:18" ht="12.75" customHeight="1">
      <c r="R698" s="91"/>
    </row>
    <row r="699" spans="18:18" ht="12.75" customHeight="1">
      <c r="R699" s="91"/>
    </row>
    <row r="700" spans="18:18" ht="12.75" customHeight="1">
      <c r="R700" s="91"/>
    </row>
    <row r="701" spans="18:18" ht="12.75" customHeight="1">
      <c r="R701" s="91"/>
    </row>
    <row r="702" spans="18:18" ht="12.75" customHeight="1">
      <c r="R702" s="91"/>
    </row>
    <row r="703" spans="18:18" ht="12.75" customHeight="1">
      <c r="R703" s="91"/>
    </row>
    <row r="704" spans="18:18" ht="12.75" customHeight="1">
      <c r="R704" s="91"/>
    </row>
    <row r="705" spans="18:18" ht="12.75" customHeight="1">
      <c r="R705" s="91"/>
    </row>
    <row r="706" spans="18:18" ht="12.75" customHeight="1">
      <c r="R706" s="91"/>
    </row>
    <row r="707" spans="18:18" ht="12.75" customHeight="1">
      <c r="R707" s="91"/>
    </row>
    <row r="708" spans="18:18" ht="12.75" customHeight="1">
      <c r="R708" s="91"/>
    </row>
    <row r="709" spans="18:18" ht="12.75" customHeight="1">
      <c r="R709" s="91"/>
    </row>
    <row r="710" spans="18:18" ht="12.75" customHeight="1">
      <c r="R710" s="91"/>
    </row>
    <row r="711" spans="18:18" ht="12.75" customHeight="1">
      <c r="R711" s="91"/>
    </row>
    <row r="712" spans="18:18" ht="12.75" customHeight="1">
      <c r="R712" s="91"/>
    </row>
    <row r="713" spans="18:18" ht="12.75" customHeight="1">
      <c r="R713" s="91"/>
    </row>
    <row r="714" spans="18:18" ht="12.75" customHeight="1">
      <c r="R714" s="91"/>
    </row>
    <row r="715" spans="18:18" ht="12.75" customHeight="1">
      <c r="R715" s="91"/>
    </row>
    <row r="716" spans="18:18" ht="12.75" customHeight="1">
      <c r="R716" s="91"/>
    </row>
    <row r="717" spans="18:18" ht="12.75" customHeight="1">
      <c r="R717" s="91"/>
    </row>
    <row r="718" spans="18:18" ht="12.75" customHeight="1">
      <c r="R718" s="91"/>
    </row>
    <row r="719" spans="18:18" ht="12.75" customHeight="1">
      <c r="R719" s="91"/>
    </row>
    <row r="720" spans="18:18" ht="12.75" customHeight="1">
      <c r="R720" s="91"/>
    </row>
    <row r="721" spans="18:18" ht="12.75" customHeight="1">
      <c r="R721" s="91"/>
    </row>
    <row r="722" spans="18:18" ht="12.75" customHeight="1">
      <c r="R722" s="91"/>
    </row>
    <row r="723" spans="18:18" ht="12.75" customHeight="1">
      <c r="R723" s="91"/>
    </row>
    <row r="724" spans="18:18" ht="12.75" customHeight="1">
      <c r="R724" s="91"/>
    </row>
    <row r="725" spans="18:18" ht="12.75" customHeight="1">
      <c r="R725" s="91"/>
    </row>
    <row r="726" spans="18:18" ht="12.75" customHeight="1">
      <c r="R726" s="91"/>
    </row>
    <row r="727" spans="18:18" ht="12.75" customHeight="1">
      <c r="R727" s="91"/>
    </row>
    <row r="728" spans="18:18" ht="12.75" customHeight="1">
      <c r="R728" s="91"/>
    </row>
    <row r="729" spans="18:18" ht="12.75" customHeight="1">
      <c r="R729" s="91"/>
    </row>
    <row r="730" spans="18:18" ht="12.75" customHeight="1">
      <c r="R730" s="91"/>
    </row>
    <row r="731" spans="18:18" ht="12.75" customHeight="1">
      <c r="R731" s="91"/>
    </row>
    <row r="732" spans="18:18" ht="12.75" customHeight="1">
      <c r="R732" s="91"/>
    </row>
    <row r="733" spans="18:18" ht="12.75" customHeight="1">
      <c r="R733" s="91"/>
    </row>
    <row r="734" spans="18:18" ht="12.75" customHeight="1">
      <c r="R734" s="91"/>
    </row>
    <row r="735" spans="18:18" ht="12.75" customHeight="1">
      <c r="R735" s="91"/>
    </row>
    <row r="736" spans="18:18" ht="12.75" customHeight="1">
      <c r="R736" s="91"/>
    </row>
    <row r="737" spans="18:18" ht="12.75" customHeight="1">
      <c r="R737" s="91"/>
    </row>
    <row r="738" spans="18:18" ht="12.75" customHeight="1">
      <c r="R738" s="91"/>
    </row>
    <row r="739" spans="18:18" ht="12.75" customHeight="1">
      <c r="R739" s="91"/>
    </row>
    <row r="740" spans="18:18" ht="12.75" customHeight="1">
      <c r="R740" s="91"/>
    </row>
    <row r="741" spans="18:18" ht="12.75" customHeight="1">
      <c r="R741" s="91"/>
    </row>
    <row r="742" spans="18:18" ht="12.75" customHeight="1">
      <c r="R742" s="91"/>
    </row>
    <row r="743" spans="18:18" ht="12.75" customHeight="1">
      <c r="R743" s="91"/>
    </row>
    <row r="744" spans="18:18" ht="12.75" customHeight="1">
      <c r="R744" s="91"/>
    </row>
    <row r="745" spans="18:18" ht="12.75" customHeight="1">
      <c r="R745" s="91"/>
    </row>
    <row r="746" spans="18:18" ht="12.75" customHeight="1">
      <c r="R746" s="91"/>
    </row>
    <row r="747" spans="18:18" ht="12.75" customHeight="1">
      <c r="R747" s="91"/>
    </row>
    <row r="748" spans="18:18" ht="12.75" customHeight="1">
      <c r="R748" s="91"/>
    </row>
    <row r="749" spans="18:18" ht="12.75" customHeight="1">
      <c r="R749" s="91"/>
    </row>
    <row r="750" spans="18:18" ht="12.75" customHeight="1">
      <c r="R750" s="91"/>
    </row>
    <row r="751" spans="18:18" ht="12.75" customHeight="1">
      <c r="R751" s="91"/>
    </row>
    <row r="752" spans="18:18" ht="12.75" customHeight="1">
      <c r="R752" s="91"/>
    </row>
    <row r="753" spans="18:18" ht="12.75" customHeight="1">
      <c r="R753" s="91"/>
    </row>
    <row r="754" spans="18:18" ht="12.75" customHeight="1">
      <c r="R754" s="91"/>
    </row>
    <row r="755" spans="18:18" ht="12.75" customHeight="1">
      <c r="R755" s="91"/>
    </row>
    <row r="756" spans="18:18" ht="12.75" customHeight="1">
      <c r="R756" s="91"/>
    </row>
    <row r="757" spans="18:18" ht="12.75" customHeight="1">
      <c r="R757" s="91"/>
    </row>
    <row r="758" spans="18:18" ht="12.75" customHeight="1">
      <c r="R758" s="91"/>
    </row>
    <row r="759" spans="18:18" ht="12.75" customHeight="1">
      <c r="R759" s="91"/>
    </row>
    <row r="760" spans="18:18" ht="12.75" customHeight="1">
      <c r="R760" s="91"/>
    </row>
    <row r="761" spans="18:18" ht="12.75" customHeight="1">
      <c r="R761" s="91"/>
    </row>
    <row r="762" spans="18:18" ht="12.75" customHeight="1">
      <c r="R762" s="91"/>
    </row>
    <row r="763" spans="18:18" ht="12.75" customHeight="1">
      <c r="R763" s="91"/>
    </row>
    <row r="764" spans="18:18" ht="12.75" customHeight="1">
      <c r="R764" s="91"/>
    </row>
    <row r="765" spans="18:18" ht="12.75" customHeight="1">
      <c r="R765" s="91"/>
    </row>
    <row r="766" spans="18:18" ht="12.75" customHeight="1">
      <c r="R766" s="91"/>
    </row>
    <row r="767" spans="18:18" ht="12.75" customHeight="1">
      <c r="R767" s="91"/>
    </row>
    <row r="768" spans="18:18" ht="12.75" customHeight="1">
      <c r="R768" s="91"/>
    </row>
    <row r="769" spans="18:18" ht="12.75" customHeight="1">
      <c r="R769" s="91"/>
    </row>
    <row r="770" spans="18:18" ht="12.75" customHeight="1">
      <c r="R770" s="91"/>
    </row>
    <row r="771" spans="18:18" ht="12.75" customHeight="1">
      <c r="R771" s="91"/>
    </row>
    <row r="772" spans="18:18" ht="12.75" customHeight="1">
      <c r="R772" s="91"/>
    </row>
    <row r="773" spans="18:18" ht="12.75" customHeight="1">
      <c r="R773" s="91"/>
    </row>
    <row r="774" spans="18:18" ht="12.75" customHeight="1">
      <c r="R774" s="91"/>
    </row>
    <row r="775" spans="18:18" ht="12.75" customHeight="1">
      <c r="R775" s="91"/>
    </row>
    <row r="776" spans="18:18" ht="12.75" customHeight="1">
      <c r="R776" s="91"/>
    </row>
    <row r="777" spans="18:18" ht="12.75" customHeight="1">
      <c r="R777" s="91"/>
    </row>
    <row r="778" spans="18:18" ht="12.75" customHeight="1">
      <c r="R778" s="91"/>
    </row>
    <row r="779" spans="18:18" ht="12.75" customHeight="1">
      <c r="R779" s="91"/>
    </row>
    <row r="780" spans="18:18" ht="12.75" customHeight="1">
      <c r="R780" s="91"/>
    </row>
    <row r="781" spans="18:18" ht="12.75" customHeight="1">
      <c r="R781" s="91"/>
    </row>
    <row r="782" spans="18:18" ht="12.75" customHeight="1">
      <c r="R782" s="91"/>
    </row>
    <row r="783" spans="18:18" ht="12.75" customHeight="1">
      <c r="R783" s="91"/>
    </row>
    <row r="784" spans="18:18" ht="12.75" customHeight="1">
      <c r="R784" s="91"/>
    </row>
    <row r="785" spans="18:18" ht="12.75" customHeight="1">
      <c r="R785" s="91"/>
    </row>
    <row r="786" spans="18:18" ht="12.75" customHeight="1">
      <c r="R786" s="91"/>
    </row>
    <row r="787" spans="18:18" ht="12.75" customHeight="1">
      <c r="R787" s="91"/>
    </row>
    <row r="788" spans="18:18" ht="12.75" customHeight="1">
      <c r="R788" s="91"/>
    </row>
    <row r="789" spans="18:18" ht="12.75" customHeight="1">
      <c r="R789" s="91"/>
    </row>
    <row r="790" spans="18:18" ht="12.75" customHeight="1">
      <c r="R790" s="91"/>
    </row>
    <row r="791" spans="18:18" ht="12.75" customHeight="1">
      <c r="R791" s="91"/>
    </row>
    <row r="792" spans="18:18" ht="12.75" customHeight="1">
      <c r="R792" s="91"/>
    </row>
    <row r="793" spans="18:18" ht="12.75" customHeight="1">
      <c r="R793" s="91"/>
    </row>
    <row r="794" spans="18:18" ht="12.75" customHeight="1">
      <c r="R794" s="91"/>
    </row>
    <row r="795" spans="18:18" ht="12.75" customHeight="1">
      <c r="R795" s="91"/>
    </row>
    <row r="796" spans="18:18" ht="12.75" customHeight="1">
      <c r="R796" s="91"/>
    </row>
    <row r="797" spans="18:18" ht="12.75" customHeight="1">
      <c r="R797" s="91"/>
    </row>
    <row r="798" spans="18:18" ht="12.75" customHeight="1">
      <c r="R798" s="91"/>
    </row>
    <row r="799" spans="18:18" ht="12.75" customHeight="1">
      <c r="R799" s="91"/>
    </row>
    <row r="800" spans="18:18" ht="12.75" customHeight="1">
      <c r="R800" s="91"/>
    </row>
    <row r="801" spans="18:18" ht="12.75" customHeight="1">
      <c r="R801" s="91"/>
    </row>
    <row r="802" spans="18:18" ht="12.75" customHeight="1">
      <c r="R802" s="91"/>
    </row>
    <row r="803" spans="18:18" ht="12.75" customHeight="1">
      <c r="R803" s="91"/>
    </row>
    <row r="804" spans="18:18" ht="12.75" customHeight="1">
      <c r="R804" s="91"/>
    </row>
    <row r="805" spans="18:18" ht="12.75" customHeight="1">
      <c r="R805" s="91"/>
    </row>
    <row r="806" spans="18:18" ht="12.75" customHeight="1">
      <c r="R806" s="91"/>
    </row>
    <row r="807" spans="18:18" ht="12.75" customHeight="1">
      <c r="R807" s="91"/>
    </row>
    <row r="808" spans="18:18" ht="12.75" customHeight="1">
      <c r="R808" s="91"/>
    </row>
    <row r="809" spans="18:18" ht="12.75" customHeight="1">
      <c r="R809" s="91"/>
    </row>
    <row r="810" spans="18:18" ht="12.75" customHeight="1">
      <c r="R810" s="91"/>
    </row>
    <row r="811" spans="18:18" ht="12.75" customHeight="1">
      <c r="R811" s="91"/>
    </row>
    <row r="812" spans="18:18" ht="12.75" customHeight="1">
      <c r="R812" s="91"/>
    </row>
    <row r="813" spans="18:18" ht="12.75" customHeight="1">
      <c r="R813" s="91"/>
    </row>
    <row r="814" spans="18:18" ht="12.75" customHeight="1">
      <c r="R814" s="91"/>
    </row>
    <row r="815" spans="18:18" ht="12.75" customHeight="1">
      <c r="R815" s="91"/>
    </row>
    <row r="816" spans="18:18" ht="12.75" customHeight="1">
      <c r="R816" s="91"/>
    </row>
    <row r="817" spans="18:18" ht="12.75" customHeight="1">
      <c r="R817" s="91"/>
    </row>
    <row r="818" spans="18:18" ht="12.75" customHeight="1">
      <c r="R818" s="91"/>
    </row>
    <row r="819" spans="18:18" ht="12.75" customHeight="1">
      <c r="R819" s="91"/>
    </row>
    <row r="820" spans="18:18" ht="12.75" customHeight="1">
      <c r="R820" s="91"/>
    </row>
    <row r="821" spans="18:18" ht="12.75" customHeight="1">
      <c r="R821" s="91"/>
    </row>
    <row r="822" spans="18:18" ht="12.75" customHeight="1">
      <c r="R822" s="91"/>
    </row>
    <row r="823" spans="18:18" ht="12.75" customHeight="1">
      <c r="R823" s="91"/>
    </row>
    <row r="824" spans="18:18" ht="12.75" customHeight="1">
      <c r="R824" s="91"/>
    </row>
    <row r="825" spans="18:18" ht="12.75" customHeight="1">
      <c r="R825" s="91"/>
    </row>
    <row r="826" spans="18:18" ht="12.75" customHeight="1">
      <c r="R826" s="91"/>
    </row>
    <row r="827" spans="18:18" ht="12.75" customHeight="1">
      <c r="R827" s="91"/>
    </row>
    <row r="828" spans="18:18" ht="12.75" customHeight="1">
      <c r="R828" s="91"/>
    </row>
    <row r="829" spans="18:18" ht="12.75" customHeight="1">
      <c r="R829" s="91"/>
    </row>
    <row r="830" spans="18:18" ht="12.75" customHeight="1">
      <c r="R830" s="91"/>
    </row>
    <row r="831" spans="18:18" ht="12.75" customHeight="1">
      <c r="R831" s="91"/>
    </row>
    <row r="832" spans="18:18" ht="12.75" customHeight="1">
      <c r="R832" s="91"/>
    </row>
    <row r="833" spans="18:18" ht="12.75" customHeight="1">
      <c r="R833" s="91"/>
    </row>
    <row r="834" spans="18:18" ht="12.75" customHeight="1">
      <c r="R834" s="91"/>
    </row>
    <row r="835" spans="18:18" ht="12.75" customHeight="1">
      <c r="R835" s="91"/>
    </row>
    <row r="836" spans="18:18" ht="12.75" customHeight="1">
      <c r="R836" s="91"/>
    </row>
    <row r="837" spans="18:18" ht="12.75" customHeight="1">
      <c r="R837" s="91"/>
    </row>
    <row r="838" spans="18:18" ht="12.75" customHeight="1">
      <c r="R838" s="91"/>
    </row>
    <row r="839" spans="18:18" ht="12.75" customHeight="1">
      <c r="R839" s="91"/>
    </row>
    <row r="840" spans="18:18" ht="12.75" customHeight="1">
      <c r="R840" s="91"/>
    </row>
    <row r="841" spans="18:18" ht="12.75" customHeight="1">
      <c r="R841" s="91"/>
    </row>
    <row r="842" spans="18:18" ht="12.75" customHeight="1">
      <c r="R842" s="91"/>
    </row>
    <row r="843" spans="18:18" ht="12.75" customHeight="1">
      <c r="R843" s="91"/>
    </row>
    <row r="844" spans="18:18" ht="12.75" customHeight="1">
      <c r="R844" s="91"/>
    </row>
    <row r="845" spans="18:18" ht="12.75" customHeight="1">
      <c r="R845" s="91"/>
    </row>
    <row r="846" spans="18:18" ht="12.75" customHeight="1">
      <c r="R846" s="91"/>
    </row>
    <row r="847" spans="18:18" ht="12.75" customHeight="1">
      <c r="R847" s="91"/>
    </row>
    <row r="848" spans="18:18" ht="12.75" customHeight="1">
      <c r="R848" s="91"/>
    </row>
    <row r="849" spans="18:18" ht="12.75" customHeight="1">
      <c r="R849" s="91"/>
    </row>
    <row r="850" spans="18:18" ht="12.75" customHeight="1">
      <c r="R850" s="91"/>
    </row>
    <row r="851" spans="18:18" ht="12.75" customHeight="1">
      <c r="R851" s="91"/>
    </row>
    <row r="852" spans="18:18" ht="12.75" customHeight="1">
      <c r="R852" s="91"/>
    </row>
    <row r="853" spans="18:18" ht="12.75" customHeight="1">
      <c r="R853" s="91"/>
    </row>
    <row r="854" spans="18:18" ht="12.75" customHeight="1">
      <c r="R854" s="91"/>
    </row>
    <row r="855" spans="18:18" ht="12.75" customHeight="1">
      <c r="R855" s="91"/>
    </row>
    <row r="856" spans="18:18" ht="12.75" customHeight="1">
      <c r="R856" s="91"/>
    </row>
    <row r="857" spans="18:18" ht="12.75" customHeight="1">
      <c r="R857" s="91"/>
    </row>
    <row r="858" spans="18:18" ht="12.75" customHeight="1">
      <c r="R858" s="91"/>
    </row>
    <row r="859" spans="18:18" ht="12.75" customHeight="1">
      <c r="R859" s="91"/>
    </row>
    <row r="860" spans="18:18" ht="12.75" customHeight="1">
      <c r="R860" s="91"/>
    </row>
    <row r="861" spans="18:18" ht="12.75" customHeight="1">
      <c r="R861" s="91"/>
    </row>
    <row r="862" spans="18:18" ht="12.75" customHeight="1">
      <c r="R862" s="91"/>
    </row>
    <row r="863" spans="18:18" ht="12.75" customHeight="1">
      <c r="R863" s="91"/>
    </row>
    <row r="864" spans="18:18" ht="12.75" customHeight="1">
      <c r="R864" s="91"/>
    </row>
    <row r="865" spans="18:18" ht="12.75" customHeight="1">
      <c r="R865" s="91"/>
    </row>
    <row r="866" spans="18:18" ht="12.75" customHeight="1">
      <c r="R866" s="91"/>
    </row>
    <row r="867" spans="18:18" ht="12.75" customHeight="1">
      <c r="R867" s="91"/>
    </row>
    <row r="868" spans="18:18" ht="12.75" customHeight="1">
      <c r="R868" s="91"/>
    </row>
    <row r="869" spans="18:18" ht="12.75" customHeight="1">
      <c r="R869" s="91"/>
    </row>
    <row r="870" spans="18:18" ht="12.75" customHeight="1">
      <c r="R870" s="91"/>
    </row>
    <row r="871" spans="18:18" ht="12.75" customHeight="1">
      <c r="R871" s="91"/>
    </row>
    <row r="872" spans="18:18" ht="12.75" customHeight="1">
      <c r="R872" s="91"/>
    </row>
    <row r="873" spans="18:18" ht="12.75" customHeight="1">
      <c r="R873" s="91"/>
    </row>
    <row r="874" spans="18:18" ht="12.75" customHeight="1">
      <c r="R874" s="91"/>
    </row>
    <row r="875" spans="18:18" ht="12.75" customHeight="1">
      <c r="R875" s="91"/>
    </row>
    <row r="876" spans="18:18" ht="12.75" customHeight="1">
      <c r="R876" s="91"/>
    </row>
    <row r="877" spans="18:18" ht="12.75" customHeight="1">
      <c r="R877" s="91"/>
    </row>
    <row r="878" spans="18:18" ht="12.75" customHeight="1">
      <c r="R878" s="91"/>
    </row>
    <row r="879" spans="18:18" ht="12.75" customHeight="1">
      <c r="R879" s="91"/>
    </row>
    <row r="880" spans="18:18" ht="12.75" customHeight="1">
      <c r="R880" s="91"/>
    </row>
    <row r="881" spans="18:18" ht="12.75" customHeight="1">
      <c r="R881" s="91"/>
    </row>
    <row r="882" spans="18:18" ht="12.75" customHeight="1">
      <c r="R882" s="91"/>
    </row>
    <row r="883" spans="18:18" ht="12.75" customHeight="1">
      <c r="R883" s="91"/>
    </row>
    <row r="884" spans="18:18" ht="12.75" customHeight="1">
      <c r="R884" s="91"/>
    </row>
    <row r="885" spans="18:18" ht="12.75" customHeight="1">
      <c r="R885" s="91"/>
    </row>
    <row r="886" spans="18:18" ht="12.75" customHeight="1">
      <c r="R886" s="91"/>
    </row>
    <row r="887" spans="18:18" ht="12.75" customHeight="1">
      <c r="R887" s="91"/>
    </row>
    <row r="888" spans="18:18" ht="12.75" customHeight="1">
      <c r="R888" s="91"/>
    </row>
    <row r="889" spans="18:18" ht="12.75" customHeight="1">
      <c r="R889" s="91"/>
    </row>
    <row r="890" spans="18:18" ht="12.75" customHeight="1">
      <c r="R890" s="91"/>
    </row>
    <row r="891" spans="18:18" ht="12.75" customHeight="1">
      <c r="R891" s="91"/>
    </row>
    <row r="892" spans="18:18" ht="12.75" customHeight="1">
      <c r="R892" s="91"/>
    </row>
    <row r="893" spans="18:18" ht="12.75" customHeight="1">
      <c r="R893" s="91"/>
    </row>
    <row r="894" spans="18:18" ht="12.75" customHeight="1">
      <c r="R894" s="91"/>
    </row>
    <row r="895" spans="18:18" ht="12.75" customHeight="1">
      <c r="R895" s="91"/>
    </row>
    <row r="896" spans="18:18" ht="12.75" customHeight="1">
      <c r="R896" s="91"/>
    </row>
    <row r="897" spans="18:18" ht="12.75" customHeight="1">
      <c r="R897" s="91"/>
    </row>
    <row r="898" spans="18:18" ht="12.75" customHeight="1">
      <c r="R898" s="91"/>
    </row>
    <row r="899" spans="18:18" ht="12.75" customHeight="1">
      <c r="R899" s="91"/>
    </row>
    <row r="900" spans="18:18" ht="12.75" customHeight="1">
      <c r="R900" s="91"/>
    </row>
    <row r="901" spans="18:18" ht="12.75" customHeight="1">
      <c r="R901" s="91"/>
    </row>
    <row r="902" spans="18:18" ht="12.75" customHeight="1">
      <c r="R902" s="91"/>
    </row>
    <row r="903" spans="18:18" ht="12.75" customHeight="1">
      <c r="R903" s="91"/>
    </row>
    <row r="904" spans="18:18" ht="12.75" customHeight="1">
      <c r="R904" s="91"/>
    </row>
    <row r="905" spans="18:18" ht="12.75" customHeight="1">
      <c r="R905" s="91"/>
    </row>
    <row r="906" spans="18:18" ht="12.75" customHeight="1">
      <c r="R906" s="91"/>
    </row>
    <row r="907" spans="18:18" ht="12.75" customHeight="1">
      <c r="R907" s="91"/>
    </row>
    <row r="908" spans="18:18" ht="12.75" customHeight="1">
      <c r="R908" s="91"/>
    </row>
    <row r="909" spans="18:18" ht="12.75" customHeight="1">
      <c r="R909" s="91"/>
    </row>
    <row r="910" spans="18:18" ht="12.75" customHeight="1">
      <c r="R910" s="91"/>
    </row>
    <row r="911" spans="18:18" ht="12.75" customHeight="1">
      <c r="R911" s="91"/>
    </row>
    <row r="912" spans="18:18" ht="12.75" customHeight="1">
      <c r="R912" s="91"/>
    </row>
    <row r="913" spans="18:18" ht="12.75" customHeight="1">
      <c r="R913" s="91"/>
    </row>
    <row r="914" spans="18:18" ht="12.75" customHeight="1">
      <c r="R914" s="91"/>
    </row>
    <row r="915" spans="18:18" ht="12.75" customHeight="1">
      <c r="R915" s="91"/>
    </row>
    <row r="916" spans="18:18" ht="12.75" customHeight="1">
      <c r="R916" s="91"/>
    </row>
    <row r="917" spans="18:18" ht="12.75" customHeight="1">
      <c r="R917" s="91"/>
    </row>
    <row r="918" spans="18:18" ht="12.75" customHeight="1">
      <c r="R918" s="91"/>
    </row>
    <row r="919" spans="18:18" ht="12.75" customHeight="1">
      <c r="R919" s="91"/>
    </row>
    <row r="920" spans="18:18" ht="12.75" customHeight="1">
      <c r="R920" s="91"/>
    </row>
    <row r="921" spans="18:18" ht="12.75" customHeight="1">
      <c r="R921" s="91"/>
    </row>
    <row r="922" spans="18:18" ht="12.75" customHeight="1">
      <c r="R922" s="91"/>
    </row>
    <row r="923" spans="18:18" ht="12.75" customHeight="1">
      <c r="R923" s="91"/>
    </row>
    <row r="924" spans="18:18" ht="12.75" customHeight="1">
      <c r="R924" s="91"/>
    </row>
    <row r="925" spans="18:18" ht="12.75" customHeight="1">
      <c r="R925" s="91"/>
    </row>
    <row r="926" spans="18:18" ht="12.75" customHeight="1">
      <c r="R926" s="91"/>
    </row>
    <row r="927" spans="18:18" ht="12.75" customHeight="1">
      <c r="R927" s="91"/>
    </row>
    <row r="928" spans="18:18" ht="12.75" customHeight="1">
      <c r="R928" s="91"/>
    </row>
    <row r="929" spans="18:18" ht="12.75" customHeight="1">
      <c r="R929" s="91"/>
    </row>
    <row r="930" spans="18:18" ht="12.75" customHeight="1">
      <c r="R930" s="91"/>
    </row>
    <row r="931" spans="18:18" ht="12.75" customHeight="1">
      <c r="R931" s="91"/>
    </row>
    <row r="932" spans="18:18" ht="12.75" customHeight="1">
      <c r="R932" s="91"/>
    </row>
    <row r="933" spans="18:18" ht="12.75" customHeight="1">
      <c r="R933" s="91"/>
    </row>
    <row r="934" spans="18:18" ht="12.75" customHeight="1">
      <c r="R934" s="91"/>
    </row>
    <row r="935" spans="18:18" ht="12.75" customHeight="1">
      <c r="R935" s="91"/>
    </row>
    <row r="936" spans="18:18" ht="12.75" customHeight="1">
      <c r="R936" s="91"/>
    </row>
    <row r="937" spans="18:18" ht="12.75" customHeight="1">
      <c r="R937" s="91"/>
    </row>
    <row r="938" spans="18:18" ht="12.75" customHeight="1">
      <c r="R938" s="91"/>
    </row>
    <row r="939" spans="18:18" ht="12.75" customHeight="1">
      <c r="R939" s="91"/>
    </row>
    <row r="940" spans="18:18" ht="12.75" customHeight="1">
      <c r="R940" s="91"/>
    </row>
    <row r="941" spans="18:18" ht="12.75" customHeight="1">
      <c r="R941" s="91"/>
    </row>
    <row r="942" spans="18:18" ht="12.75" customHeight="1">
      <c r="R942" s="91"/>
    </row>
    <row r="943" spans="18:18" ht="12.75" customHeight="1">
      <c r="R943" s="91"/>
    </row>
    <row r="944" spans="18:18" ht="12.75" customHeight="1">
      <c r="R944" s="91"/>
    </row>
    <row r="945" spans="18:18" ht="12.75" customHeight="1">
      <c r="R945" s="91"/>
    </row>
    <row r="946" spans="18:18" ht="12.75" customHeight="1">
      <c r="R946" s="91"/>
    </row>
    <row r="947" spans="18:18" ht="12.75" customHeight="1">
      <c r="R947" s="91"/>
    </row>
    <row r="948" spans="18:18" ht="12.75" customHeight="1">
      <c r="R948" s="91"/>
    </row>
    <row r="949" spans="18:18" ht="12.75" customHeight="1">
      <c r="R949" s="91"/>
    </row>
    <row r="950" spans="18:18" ht="12.75" customHeight="1">
      <c r="R950" s="91"/>
    </row>
    <row r="951" spans="18:18" ht="12.75" customHeight="1">
      <c r="R951" s="91"/>
    </row>
    <row r="952" spans="18:18" ht="12.75" customHeight="1">
      <c r="R952" s="91"/>
    </row>
    <row r="953" spans="18:18" ht="12.75" customHeight="1">
      <c r="R953" s="91"/>
    </row>
    <row r="954" spans="18:18" ht="12.75" customHeight="1">
      <c r="R954" s="91"/>
    </row>
    <row r="955" spans="18:18" ht="12.75" customHeight="1">
      <c r="R955" s="91"/>
    </row>
    <row r="956" spans="18:18" ht="12.75" customHeight="1">
      <c r="R956" s="91"/>
    </row>
    <row r="957" spans="18:18" ht="12.75" customHeight="1">
      <c r="R957" s="91"/>
    </row>
    <row r="958" spans="18:18" ht="12.75" customHeight="1">
      <c r="R958" s="91"/>
    </row>
    <row r="959" spans="18:18" ht="12.75" customHeight="1">
      <c r="R959" s="91"/>
    </row>
    <row r="960" spans="18:18" ht="12.75" customHeight="1">
      <c r="R960" s="91"/>
    </row>
    <row r="961" spans="18:18" ht="12.75" customHeight="1">
      <c r="R961" s="91"/>
    </row>
    <row r="962" spans="18:18" ht="12.75" customHeight="1">
      <c r="R962" s="91"/>
    </row>
    <row r="963" spans="18:18" ht="12.75" customHeight="1">
      <c r="R963" s="91"/>
    </row>
    <row r="964" spans="18:18" ht="12.75" customHeight="1">
      <c r="R964" s="91"/>
    </row>
    <row r="965" spans="18:18" ht="12.75" customHeight="1">
      <c r="R965" s="91"/>
    </row>
    <row r="966" spans="18:18" ht="12.75" customHeight="1">
      <c r="R966" s="91"/>
    </row>
    <row r="967" spans="18:18" ht="12.75" customHeight="1">
      <c r="R967" s="91"/>
    </row>
    <row r="968" spans="18:18" ht="12.75" customHeight="1">
      <c r="R968" s="91"/>
    </row>
    <row r="969" spans="18:18" ht="12.75" customHeight="1">
      <c r="R969" s="91"/>
    </row>
    <row r="970" spans="18:18" ht="12.75" customHeight="1">
      <c r="R970" s="91"/>
    </row>
    <row r="971" spans="18:18" ht="12.75" customHeight="1">
      <c r="R971" s="91"/>
    </row>
    <row r="972" spans="18:18" ht="12.75" customHeight="1">
      <c r="R972" s="91"/>
    </row>
    <row r="973" spans="18:18" ht="12.75" customHeight="1">
      <c r="R973" s="91"/>
    </row>
    <row r="974" spans="18:18" ht="12.75" customHeight="1">
      <c r="R974" s="91"/>
    </row>
    <row r="975" spans="18:18" ht="12.75" customHeight="1">
      <c r="R975" s="91"/>
    </row>
    <row r="976" spans="18:18" ht="12.75" customHeight="1">
      <c r="R976" s="91"/>
    </row>
    <row r="977" spans="18:18" ht="12.75" customHeight="1">
      <c r="R977" s="91"/>
    </row>
    <row r="978" spans="18:18" ht="12.75" customHeight="1">
      <c r="R978" s="91"/>
    </row>
    <row r="979" spans="18:18" ht="12.75" customHeight="1">
      <c r="R979" s="91"/>
    </row>
    <row r="980" spans="18:18" ht="12.75" customHeight="1">
      <c r="R980" s="91"/>
    </row>
    <row r="981" spans="18:18" ht="12.75" customHeight="1">
      <c r="R981" s="91"/>
    </row>
    <row r="982" spans="18:18" ht="12.75" customHeight="1">
      <c r="R982" s="91"/>
    </row>
    <row r="983" spans="18:18" ht="12.75" customHeight="1">
      <c r="R983" s="91"/>
    </row>
    <row r="984" spans="18:18" ht="12.75" customHeight="1">
      <c r="R984" s="91"/>
    </row>
    <row r="985" spans="18:18" ht="12.75" customHeight="1">
      <c r="R985" s="91"/>
    </row>
    <row r="986" spans="18:18" ht="12.75" customHeight="1">
      <c r="R986" s="91"/>
    </row>
    <row r="987" spans="18:18" ht="12.75" customHeight="1">
      <c r="R987" s="91"/>
    </row>
    <row r="988" spans="18:18" ht="12.75" customHeight="1">
      <c r="R988" s="91"/>
    </row>
    <row r="989" spans="18:18" ht="12.75" customHeight="1">
      <c r="R989" s="91"/>
    </row>
    <row r="990" spans="18:18" ht="12.75" customHeight="1">
      <c r="R990" s="91"/>
    </row>
    <row r="991" spans="18:18" ht="12.75" customHeight="1">
      <c r="R991" s="91"/>
    </row>
    <row r="992" spans="18:18" ht="12.75" customHeight="1">
      <c r="R992" s="91"/>
    </row>
    <row r="993" spans="18:18" ht="12.75" customHeight="1">
      <c r="R993" s="91"/>
    </row>
    <row r="994" spans="18:18" ht="12.75" customHeight="1">
      <c r="R994" s="91"/>
    </row>
    <row r="995" spans="18:18" ht="12.75" customHeight="1">
      <c r="R995" s="91"/>
    </row>
    <row r="996" spans="18:18" ht="12.75" customHeight="1">
      <c r="R996" s="91"/>
    </row>
    <row r="997" spans="18:18" ht="12.75" customHeight="1">
      <c r="R997" s="91"/>
    </row>
    <row r="998" spans="18:18" ht="12.75" customHeight="1">
      <c r="R998" s="91"/>
    </row>
    <row r="999" spans="18:18" ht="12.75" customHeight="1">
      <c r="R999" s="91"/>
    </row>
    <row r="1000" spans="18:18" ht="12.75" customHeight="1">
      <c r="R1000" s="91"/>
    </row>
    <row r="1001" spans="18:18" ht="12.75" customHeight="1">
      <c r="R1001" s="91"/>
    </row>
    <row r="1002" spans="18:18" ht="12.75" customHeight="1">
      <c r="R1002" s="91"/>
    </row>
    <row r="1003" spans="18:18" ht="12.75" customHeight="1">
      <c r="R1003" s="91"/>
    </row>
    <row r="1004" spans="18:18" ht="12.75" customHeight="1">
      <c r="R1004" s="91"/>
    </row>
    <row r="1005" spans="18:18" ht="12.75" customHeight="1">
      <c r="R1005" s="91"/>
    </row>
    <row r="1006" spans="18:18" ht="12.75" customHeight="1">
      <c r="R1006" s="91"/>
    </row>
    <row r="1007" spans="18:18" ht="12.75" customHeight="1">
      <c r="R1007" s="91"/>
    </row>
    <row r="1008" spans="18:18" ht="12.75" customHeight="1">
      <c r="R1008" s="91"/>
    </row>
    <row r="1009" spans="18:18" ht="12.75" customHeight="1">
      <c r="R1009" s="91"/>
    </row>
  </sheetData>
  <sheetProtection formatCells="0" formatColumns="0" formatRows="0" insertColumns="0" insertRows="0" deleteColumns="0" deleteRows="0"/>
  <phoneticPr fontId="2" type="noConversion"/>
  <conditionalFormatting sqref="BL77">
    <cfRule type="cellIs" dxfId="70" priority="13" operator="equal">
      <formula>"F"</formula>
    </cfRule>
    <cfRule type="cellIs" dxfId="69" priority="14" operator="equal">
      <formula>"R"</formula>
    </cfRule>
    <cfRule type="cellIs" dxfId="68" priority="15" operator="equal">
      <formula>"D"</formula>
    </cfRule>
    <cfRule type="cellIs" dxfId="67" priority="16" operator="equal">
      <formula>"Y"</formula>
    </cfRule>
    <cfRule type="cellIs" dxfId="66" priority="17" operator="equal">
      <formula>"N"</formula>
    </cfRule>
    <cfRule type="containsBlanks" dxfId="65" priority="18">
      <formula>LEN(TRIM(BL77))=0</formula>
    </cfRule>
  </conditionalFormatting>
  <conditionalFormatting sqref="BL103">
    <cfRule type="cellIs" dxfId="64" priority="7" operator="equal">
      <formula>"F"</formula>
    </cfRule>
    <cfRule type="cellIs" dxfId="63" priority="8" operator="equal">
      <formula>"R"</formula>
    </cfRule>
    <cfRule type="cellIs" dxfId="62" priority="9" operator="equal">
      <formula>"D"</formula>
    </cfRule>
    <cfRule type="cellIs" dxfId="61" priority="10" operator="equal">
      <formula>"Y"</formula>
    </cfRule>
    <cfRule type="cellIs" dxfId="60" priority="11" operator="equal">
      <formula>"N"</formula>
    </cfRule>
    <cfRule type="containsBlanks" dxfId="59" priority="12">
      <formula>LEN(TRIM(BL103))=0</formula>
    </cfRule>
  </conditionalFormatting>
  <conditionalFormatting sqref="BL168">
    <cfRule type="cellIs" dxfId="58" priority="1" operator="equal">
      <formula>"F"</formula>
    </cfRule>
    <cfRule type="cellIs" dxfId="57" priority="2" operator="equal">
      <formula>"R"</formula>
    </cfRule>
    <cfRule type="cellIs" dxfId="56" priority="3" operator="equal">
      <formula>"D"</formula>
    </cfRule>
    <cfRule type="cellIs" dxfId="55" priority="4" operator="equal">
      <formula>"Y"</formula>
    </cfRule>
    <cfRule type="cellIs" dxfId="54" priority="5" operator="equal">
      <formula>"N"</formula>
    </cfRule>
    <cfRule type="containsBlanks" dxfId="53" priority="6">
      <formula>LEN(TRIM(BL168))=0</formula>
    </cfRule>
  </conditionalFormatting>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9F810-EA2A-4E21-A5DA-16424A883A4F}">
  <dimension ref="A1:BN52"/>
  <sheetViews>
    <sheetView workbookViewId="0"/>
  </sheetViews>
  <sheetFormatPr defaultRowHeight="12.75"/>
  <cols>
    <col min="2" max="2" width="11" bestFit="1" customWidth="1"/>
    <col min="3" max="3" width="9.5703125" bestFit="1" customWidth="1"/>
    <col min="7" max="7" width="14.28515625" customWidth="1"/>
    <col min="8" max="8" width="14.42578125" customWidth="1"/>
    <col min="11" max="11" width="17.85546875" customWidth="1"/>
    <col min="21" max="21" width="14.28515625" customWidth="1"/>
  </cols>
  <sheetData>
    <row r="1" spans="1:66" s="246" customFormat="1" ht="18">
      <c r="A1" s="246" t="s">
        <v>148</v>
      </c>
      <c r="B1" s="247" t="s">
        <v>1016</v>
      </c>
      <c r="C1" s="248">
        <f>AVERAGE(BK12:BK52)</f>
        <v>3.2444444444444443E-3</v>
      </c>
      <c r="P1" s="249"/>
      <c r="BN1" s="250"/>
    </row>
    <row r="2" spans="1:66" s="246" customFormat="1" ht="18">
      <c r="B2" s="247" t="s">
        <v>1017</v>
      </c>
      <c r="C2" s="248">
        <f>AVERAGE(BL12:BL52)</f>
        <v>1.7615151515151514E-2</v>
      </c>
      <c r="P2" s="249"/>
      <c r="BN2" s="250"/>
    </row>
    <row r="3" spans="1:66" ht="18">
      <c r="B3" s="247" t="s">
        <v>1018</v>
      </c>
      <c r="C3" s="249">
        <f>COUNT(BK12:BK52)</f>
        <v>9</v>
      </c>
      <c r="P3" s="251"/>
      <c r="BN3" s="1"/>
    </row>
    <row r="5" spans="1:66" ht="18">
      <c r="A5" s="182"/>
      <c r="B5" s="58"/>
      <c r="C5" s="58"/>
      <c r="D5" s="58"/>
      <c r="E5" s="58"/>
      <c r="F5" s="58"/>
      <c r="G5" s="58"/>
      <c r="H5" s="58"/>
      <c r="I5" s="58"/>
      <c r="J5" s="58"/>
      <c r="K5" s="58"/>
      <c r="L5" s="58"/>
      <c r="M5" s="58"/>
      <c r="N5" s="58"/>
      <c r="O5" s="58"/>
      <c r="P5" s="58"/>
      <c r="Q5" s="58"/>
      <c r="R5" s="58"/>
      <c r="S5" s="58"/>
      <c r="T5" s="58"/>
      <c r="U5" s="58"/>
      <c r="V5" s="183" t="s">
        <v>29</v>
      </c>
      <c r="W5" s="184"/>
      <c r="X5" s="184"/>
      <c r="Y5" s="184"/>
      <c r="Z5" s="184"/>
      <c r="AA5" s="184"/>
      <c r="AB5" s="184"/>
      <c r="AC5" s="184"/>
      <c r="AD5" s="184"/>
      <c r="AE5" s="184"/>
      <c r="AF5" s="184"/>
      <c r="AG5" s="184"/>
      <c r="AH5" s="185" t="s">
        <v>30</v>
      </c>
      <c r="AI5" s="184"/>
      <c r="AJ5" s="184"/>
      <c r="AK5" s="184"/>
      <c r="AL5" s="184"/>
      <c r="AM5" s="184"/>
      <c r="AN5" s="184"/>
      <c r="AO5" s="186" t="s">
        <v>31</v>
      </c>
      <c r="AP5" s="184"/>
      <c r="AQ5" s="184"/>
      <c r="AR5" s="184"/>
      <c r="AS5" s="184"/>
      <c r="AT5" s="184"/>
      <c r="AU5" s="187" t="s">
        <v>32</v>
      </c>
      <c r="AV5" s="188" t="s">
        <v>34</v>
      </c>
      <c r="AW5" s="189"/>
      <c r="AX5" s="189"/>
      <c r="AY5" s="189"/>
      <c r="AZ5" s="189"/>
      <c r="BA5" s="189"/>
      <c r="BB5" s="189"/>
      <c r="BC5" s="189"/>
      <c r="BD5" s="190" t="s">
        <v>33</v>
      </c>
      <c r="BE5" s="189"/>
      <c r="BF5" s="189"/>
      <c r="BG5" s="189"/>
      <c r="BH5" s="189"/>
      <c r="BI5" s="189"/>
      <c r="BJ5" s="189"/>
      <c r="BK5" s="191" t="s">
        <v>148</v>
      </c>
      <c r="BL5" s="191" t="s">
        <v>148</v>
      </c>
    </row>
    <row r="6" spans="1:66" ht="18">
      <c r="A6" s="75"/>
      <c r="B6" s="75"/>
      <c r="C6" s="75"/>
      <c r="D6" s="75"/>
      <c r="E6" s="75"/>
      <c r="F6" s="75"/>
      <c r="G6" s="75"/>
      <c r="H6" s="75"/>
      <c r="I6" s="75"/>
      <c r="J6" s="75"/>
      <c r="K6" s="75"/>
      <c r="L6" s="75"/>
      <c r="M6" s="75"/>
      <c r="N6" s="75"/>
      <c r="O6" s="75"/>
      <c r="P6" s="75"/>
      <c r="Q6" s="75"/>
      <c r="R6" s="75"/>
      <c r="S6" s="75"/>
      <c r="T6" s="75"/>
      <c r="U6" s="75"/>
      <c r="V6" s="192" t="s">
        <v>205</v>
      </c>
      <c r="W6" s="192" t="s">
        <v>205</v>
      </c>
      <c r="X6" s="192" t="s">
        <v>205</v>
      </c>
      <c r="Y6" s="192" t="s">
        <v>205</v>
      </c>
      <c r="Z6" s="192" t="s">
        <v>205</v>
      </c>
      <c r="AA6" s="192" t="s">
        <v>205</v>
      </c>
      <c r="AB6" s="192" t="s">
        <v>205</v>
      </c>
      <c r="AC6" s="192" t="s">
        <v>205</v>
      </c>
      <c r="AD6" s="192" t="s">
        <v>205</v>
      </c>
      <c r="AE6" s="192" t="s">
        <v>205</v>
      </c>
      <c r="AF6" s="192" t="s">
        <v>205</v>
      </c>
      <c r="AG6" s="192" t="s">
        <v>205</v>
      </c>
      <c r="AH6" s="193" t="s">
        <v>205</v>
      </c>
      <c r="AI6" s="193" t="s">
        <v>205</v>
      </c>
      <c r="AJ6" s="193" t="s">
        <v>205</v>
      </c>
      <c r="AK6" s="193" t="s">
        <v>205</v>
      </c>
      <c r="AL6" s="193" t="s">
        <v>205</v>
      </c>
      <c r="AM6" s="193" t="s">
        <v>205</v>
      </c>
      <c r="AN6" s="193" t="s">
        <v>205</v>
      </c>
      <c r="AO6" s="194" t="s">
        <v>205</v>
      </c>
      <c r="AP6" s="194" t="s">
        <v>205</v>
      </c>
      <c r="AQ6" s="194" t="s">
        <v>205</v>
      </c>
      <c r="AR6" s="194" t="s">
        <v>205</v>
      </c>
      <c r="AS6" s="194" t="s">
        <v>205</v>
      </c>
      <c r="AT6" s="194" t="s">
        <v>205</v>
      </c>
      <c r="AU6" s="195" t="s">
        <v>205</v>
      </c>
      <c r="AV6" s="196"/>
      <c r="AW6" s="197"/>
      <c r="AX6" s="197"/>
      <c r="AY6" s="197"/>
      <c r="AZ6" s="197"/>
      <c r="BA6" s="197"/>
      <c r="BB6" s="197"/>
      <c r="BC6" s="197"/>
      <c r="BD6" s="198"/>
      <c r="BE6" s="199"/>
      <c r="BF6" s="199"/>
      <c r="BG6" s="199"/>
      <c r="BH6" s="199"/>
      <c r="BI6" s="199"/>
      <c r="BJ6" s="199"/>
      <c r="BK6" s="200"/>
      <c r="BL6" s="200"/>
    </row>
    <row r="7" spans="1:66" ht="38.25">
      <c r="A7" s="82" t="s">
        <v>193</v>
      </c>
      <c r="B7" s="82" t="s">
        <v>168</v>
      </c>
      <c r="C7" s="82" t="s">
        <v>228</v>
      </c>
      <c r="D7" s="82" t="s">
        <v>229</v>
      </c>
      <c r="E7" s="82" t="s">
        <v>230</v>
      </c>
      <c r="F7" s="82" t="s">
        <v>231</v>
      </c>
      <c r="G7" s="82" t="s">
        <v>232</v>
      </c>
      <c r="H7" s="82" t="s">
        <v>233</v>
      </c>
      <c r="I7" s="82" t="s">
        <v>234</v>
      </c>
      <c r="J7" s="82" t="s">
        <v>235</v>
      </c>
      <c r="K7" s="82" t="s">
        <v>236</v>
      </c>
      <c r="L7" s="82" t="s">
        <v>237</v>
      </c>
      <c r="M7" s="82" t="s">
        <v>238</v>
      </c>
      <c r="N7" s="82" t="s">
        <v>239</v>
      </c>
      <c r="O7" s="82" t="s">
        <v>240</v>
      </c>
      <c r="P7" s="82" t="s">
        <v>241</v>
      </c>
      <c r="Q7" s="82" t="s">
        <v>242</v>
      </c>
      <c r="R7" s="82" t="s">
        <v>243</v>
      </c>
      <c r="S7" s="82" t="s">
        <v>244</v>
      </c>
      <c r="T7" s="82" t="s">
        <v>245</v>
      </c>
      <c r="U7" s="82" t="s">
        <v>1013</v>
      </c>
      <c r="V7" s="83" t="s">
        <v>89</v>
      </c>
      <c r="W7" s="83" t="s">
        <v>91</v>
      </c>
      <c r="X7" s="83" t="s">
        <v>90</v>
      </c>
      <c r="Y7" s="83" t="s">
        <v>206</v>
      </c>
      <c r="Z7" s="83" t="s">
        <v>36</v>
      </c>
      <c r="AA7" s="83" t="s">
        <v>37</v>
      </c>
      <c r="AB7" s="83" t="s">
        <v>13</v>
      </c>
      <c r="AC7" s="83" t="s">
        <v>12</v>
      </c>
      <c r="AD7" s="83" t="s">
        <v>14</v>
      </c>
      <c r="AE7" s="83" t="s">
        <v>5</v>
      </c>
      <c r="AF7" s="83" t="s">
        <v>4</v>
      </c>
      <c r="AG7" s="83" t="s">
        <v>15</v>
      </c>
      <c r="AH7" s="84" t="s">
        <v>60</v>
      </c>
      <c r="AI7" s="84" t="s">
        <v>54</v>
      </c>
      <c r="AJ7" s="84" t="s">
        <v>47</v>
      </c>
      <c r="AK7" s="84" t="s">
        <v>207</v>
      </c>
      <c r="AL7" s="84" t="s">
        <v>55</v>
      </c>
      <c r="AM7" s="84" t="s">
        <v>1012</v>
      </c>
      <c r="AN7" s="84" t="s">
        <v>46</v>
      </c>
      <c r="AO7" s="85" t="s">
        <v>16</v>
      </c>
      <c r="AP7" s="85" t="s">
        <v>8</v>
      </c>
      <c r="AQ7" s="85" t="s">
        <v>10</v>
      </c>
      <c r="AR7" s="85" t="s">
        <v>65</v>
      </c>
      <c r="AS7" s="85" t="s">
        <v>64</v>
      </c>
      <c r="AT7" s="85" t="s">
        <v>9</v>
      </c>
      <c r="AU7" s="86" t="s">
        <v>58</v>
      </c>
      <c r="AV7" s="201" t="s">
        <v>199</v>
      </c>
      <c r="AW7" s="201" t="s">
        <v>70</v>
      </c>
      <c r="AX7" s="201" t="s">
        <v>74</v>
      </c>
      <c r="AY7" s="201" t="s">
        <v>77</v>
      </c>
      <c r="AZ7" s="201" t="s">
        <v>198</v>
      </c>
      <c r="BA7" s="201" t="s">
        <v>203</v>
      </c>
      <c r="BB7" s="201" t="s">
        <v>202</v>
      </c>
      <c r="BC7" s="201" t="s">
        <v>52</v>
      </c>
      <c r="BD7" s="202" t="s">
        <v>204</v>
      </c>
      <c r="BE7" s="202" t="s">
        <v>196</v>
      </c>
      <c r="BF7" s="202" t="s">
        <v>194</v>
      </c>
      <c r="BG7" s="202" t="s">
        <v>200</v>
      </c>
      <c r="BH7" s="202" t="s">
        <v>195</v>
      </c>
      <c r="BI7" s="202" t="s">
        <v>197</v>
      </c>
      <c r="BJ7" s="202" t="s">
        <v>201</v>
      </c>
      <c r="BK7" s="203" t="s">
        <v>35</v>
      </c>
      <c r="BL7" s="191" t="s">
        <v>1014</v>
      </c>
    </row>
    <row r="8" spans="1:66">
      <c r="A8" s="204" t="s">
        <v>282</v>
      </c>
      <c r="B8" s="165" t="s">
        <v>511</v>
      </c>
      <c r="C8" s="165" t="s">
        <v>541</v>
      </c>
      <c r="D8" s="165" t="s">
        <v>513</v>
      </c>
      <c r="E8" s="165" t="s">
        <v>170</v>
      </c>
      <c r="F8" s="165">
        <v>1055</v>
      </c>
      <c r="G8" s="165">
        <v>10</v>
      </c>
      <c r="H8" s="165">
        <v>6</v>
      </c>
      <c r="I8" s="165">
        <v>43.3</v>
      </c>
      <c r="J8" s="165">
        <v>1591</v>
      </c>
      <c r="K8" s="166" t="s">
        <v>514</v>
      </c>
      <c r="L8" s="165">
        <v>2024</v>
      </c>
      <c r="M8" s="165" t="s">
        <v>171</v>
      </c>
      <c r="N8" s="165">
        <v>11</v>
      </c>
      <c r="O8" s="181">
        <v>42</v>
      </c>
      <c r="P8" s="165" t="s">
        <v>542</v>
      </c>
      <c r="Q8" s="165">
        <v>-70.897999999999996</v>
      </c>
      <c r="R8" s="165">
        <v>39.758000000000003</v>
      </c>
      <c r="S8" s="165" t="s">
        <v>172</v>
      </c>
      <c r="T8" s="165">
        <v>25</v>
      </c>
      <c r="U8" s="166" t="s">
        <v>516</v>
      </c>
      <c r="V8" s="205">
        <v>0.28100000000000003</v>
      </c>
      <c r="W8" s="205">
        <v>6.3E-2</v>
      </c>
      <c r="X8" s="205">
        <v>5.7999999999999996E-2</v>
      </c>
      <c r="Y8" s="205">
        <v>1.6E-2</v>
      </c>
      <c r="Z8" s="205">
        <v>1.4999999999999999E-2</v>
      </c>
      <c r="AA8" s="205">
        <v>3.1E-2</v>
      </c>
      <c r="AB8" s="205">
        <v>1.2E-2</v>
      </c>
      <c r="AC8" s="205">
        <v>8.9999999999999993E-3</v>
      </c>
      <c r="AD8" s="205">
        <v>1E-3</v>
      </c>
      <c r="AE8" s="205">
        <v>4.9000000000000002E-2</v>
      </c>
      <c r="AF8" s="205">
        <v>5.0000000000000001E-3</v>
      </c>
      <c r="AG8" s="205">
        <v>0.01</v>
      </c>
      <c r="AH8" s="205">
        <v>0.27900000000000003</v>
      </c>
      <c r="AI8" s="205">
        <v>-8888</v>
      </c>
      <c r="AJ8" s="205">
        <v>2E-3</v>
      </c>
      <c r="AK8" s="205">
        <v>6.3E-2</v>
      </c>
      <c r="AL8" s="205">
        <v>-8888</v>
      </c>
      <c r="AM8" s="205">
        <v>3.1E-2</v>
      </c>
      <c r="AN8" s="205">
        <v>2.7E-2</v>
      </c>
      <c r="AO8" s="205">
        <v>1E-3</v>
      </c>
      <c r="AP8" s="205">
        <v>7.0000000000000001E-3</v>
      </c>
      <c r="AQ8" s="205">
        <v>3.0000000000000001E-3</v>
      </c>
      <c r="AR8" s="205">
        <v>4.0000000000000001E-3</v>
      </c>
      <c r="AS8" s="205">
        <v>1.2E-2</v>
      </c>
      <c r="AT8" s="205">
        <v>1.9E-2</v>
      </c>
      <c r="AU8" s="205">
        <v>-8888</v>
      </c>
      <c r="AV8" s="205">
        <v>0.40200000000000002</v>
      </c>
      <c r="AW8" s="205">
        <v>4.8000000000000001E-2</v>
      </c>
      <c r="AX8" s="205">
        <v>0.1</v>
      </c>
      <c r="AY8" s="205">
        <v>0.502</v>
      </c>
      <c r="AZ8" s="205">
        <v>0.14800000000000002</v>
      </c>
      <c r="BA8" s="205">
        <v>0.26900000000000002</v>
      </c>
      <c r="BB8" s="205">
        <v>0.55000000000000004</v>
      </c>
      <c r="BC8" s="205">
        <v>0.185</v>
      </c>
      <c r="BD8" s="206">
        <v>0.96</v>
      </c>
      <c r="BE8" s="206">
        <v>0.68</v>
      </c>
      <c r="BF8" s="206">
        <v>0.32</v>
      </c>
      <c r="BG8" s="206">
        <v>2.72</v>
      </c>
      <c r="BH8" s="206">
        <v>0.09</v>
      </c>
      <c r="BI8" s="206">
        <v>0.91</v>
      </c>
      <c r="BJ8" s="206">
        <v>0.51</v>
      </c>
      <c r="BK8" s="207"/>
      <c r="BL8" s="207"/>
    </row>
    <row r="9" spans="1:66">
      <c r="A9" s="204" t="s">
        <v>283</v>
      </c>
      <c r="B9" s="165" t="s">
        <v>511</v>
      </c>
      <c r="C9" s="165" t="s">
        <v>541</v>
      </c>
      <c r="D9" s="165" t="s">
        <v>513</v>
      </c>
      <c r="E9" s="165" t="s">
        <v>170</v>
      </c>
      <c r="F9" s="165">
        <v>1055</v>
      </c>
      <c r="G9" s="165">
        <v>10</v>
      </c>
      <c r="H9" s="165">
        <v>6</v>
      </c>
      <c r="I9" s="165">
        <v>43.3</v>
      </c>
      <c r="J9" s="165">
        <v>1591</v>
      </c>
      <c r="K9" s="166" t="s">
        <v>514</v>
      </c>
      <c r="L9" s="165">
        <v>2024</v>
      </c>
      <c r="M9" s="165" t="s">
        <v>171</v>
      </c>
      <c r="N9" s="165">
        <v>11</v>
      </c>
      <c r="O9" s="181">
        <v>42</v>
      </c>
      <c r="P9" s="165" t="s">
        <v>542</v>
      </c>
      <c r="Q9" s="165">
        <v>-70.897999999999996</v>
      </c>
      <c r="R9" s="165">
        <v>39.758000000000003</v>
      </c>
      <c r="S9" s="165" t="s">
        <v>172</v>
      </c>
      <c r="T9" s="165">
        <v>25</v>
      </c>
      <c r="U9" s="166" t="s">
        <v>516</v>
      </c>
      <c r="V9" s="205">
        <v>0.28000000000000003</v>
      </c>
      <c r="W9" s="205">
        <v>6.2E-2</v>
      </c>
      <c r="X9" s="205">
        <v>5.7999999999999996E-2</v>
      </c>
      <c r="Y9" s="205">
        <v>1.6E-2</v>
      </c>
      <c r="Z9" s="205">
        <v>1.4999999999999999E-2</v>
      </c>
      <c r="AA9" s="205">
        <v>3.1E-2</v>
      </c>
      <c r="AB9" s="205">
        <v>1.2E-2</v>
      </c>
      <c r="AC9" s="205">
        <v>8.0000000000000002E-3</v>
      </c>
      <c r="AD9" s="205">
        <v>1E-3</v>
      </c>
      <c r="AE9" s="205">
        <v>4.9000000000000002E-2</v>
      </c>
      <c r="AF9" s="205">
        <v>5.0000000000000001E-3</v>
      </c>
      <c r="AG9" s="205">
        <v>0.01</v>
      </c>
      <c r="AH9" s="205">
        <v>0.27800000000000002</v>
      </c>
      <c r="AI9" s="205">
        <v>-8888</v>
      </c>
      <c r="AJ9" s="205">
        <v>2E-3</v>
      </c>
      <c r="AK9" s="205">
        <v>6.2E-2</v>
      </c>
      <c r="AL9" s="205">
        <v>-8888</v>
      </c>
      <c r="AM9" s="205">
        <v>3.1E-2</v>
      </c>
      <c r="AN9" s="205">
        <v>2.7E-2</v>
      </c>
      <c r="AO9" s="205">
        <v>1E-3</v>
      </c>
      <c r="AP9" s="205">
        <v>7.0000000000000001E-3</v>
      </c>
      <c r="AQ9" s="205">
        <v>3.0000000000000001E-3</v>
      </c>
      <c r="AR9" s="205">
        <v>4.0000000000000001E-3</v>
      </c>
      <c r="AS9" s="205">
        <v>1.2E-2</v>
      </c>
      <c r="AT9" s="205">
        <v>1.9E-2</v>
      </c>
      <c r="AU9" s="205">
        <v>-8888</v>
      </c>
      <c r="AV9" s="205">
        <v>0.4</v>
      </c>
      <c r="AW9" s="205">
        <v>4.7E-2</v>
      </c>
      <c r="AX9" s="205">
        <v>0.1</v>
      </c>
      <c r="AY9" s="205">
        <v>0.5</v>
      </c>
      <c r="AZ9" s="205">
        <v>0.14700000000000002</v>
      </c>
      <c r="BA9" s="205">
        <v>0.26700000000000002</v>
      </c>
      <c r="BB9" s="205">
        <v>0.54700000000000004</v>
      </c>
      <c r="BC9" s="205">
        <v>0.184</v>
      </c>
      <c r="BD9" s="206">
        <v>0.95</v>
      </c>
      <c r="BE9" s="206">
        <v>0.68</v>
      </c>
      <c r="BF9" s="206">
        <v>0.32</v>
      </c>
      <c r="BG9" s="206">
        <v>2.72</v>
      </c>
      <c r="BH9" s="206">
        <v>0.09</v>
      </c>
      <c r="BI9" s="206">
        <v>0.91</v>
      </c>
      <c r="BJ9" s="206">
        <v>0.51</v>
      </c>
      <c r="BK9" s="207"/>
      <c r="BL9" s="207"/>
    </row>
    <row r="10" spans="1:66">
      <c r="A10" s="208"/>
      <c r="B10" s="208"/>
      <c r="C10" s="208"/>
      <c r="D10" s="208"/>
      <c r="E10" s="208"/>
      <c r="F10" s="208"/>
      <c r="G10" s="208"/>
      <c r="H10" s="208"/>
      <c r="I10" s="208"/>
      <c r="J10" s="208"/>
      <c r="K10" s="208"/>
      <c r="L10" s="208"/>
      <c r="M10" s="208"/>
      <c r="N10" s="208"/>
      <c r="O10" s="208"/>
      <c r="P10" s="208"/>
      <c r="Q10" s="208"/>
      <c r="R10" s="208"/>
      <c r="S10" s="208"/>
      <c r="T10" s="208"/>
      <c r="U10" s="209" t="s">
        <v>22</v>
      </c>
      <c r="V10" s="210">
        <f t="shared" ref="V10:BC10" si="0">ROUND(AVERAGE((IF(V8=-8888,0,V8)),(IF(V9=-8888,0,V9))),3)</f>
        <v>0.28100000000000003</v>
      </c>
      <c r="W10" s="210">
        <f t="shared" si="0"/>
        <v>6.3E-2</v>
      </c>
      <c r="X10" s="210">
        <f t="shared" si="0"/>
        <v>5.8000000000000003E-2</v>
      </c>
      <c r="Y10" s="210">
        <f t="shared" si="0"/>
        <v>1.6E-2</v>
      </c>
      <c r="Z10" s="210">
        <f t="shared" si="0"/>
        <v>1.4999999999999999E-2</v>
      </c>
      <c r="AA10" s="210">
        <f t="shared" si="0"/>
        <v>3.1E-2</v>
      </c>
      <c r="AB10" s="210">
        <f t="shared" si="0"/>
        <v>1.2E-2</v>
      </c>
      <c r="AC10" s="210">
        <f t="shared" si="0"/>
        <v>8.9999999999999993E-3</v>
      </c>
      <c r="AD10" s="210">
        <f t="shared" si="0"/>
        <v>1E-3</v>
      </c>
      <c r="AE10" s="210">
        <f t="shared" si="0"/>
        <v>4.9000000000000002E-2</v>
      </c>
      <c r="AF10" s="210">
        <f t="shared" si="0"/>
        <v>5.0000000000000001E-3</v>
      </c>
      <c r="AG10" s="210">
        <f t="shared" si="0"/>
        <v>0.01</v>
      </c>
      <c r="AH10" s="210">
        <f t="shared" si="0"/>
        <v>0.27900000000000003</v>
      </c>
      <c r="AI10" s="210">
        <f t="shared" si="0"/>
        <v>0</v>
      </c>
      <c r="AJ10" s="210">
        <f t="shared" si="0"/>
        <v>2E-3</v>
      </c>
      <c r="AK10" s="210">
        <f t="shared" si="0"/>
        <v>6.3E-2</v>
      </c>
      <c r="AL10" s="210">
        <f t="shared" si="0"/>
        <v>0</v>
      </c>
      <c r="AM10" s="210">
        <f t="shared" si="0"/>
        <v>3.1E-2</v>
      </c>
      <c r="AN10" s="210">
        <f t="shared" si="0"/>
        <v>2.7E-2</v>
      </c>
      <c r="AO10" s="210">
        <f t="shared" si="0"/>
        <v>1E-3</v>
      </c>
      <c r="AP10" s="210">
        <f t="shared" si="0"/>
        <v>7.0000000000000001E-3</v>
      </c>
      <c r="AQ10" s="210">
        <f t="shared" si="0"/>
        <v>3.0000000000000001E-3</v>
      </c>
      <c r="AR10" s="210">
        <f t="shared" si="0"/>
        <v>4.0000000000000001E-3</v>
      </c>
      <c r="AS10" s="210">
        <f t="shared" si="0"/>
        <v>1.2E-2</v>
      </c>
      <c r="AT10" s="210">
        <f t="shared" si="0"/>
        <v>1.9E-2</v>
      </c>
      <c r="AU10" s="210">
        <f t="shared" si="0"/>
        <v>0</v>
      </c>
      <c r="AV10" s="210">
        <f t="shared" si="0"/>
        <v>0.40100000000000002</v>
      </c>
      <c r="AW10" s="210">
        <f t="shared" si="0"/>
        <v>4.8000000000000001E-2</v>
      </c>
      <c r="AX10" s="210">
        <f t="shared" si="0"/>
        <v>0.1</v>
      </c>
      <c r="AY10" s="210">
        <f t="shared" si="0"/>
        <v>0.501</v>
      </c>
      <c r="AZ10" s="210">
        <f t="shared" si="0"/>
        <v>0.14799999999999999</v>
      </c>
      <c r="BA10" s="210">
        <f t="shared" si="0"/>
        <v>0.26800000000000002</v>
      </c>
      <c r="BB10" s="210">
        <f t="shared" si="0"/>
        <v>0.54900000000000004</v>
      </c>
      <c r="BC10" s="210">
        <f t="shared" si="0"/>
        <v>0.185</v>
      </c>
      <c r="BD10" s="209">
        <f>ROUND(AVERAGE((IF(BD8=-8888,0,BD8)),(IF(BD9=-8888,0,BD9))),2)</f>
        <v>0.96</v>
      </c>
      <c r="BE10" s="209">
        <f t="shared" ref="BE10:BJ10" si="1">ROUND(AVERAGE((IF(BE8=-8888,0,BE8)),(IF(BE9=-8888,0,BE9))),2)</f>
        <v>0.68</v>
      </c>
      <c r="BF10" s="209">
        <f t="shared" si="1"/>
        <v>0.32</v>
      </c>
      <c r="BG10" s="209">
        <f t="shared" si="1"/>
        <v>2.72</v>
      </c>
      <c r="BH10" s="209">
        <f t="shared" si="1"/>
        <v>0.09</v>
      </c>
      <c r="BI10" s="209">
        <f t="shared" si="1"/>
        <v>0.91</v>
      </c>
      <c r="BJ10" s="209">
        <f t="shared" si="1"/>
        <v>0.51</v>
      </c>
      <c r="BK10" s="211"/>
      <c r="BL10" s="211"/>
    </row>
    <row r="11" spans="1:66">
      <c r="A11" s="212"/>
      <c r="B11" s="212"/>
      <c r="C11" s="212"/>
      <c r="D11" s="212"/>
      <c r="E11" s="212"/>
      <c r="F11" s="212"/>
      <c r="G11" s="212"/>
      <c r="H11" s="212"/>
      <c r="I11" s="212"/>
      <c r="J11" s="212"/>
      <c r="K11" s="212"/>
      <c r="L11" s="212"/>
      <c r="M11" s="212"/>
      <c r="N11" s="212"/>
      <c r="O11" s="212"/>
      <c r="P11" s="212"/>
      <c r="Q11" s="212"/>
      <c r="R11" s="212"/>
      <c r="S11" s="212"/>
      <c r="T11" s="212"/>
      <c r="U11" s="213" t="s">
        <v>1015</v>
      </c>
      <c r="V11" s="214">
        <f t="shared" ref="V11:BC11" si="2">ROUND(STDEV((IF(V8=-8888,0,V8)),(IF(V9=-8888,0,V9))),3)</f>
        <v>1E-3</v>
      </c>
      <c r="W11" s="214">
        <f t="shared" si="2"/>
        <v>1E-3</v>
      </c>
      <c r="X11" s="214">
        <f t="shared" si="2"/>
        <v>0</v>
      </c>
      <c r="Y11" s="214">
        <f t="shared" si="2"/>
        <v>0</v>
      </c>
      <c r="Z11" s="214">
        <f t="shared" si="2"/>
        <v>0</v>
      </c>
      <c r="AA11" s="214">
        <f t="shared" si="2"/>
        <v>0</v>
      </c>
      <c r="AB11" s="214">
        <f t="shared" si="2"/>
        <v>0</v>
      </c>
      <c r="AC11" s="214">
        <f t="shared" si="2"/>
        <v>1E-3</v>
      </c>
      <c r="AD11" s="214">
        <f t="shared" si="2"/>
        <v>0</v>
      </c>
      <c r="AE11" s="214">
        <f t="shared" si="2"/>
        <v>0</v>
      </c>
      <c r="AF11" s="214">
        <f t="shared" si="2"/>
        <v>0</v>
      </c>
      <c r="AG11" s="214">
        <f t="shared" si="2"/>
        <v>0</v>
      </c>
      <c r="AH11" s="214">
        <f t="shared" si="2"/>
        <v>1E-3</v>
      </c>
      <c r="AI11" s="214">
        <f t="shared" si="2"/>
        <v>0</v>
      </c>
      <c r="AJ11" s="214">
        <f t="shared" si="2"/>
        <v>0</v>
      </c>
      <c r="AK11" s="214">
        <f t="shared" si="2"/>
        <v>1E-3</v>
      </c>
      <c r="AL11" s="214">
        <f t="shared" si="2"/>
        <v>0</v>
      </c>
      <c r="AM11" s="214">
        <f t="shared" si="2"/>
        <v>0</v>
      </c>
      <c r="AN11" s="214">
        <f t="shared" si="2"/>
        <v>0</v>
      </c>
      <c r="AO11" s="214">
        <f t="shared" si="2"/>
        <v>0</v>
      </c>
      <c r="AP11" s="214">
        <f t="shared" si="2"/>
        <v>0</v>
      </c>
      <c r="AQ11" s="214">
        <f t="shared" si="2"/>
        <v>0</v>
      </c>
      <c r="AR11" s="214">
        <f t="shared" si="2"/>
        <v>0</v>
      </c>
      <c r="AS11" s="214">
        <f t="shared" si="2"/>
        <v>0</v>
      </c>
      <c r="AT11" s="214">
        <f t="shared" si="2"/>
        <v>0</v>
      </c>
      <c r="AU11" s="214">
        <f t="shared" si="2"/>
        <v>0</v>
      </c>
      <c r="AV11" s="214">
        <f t="shared" si="2"/>
        <v>1E-3</v>
      </c>
      <c r="AW11" s="214">
        <f t="shared" si="2"/>
        <v>1E-3</v>
      </c>
      <c r="AX11" s="214">
        <f t="shared" si="2"/>
        <v>0</v>
      </c>
      <c r="AY11" s="214">
        <f t="shared" si="2"/>
        <v>1E-3</v>
      </c>
      <c r="AZ11" s="214">
        <f t="shared" si="2"/>
        <v>1E-3</v>
      </c>
      <c r="BA11" s="214">
        <f t="shared" si="2"/>
        <v>1E-3</v>
      </c>
      <c r="BB11" s="214">
        <f t="shared" si="2"/>
        <v>2E-3</v>
      </c>
      <c r="BC11" s="214">
        <f t="shared" si="2"/>
        <v>1E-3</v>
      </c>
      <c r="BD11" s="213">
        <f>ROUND(STDEV((IF(BD8=-8888,0,BD8)),(IF(BD9=-8888,0,BD9))),2)</f>
        <v>0.01</v>
      </c>
      <c r="BE11" s="213">
        <f t="shared" ref="BE11:BJ11" si="3">ROUND(STDEV((IF(BE8=-8888,0,BE8)),(IF(BE9=-8888,0,BE9))),2)</f>
        <v>0</v>
      </c>
      <c r="BF11" s="213">
        <f t="shared" si="3"/>
        <v>0</v>
      </c>
      <c r="BG11" s="213">
        <f t="shared" si="3"/>
        <v>0</v>
      </c>
      <c r="BH11" s="213">
        <f t="shared" si="3"/>
        <v>0</v>
      </c>
      <c r="BI11" s="213">
        <f t="shared" si="3"/>
        <v>0</v>
      </c>
      <c r="BJ11" s="213">
        <f t="shared" si="3"/>
        <v>0</v>
      </c>
      <c r="BK11" s="215"/>
      <c r="BL11" s="215"/>
    </row>
    <row r="12" spans="1:66">
      <c r="A12" s="216"/>
      <c r="B12" s="216"/>
      <c r="C12" s="216"/>
      <c r="D12" s="216"/>
      <c r="E12" s="216"/>
      <c r="F12" s="216"/>
      <c r="G12" s="216"/>
      <c r="H12" s="216"/>
      <c r="I12" s="216"/>
      <c r="J12" s="216"/>
      <c r="K12" s="216"/>
      <c r="L12" s="216"/>
      <c r="M12" s="216"/>
      <c r="N12" s="216"/>
      <c r="O12" s="216"/>
      <c r="P12" s="216"/>
      <c r="Q12" s="216"/>
      <c r="R12" s="216"/>
      <c r="S12" s="216"/>
      <c r="T12" s="216"/>
      <c r="U12" s="217" t="s">
        <v>148</v>
      </c>
      <c r="V12" s="218">
        <f>IF((V10=0),"N/A",ROUND((V11/V10),4))</f>
        <v>3.5999999999999999E-3</v>
      </c>
      <c r="W12" s="218">
        <f>IF((W10=0),"N/A",ROUND((W11/W10),4))</f>
        <v>1.5900000000000001E-2</v>
      </c>
      <c r="X12" s="218">
        <f>IF((X10=0),"N/A",ROUND((X11/X10),4))</f>
        <v>0</v>
      </c>
      <c r="Y12" s="218">
        <f t="shared" ref="Y12:AI12" si="4">IF((Y10=0),"N/A",ROUND((Y11/Y10),4))</f>
        <v>0</v>
      </c>
      <c r="Z12" s="218">
        <f t="shared" si="4"/>
        <v>0</v>
      </c>
      <c r="AA12" s="218">
        <f t="shared" si="4"/>
        <v>0</v>
      </c>
      <c r="AB12" s="218">
        <f t="shared" si="4"/>
        <v>0</v>
      </c>
      <c r="AC12" s="218">
        <f t="shared" si="4"/>
        <v>0.1111</v>
      </c>
      <c r="AD12" s="218">
        <f t="shared" si="4"/>
        <v>0</v>
      </c>
      <c r="AE12" s="218">
        <f t="shared" si="4"/>
        <v>0</v>
      </c>
      <c r="AF12" s="218">
        <f t="shared" si="4"/>
        <v>0</v>
      </c>
      <c r="AG12" s="218">
        <f t="shared" si="4"/>
        <v>0</v>
      </c>
      <c r="AH12" s="218">
        <f t="shared" si="4"/>
        <v>3.5999999999999999E-3</v>
      </c>
      <c r="AI12" s="218" t="str">
        <f t="shared" si="4"/>
        <v>N/A</v>
      </c>
      <c r="AJ12" s="218">
        <f>IF((AJ10=0),"N/A",ROUND((AJ11/AJ10),4))</f>
        <v>0</v>
      </c>
      <c r="AK12" s="218">
        <f t="shared" ref="AK12:BI12" si="5">IF((AK10=0),"N/A",ROUND((AK11/AK10),4))</f>
        <v>1.5900000000000001E-2</v>
      </c>
      <c r="AL12" s="218" t="str">
        <f t="shared" si="5"/>
        <v>N/A</v>
      </c>
      <c r="AM12" s="218">
        <f t="shared" si="5"/>
        <v>0</v>
      </c>
      <c r="AN12" s="218">
        <f t="shared" si="5"/>
        <v>0</v>
      </c>
      <c r="AO12" s="218">
        <f t="shared" si="5"/>
        <v>0</v>
      </c>
      <c r="AP12" s="218">
        <f t="shared" si="5"/>
        <v>0</v>
      </c>
      <c r="AQ12" s="218">
        <f t="shared" si="5"/>
        <v>0</v>
      </c>
      <c r="AR12" s="218">
        <f t="shared" si="5"/>
        <v>0</v>
      </c>
      <c r="AS12" s="218">
        <f t="shared" si="5"/>
        <v>0</v>
      </c>
      <c r="AT12" s="218">
        <f t="shared" si="5"/>
        <v>0</v>
      </c>
      <c r="AU12" s="218" t="str">
        <f t="shared" si="5"/>
        <v>N/A</v>
      </c>
      <c r="AV12" s="217">
        <f t="shared" si="5"/>
        <v>2.5000000000000001E-3</v>
      </c>
      <c r="AW12" s="217">
        <f t="shared" si="5"/>
        <v>2.0799999999999999E-2</v>
      </c>
      <c r="AX12" s="217">
        <f t="shared" si="5"/>
        <v>0</v>
      </c>
      <c r="AY12" s="217">
        <f t="shared" si="5"/>
        <v>2E-3</v>
      </c>
      <c r="AZ12" s="217">
        <f t="shared" si="5"/>
        <v>6.7999999999999996E-3</v>
      </c>
      <c r="BA12" s="217">
        <f t="shared" si="5"/>
        <v>3.7000000000000002E-3</v>
      </c>
      <c r="BB12" s="217">
        <f t="shared" si="5"/>
        <v>3.5999999999999999E-3</v>
      </c>
      <c r="BC12" s="217">
        <f t="shared" si="5"/>
        <v>5.4000000000000003E-3</v>
      </c>
      <c r="BD12" s="218">
        <f t="shared" si="5"/>
        <v>1.04E-2</v>
      </c>
      <c r="BE12" s="218">
        <f t="shared" si="5"/>
        <v>0</v>
      </c>
      <c r="BF12" s="218">
        <f t="shared" si="5"/>
        <v>0</v>
      </c>
      <c r="BG12" s="218">
        <f t="shared" si="5"/>
        <v>0</v>
      </c>
      <c r="BH12" s="218">
        <f t="shared" si="5"/>
        <v>0</v>
      </c>
      <c r="BI12" s="218">
        <f t="shared" si="5"/>
        <v>0</v>
      </c>
      <c r="BJ12" s="218">
        <f>IF((BJ10=0),"N/A",ROUND((BJ11/BJ10),4))</f>
        <v>0</v>
      </c>
      <c r="BK12" s="219">
        <f>V12</f>
        <v>3.5999999999999999E-3</v>
      </c>
      <c r="BL12" s="219">
        <f>AVERAGE(V12:AG12)</f>
        <v>1.0883333333333333E-2</v>
      </c>
    </row>
    <row r="13" spans="1:66">
      <c r="A13" s="204" t="s">
        <v>310</v>
      </c>
      <c r="B13" s="169" t="s">
        <v>511</v>
      </c>
      <c r="C13" s="169" t="s">
        <v>591</v>
      </c>
      <c r="D13" s="169" t="s">
        <v>578</v>
      </c>
      <c r="E13" s="169" t="s">
        <v>170</v>
      </c>
      <c r="F13" s="169">
        <v>532</v>
      </c>
      <c r="G13" s="169">
        <v>5</v>
      </c>
      <c r="H13" s="169">
        <v>7</v>
      </c>
      <c r="I13" s="165">
        <v>33.799999999999997</v>
      </c>
      <c r="J13" s="165">
        <v>67</v>
      </c>
      <c r="K13" s="166" t="s">
        <v>514</v>
      </c>
      <c r="L13" s="165">
        <v>2024</v>
      </c>
      <c r="M13" s="165" t="s">
        <v>579</v>
      </c>
      <c r="N13" s="165">
        <v>4</v>
      </c>
      <c r="O13" s="181">
        <v>125</v>
      </c>
      <c r="P13" s="165" t="s">
        <v>592</v>
      </c>
      <c r="Q13" s="165">
        <v>-70.882999999999996</v>
      </c>
      <c r="R13" s="165">
        <v>40.695999999999998</v>
      </c>
      <c r="S13" s="165" t="s">
        <v>172</v>
      </c>
      <c r="T13" s="165">
        <v>25</v>
      </c>
      <c r="U13" s="166" t="s">
        <v>516</v>
      </c>
      <c r="V13" s="205">
        <v>0.63400000000000001</v>
      </c>
      <c r="W13" s="205">
        <v>6.3E-2</v>
      </c>
      <c r="X13" s="205">
        <v>0.154</v>
      </c>
      <c r="Y13" s="205">
        <v>3.1E-2</v>
      </c>
      <c r="Z13" s="205">
        <v>-8888</v>
      </c>
      <c r="AA13" s="205">
        <v>1.2E-2</v>
      </c>
      <c r="AB13" s="205">
        <v>2.1000000000000001E-2</v>
      </c>
      <c r="AC13" s="205">
        <v>0.02</v>
      </c>
      <c r="AD13" s="205">
        <v>3.0000000000000001E-3</v>
      </c>
      <c r="AE13" s="205">
        <v>0.30099999999999999</v>
      </c>
      <c r="AF13" s="205">
        <v>5.0000000000000001E-3</v>
      </c>
      <c r="AG13" s="205">
        <v>7.0000000000000001E-3</v>
      </c>
      <c r="AH13" s="205">
        <v>0.622</v>
      </c>
      <c r="AI13" s="205">
        <v>-8888</v>
      </c>
      <c r="AJ13" s="205">
        <v>1.2E-2</v>
      </c>
      <c r="AK13" s="205">
        <v>6.3E-2</v>
      </c>
      <c r="AL13" s="205">
        <v>-8888</v>
      </c>
      <c r="AM13" s="205">
        <v>9.7000000000000003E-2</v>
      </c>
      <c r="AN13" s="205">
        <v>5.7000000000000002E-2</v>
      </c>
      <c r="AO13" s="205">
        <v>-8888</v>
      </c>
      <c r="AP13" s="205">
        <v>7.0000000000000001E-3</v>
      </c>
      <c r="AQ13" s="205">
        <v>3.0000000000000001E-3</v>
      </c>
      <c r="AR13" s="205">
        <v>3.5000000000000003E-2</v>
      </c>
      <c r="AS13" s="205">
        <v>0.17</v>
      </c>
      <c r="AT13" s="205">
        <v>0.03</v>
      </c>
      <c r="AU13" s="205">
        <v>-8888</v>
      </c>
      <c r="AV13" s="205">
        <v>0.85100000000000009</v>
      </c>
      <c r="AW13" s="205">
        <v>8.2000000000000003E-2</v>
      </c>
      <c r="AX13" s="205">
        <v>0.318</v>
      </c>
      <c r="AY13" s="205">
        <v>1.169</v>
      </c>
      <c r="AZ13" s="205">
        <v>0.4</v>
      </c>
      <c r="BA13" s="205">
        <v>0.61699999999999999</v>
      </c>
      <c r="BB13" s="205">
        <v>1.2509999999999999</v>
      </c>
      <c r="BC13" s="205">
        <v>0.40900000000000003</v>
      </c>
      <c r="BD13" s="206">
        <v>0.97</v>
      </c>
      <c r="BE13" s="206">
        <v>0.8</v>
      </c>
      <c r="BF13" s="206">
        <v>0.21</v>
      </c>
      <c r="BG13" s="206">
        <v>2.13</v>
      </c>
      <c r="BH13" s="206">
        <v>7.0000000000000007E-2</v>
      </c>
      <c r="BI13" s="206">
        <v>0.93</v>
      </c>
      <c r="BJ13" s="206">
        <v>0.51</v>
      </c>
      <c r="BK13" s="207"/>
      <c r="BL13" s="207"/>
    </row>
    <row r="14" spans="1:66">
      <c r="A14" s="204" t="s">
        <v>311</v>
      </c>
      <c r="B14" s="169" t="s">
        <v>511</v>
      </c>
      <c r="C14" s="169" t="s">
        <v>591</v>
      </c>
      <c r="D14" s="169" t="s">
        <v>578</v>
      </c>
      <c r="E14" s="169" t="s">
        <v>170</v>
      </c>
      <c r="F14" s="169">
        <v>532</v>
      </c>
      <c r="G14" s="169">
        <v>5</v>
      </c>
      <c r="H14" s="169">
        <v>7</v>
      </c>
      <c r="I14" s="165">
        <v>33.799999999999997</v>
      </c>
      <c r="J14" s="165">
        <v>67</v>
      </c>
      <c r="K14" s="166" t="s">
        <v>514</v>
      </c>
      <c r="L14" s="165">
        <v>2024</v>
      </c>
      <c r="M14" s="165" t="s">
        <v>579</v>
      </c>
      <c r="N14" s="165">
        <v>4</v>
      </c>
      <c r="O14" s="181">
        <v>125</v>
      </c>
      <c r="P14" s="165" t="s">
        <v>592</v>
      </c>
      <c r="Q14" s="165">
        <v>-70.882999999999996</v>
      </c>
      <c r="R14" s="165">
        <v>40.695999999999998</v>
      </c>
      <c r="S14" s="165" t="s">
        <v>172</v>
      </c>
      <c r="T14" s="165">
        <v>25</v>
      </c>
      <c r="U14" s="166" t="s">
        <v>516</v>
      </c>
      <c r="V14" s="205">
        <v>0.63300000000000001</v>
      </c>
      <c r="W14" s="205">
        <v>6.3E-2</v>
      </c>
      <c r="X14" s="205">
        <v>0.152</v>
      </c>
      <c r="Y14" s="205">
        <v>3.2000000000000001E-2</v>
      </c>
      <c r="Z14" s="205">
        <v>-8888</v>
      </c>
      <c r="AA14" s="205">
        <v>1.0999999999999999E-2</v>
      </c>
      <c r="AB14" s="205">
        <v>2.1000000000000001E-2</v>
      </c>
      <c r="AC14" s="205">
        <v>2.1000000000000001E-2</v>
      </c>
      <c r="AD14" s="205">
        <v>3.0000000000000001E-3</v>
      </c>
      <c r="AE14" s="205">
        <v>0.30299999999999999</v>
      </c>
      <c r="AF14" s="205">
        <v>5.0000000000000001E-3</v>
      </c>
      <c r="AG14" s="205">
        <v>8.9999999999999993E-3</v>
      </c>
      <c r="AH14" s="205">
        <v>0.621</v>
      </c>
      <c r="AI14" s="205">
        <v>-8888</v>
      </c>
      <c r="AJ14" s="205">
        <v>1.2E-2</v>
      </c>
      <c r="AK14" s="205">
        <v>6.3E-2</v>
      </c>
      <c r="AL14" s="205">
        <v>-8888</v>
      </c>
      <c r="AM14" s="205">
        <v>9.6000000000000002E-2</v>
      </c>
      <c r="AN14" s="205">
        <v>5.6000000000000001E-2</v>
      </c>
      <c r="AO14" s="205">
        <v>-8888</v>
      </c>
      <c r="AP14" s="205">
        <v>7.0000000000000001E-3</v>
      </c>
      <c r="AQ14" s="205">
        <v>3.0000000000000001E-3</v>
      </c>
      <c r="AR14" s="205">
        <v>3.4000000000000002E-2</v>
      </c>
      <c r="AS14" s="205">
        <v>0.17499999999999999</v>
      </c>
      <c r="AT14" s="205">
        <v>0.03</v>
      </c>
      <c r="AU14" s="205">
        <v>-8888</v>
      </c>
      <c r="AV14" s="205">
        <v>0.84799999999999998</v>
      </c>
      <c r="AW14" s="205">
        <v>8.6000000000000007E-2</v>
      </c>
      <c r="AX14" s="205">
        <v>0.31900000000000001</v>
      </c>
      <c r="AY14" s="205">
        <v>1.167</v>
      </c>
      <c r="AZ14" s="205">
        <v>0.40500000000000003</v>
      </c>
      <c r="BA14" s="205">
        <v>0.62</v>
      </c>
      <c r="BB14" s="205">
        <v>1.2530000000000001</v>
      </c>
      <c r="BC14" s="205">
        <v>0.41200000000000003</v>
      </c>
      <c r="BD14" s="206">
        <v>0.98</v>
      </c>
      <c r="BE14" s="206">
        <v>0.79</v>
      </c>
      <c r="BF14" s="206">
        <v>0.21</v>
      </c>
      <c r="BG14" s="206">
        <v>2.09</v>
      </c>
      <c r="BH14" s="206">
        <v>7.0000000000000007E-2</v>
      </c>
      <c r="BI14" s="206">
        <v>0.93</v>
      </c>
      <c r="BJ14" s="206">
        <v>0.51</v>
      </c>
      <c r="BK14" s="207"/>
      <c r="BL14" s="207"/>
    </row>
    <row r="15" spans="1:66">
      <c r="A15" s="208"/>
      <c r="B15" s="208"/>
      <c r="C15" s="208"/>
      <c r="D15" s="208"/>
      <c r="E15" s="208"/>
      <c r="F15" s="208"/>
      <c r="G15" s="208"/>
      <c r="H15" s="208"/>
      <c r="I15" s="208"/>
      <c r="J15" s="208"/>
      <c r="K15" s="208"/>
      <c r="L15" s="208"/>
      <c r="M15" s="208"/>
      <c r="N15" s="208"/>
      <c r="O15" s="208"/>
      <c r="P15" s="208"/>
      <c r="Q15" s="208"/>
      <c r="R15" s="208"/>
      <c r="S15" s="208"/>
      <c r="T15" s="208"/>
      <c r="U15" s="209" t="s">
        <v>22</v>
      </c>
      <c r="V15" s="210">
        <f t="shared" ref="V15:BC15" si="6">ROUND(AVERAGE((IF(V13=-8888,0,V13)),(IF(V14=-8888,0,V14))),3)</f>
        <v>0.63400000000000001</v>
      </c>
      <c r="W15" s="210">
        <f t="shared" si="6"/>
        <v>6.3E-2</v>
      </c>
      <c r="X15" s="210">
        <f t="shared" si="6"/>
        <v>0.153</v>
      </c>
      <c r="Y15" s="210">
        <f t="shared" si="6"/>
        <v>3.2000000000000001E-2</v>
      </c>
      <c r="Z15" s="210">
        <f t="shared" si="6"/>
        <v>0</v>
      </c>
      <c r="AA15" s="210">
        <f t="shared" si="6"/>
        <v>1.2E-2</v>
      </c>
      <c r="AB15" s="210">
        <f t="shared" si="6"/>
        <v>2.1000000000000001E-2</v>
      </c>
      <c r="AC15" s="210">
        <f t="shared" si="6"/>
        <v>2.1000000000000001E-2</v>
      </c>
      <c r="AD15" s="210">
        <f t="shared" si="6"/>
        <v>3.0000000000000001E-3</v>
      </c>
      <c r="AE15" s="210">
        <f t="shared" si="6"/>
        <v>0.30199999999999999</v>
      </c>
      <c r="AF15" s="210">
        <f t="shared" si="6"/>
        <v>5.0000000000000001E-3</v>
      </c>
      <c r="AG15" s="210">
        <f t="shared" si="6"/>
        <v>8.0000000000000002E-3</v>
      </c>
      <c r="AH15" s="210">
        <f t="shared" si="6"/>
        <v>0.622</v>
      </c>
      <c r="AI15" s="210">
        <f t="shared" si="6"/>
        <v>0</v>
      </c>
      <c r="AJ15" s="210">
        <f t="shared" si="6"/>
        <v>1.2E-2</v>
      </c>
      <c r="AK15" s="210">
        <f t="shared" si="6"/>
        <v>6.3E-2</v>
      </c>
      <c r="AL15" s="210">
        <f t="shared" si="6"/>
        <v>0</v>
      </c>
      <c r="AM15" s="210">
        <f t="shared" si="6"/>
        <v>9.7000000000000003E-2</v>
      </c>
      <c r="AN15" s="210">
        <f t="shared" si="6"/>
        <v>5.7000000000000002E-2</v>
      </c>
      <c r="AO15" s="210">
        <f t="shared" si="6"/>
        <v>0</v>
      </c>
      <c r="AP15" s="210">
        <f t="shared" si="6"/>
        <v>7.0000000000000001E-3</v>
      </c>
      <c r="AQ15" s="210">
        <f t="shared" si="6"/>
        <v>3.0000000000000001E-3</v>
      </c>
      <c r="AR15" s="210">
        <f t="shared" si="6"/>
        <v>3.5000000000000003E-2</v>
      </c>
      <c r="AS15" s="210">
        <f t="shared" si="6"/>
        <v>0.17299999999999999</v>
      </c>
      <c r="AT15" s="210">
        <f t="shared" si="6"/>
        <v>0.03</v>
      </c>
      <c r="AU15" s="210">
        <f t="shared" si="6"/>
        <v>0</v>
      </c>
      <c r="AV15" s="210">
        <f t="shared" si="6"/>
        <v>0.85</v>
      </c>
      <c r="AW15" s="210">
        <f t="shared" si="6"/>
        <v>8.4000000000000005E-2</v>
      </c>
      <c r="AX15" s="210">
        <f t="shared" si="6"/>
        <v>0.31900000000000001</v>
      </c>
      <c r="AY15" s="210">
        <f t="shared" si="6"/>
        <v>1.1679999999999999</v>
      </c>
      <c r="AZ15" s="210">
        <f t="shared" si="6"/>
        <v>0.40300000000000002</v>
      </c>
      <c r="BA15" s="210">
        <f t="shared" si="6"/>
        <v>0.61899999999999999</v>
      </c>
      <c r="BB15" s="210">
        <f t="shared" si="6"/>
        <v>1.252</v>
      </c>
      <c r="BC15" s="210">
        <f t="shared" si="6"/>
        <v>0.41099999999999998</v>
      </c>
      <c r="BD15" s="209">
        <f>ROUND(AVERAGE((IF(BD13=-8888,0,BD13)),(IF(BD14=-8888,0,BD14))),2)</f>
        <v>0.98</v>
      </c>
      <c r="BE15" s="209">
        <f t="shared" ref="BE15:BJ15" si="7">ROUND(AVERAGE((IF(BE13=-8888,0,BE13)),(IF(BE14=-8888,0,BE14))),2)</f>
        <v>0.8</v>
      </c>
      <c r="BF15" s="209">
        <f t="shared" si="7"/>
        <v>0.21</v>
      </c>
      <c r="BG15" s="209">
        <f t="shared" si="7"/>
        <v>2.11</v>
      </c>
      <c r="BH15" s="209">
        <f t="shared" si="7"/>
        <v>7.0000000000000007E-2</v>
      </c>
      <c r="BI15" s="209">
        <f t="shared" si="7"/>
        <v>0.93</v>
      </c>
      <c r="BJ15" s="209">
        <f t="shared" si="7"/>
        <v>0.51</v>
      </c>
      <c r="BK15" s="211"/>
      <c r="BL15" s="211"/>
    </row>
    <row r="16" spans="1:66">
      <c r="A16" s="212"/>
      <c r="B16" s="212"/>
      <c r="C16" s="212"/>
      <c r="D16" s="212"/>
      <c r="E16" s="212"/>
      <c r="F16" s="212"/>
      <c r="G16" s="212"/>
      <c r="H16" s="212"/>
      <c r="I16" s="212"/>
      <c r="J16" s="212"/>
      <c r="K16" s="212"/>
      <c r="L16" s="212"/>
      <c r="M16" s="212"/>
      <c r="N16" s="212"/>
      <c r="O16" s="212"/>
      <c r="P16" s="212"/>
      <c r="Q16" s="212"/>
      <c r="R16" s="212"/>
      <c r="S16" s="212"/>
      <c r="T16" s="212"/>
      <c r="U16" s="213" t="s">
        <v>1015</v>
      </c>
      <c r="V16" s="214">
        <f t="shared" ref="V16:BC16" si="8">ROUND(STDEV((IF(V13=-8888,0,V13)),(IF(V14=-8888,0,V14))),3)</f>
        <v>1E-3</v>
      </c>
      <c r="W16" s="214">
        <f t="shared" si="8"/>
        <v>0</v>
      </c>
      <c r="X16" s="214">
        <f t="shared" si="8"/>
        <v>1E-3</v>
      </c>
      <c r="Y16" s="214">
        <f t="shared" si="8"/>
        <v>1E-3</v>
      </c>
      <c r="Z16" s="214">
        <f t="shared" si="8"/>
        <v>0</v>
      </c>
      <c r="AA16" s="214">
        <f t="shared" si="8"/>
        <v>1E-3</v>
      </c>
      <c r="AB16" s="214">
        <f t="shared" si="8"/>
        <v>0</v>
      </c>
      <c r="AC16" s="214">
        <f t="shared" si="8"/>
        <v>1E-3</v>
      </c>
      <c r="AD16" s="214">
        <f t="shared" si="8"/>
        <v>0</v>
      </c>
      <c r="AE16" s="214">
        <f t="shared" si="8"/>
        <v>1E-3</v>
      </c>
      <c r="AF16" s="214">
        <f t="shared" si="8"/>
        <v>0</v>
      </c>
      <c r="AG16" s="214">
        <f t="shared" si="8"/>
        <v>1E-3</v>
      </c>
      <c r="AH16" s="214">
        <f t="shared" si="8"/>
        <v>1E-3</v>
      </c>
      <c r="AI16" s="214">
        <f t="shared" si="8"/>
        <v>0</v>
      </c>
      <c r="AJ16" s="214">
        <f t="shared" si="8"/>
        <v>0</v>
      </c>
      <c r="AK16" s="214">
        <f t="shared" si="8"/>
        <v>0</v>
      </c>
      <c r="AL16" s="214">
        <f t="shared" si="8"/>
        <v>0</v>
      </c>
      <c r="AM16" s="214">
        <f t="shared" si="8"/>
        <v>1E-3</v>
      </c>
      <c r="AN16" s="214">
        <f t="shared" si="8"/>
        <v>1E-3</v>
      </c>
      <c r="AO16" s="214">
        <f t="shared" si="8"/>
        <v>0</v>
      </c>
      <c r="AP16" s="214">
        <f t="shared" si="8"/>
        <v>0</v>
      </c>
      <c r="AQ16" s="214">
        <f t="shared" si="8"/>
        <v>0</v>
      </c>
      <c r="AR16" s="214">
        <f t="shared" si="8"/>
        <v>1E-3</v>
      </c>
      <c r="AS16" s="214">
        <f t="shared" si="8"/>
        <v>4.0000000000000001E-3</v>
      </c>
      <c r="AT16" s="214">
        <f t="shared" si="8"/>
        <v>0</v>
      </c>
      <c r="AU16" s="214">
        <f t="shared" si="8"/>
        <v>0</v>
      </c>
      <c r="AV16" s="214">
        <f t="shared" si="8"/>
        <v>2E-3</v>
      </c>
      <c r="AW16" s="214">
        <f t="shared" si="8"/>
        <v>3.0000000000000001E-3</v>
      </c>
      <c r="AX16" s="214">
        <f t="shared" si="8"/>
        <v>1E-3</v>
      </c>
      <c r="AY16" s="214">
        <f t="shared" si="8"/>
        <v>1E-3</v>
      </c>
      <c r="AZ16" s="214">
        <f t="shared" si="8"/>
        <v>4.0000000000000001E-3</v>
      </c>
      <c r="BA16" s="214">
        <f t="shared" si="8"/>
        <v>2E-3</v>
      </c>
      <c r="BB16" s="214">
        <f t="shared" si="8"/>
        <v>1E-3</v>
      </c>
      <c r="BC16" s="214">
        <f t="shared" si="8"/>
        <v>2E-3</v>
      </c>
      <c r="BD16" s="213">
        <f>ROUND(STDEV((IF(BD13=-8888,0,BD13)),(IF(BD14=-8888,0,BD14))),2)</f>
        <v>0.01</v>
      </c>
      <c r="BE16" s="213">
        <f t="shared" ref="BE16:BJ16" si="9">ROUND(STDEV((IF(BE13=-8888,0,BE13)),(IF(BE14=-8888,0,BE14))),2)</f>
        <v>0.01</v>
      </c>
      <c r="BF16" s="213">
        <f t="shared" si="9"/>
        <v>0</v>
      </c>
      <c r="BG16" s="213">
        <f t="shared" si="9"/>
        <v>0.03</v>
      </c>
      <c r="BH16" s="213">
        <f t="shared" si="9"/>
        <v>0</v>
      </c>
      <c r="BI16" s="213">
        <f t="shared" si="9"/>
        <v>0</v>
      </c>
      <c r="BJ16" s="213">
        <f t="shared" si="9"/>
        <v>0</v>
      </c>
      <c r="BK16" s="215"/>
      <c r="BL16" s="215"/>
    </row>
    <row r="17" spans="1:64">
      <c r="A17" s="216"/>
      <c r="B17" s="216"/>
      <c r="C17" s="216"/>
      <c r="D17" s="216"/>
      <c r="E17" s="216"/>
      <c r="F17" s="216"/>
      <c r="G17" s="216"/>
      <c r="H17" s="216"/>
      <c r="I17" s="216"/>
      <c r="J17" s="216"/>
      <c r="K17" s="216"/>
      <c r="L17" s="216"/>
      <c r="M17" s="216"/>
      <c r="N17" s="216"/>
      <c r="O17" s="216"/>
      <c r="P17" s="216"/>
      <c r="Q17" s="216"/>
      <c r="R17" s="216"/>
      <c r="S17" s="216"/>
      <c r="T17" s="216"/>
      <c r="U17" s="217" t="s">
        <v>148</v>
      </c>
      <c r="V17" s="218">
        <f>IF((V15=0),"N/A",ROUND((V16/V15),4))</f>
        <v>1.6000000000000001E-3</v>
      </c>
      <c r="W17" s="218">
        <f>IF((W15=0),"N/A",ROUND((W16/W15),4))</f>
        <v>0</v>
      </c>
      <c r="X17" s="218">
        <f>IF((X15=0),"N/A",ROUND((X16/X15),4))</f>
        <v>6.4999999999999997E-3</v>
      </c>
      <c r="Y17" s="218">
        <f t="shared" ref="Y17:AI17" si="10">IF((Y15=0),"N/A",ROUND((Y16/Y15),4))</f>
        <v>3.1300000000000001E-2</v>
      </c>
      <c r="Z17" s="218" t="str">
        <f t="shared" si="10"/>
        <v>N/A</v>
      </c>
      <c r="AA17" s="218">
        <f t="shared" si="10"/>
        <v>8.3299999999999999E-2</v>
      </c>
      <c r="AB17" s="218">
        <f t="shared" si="10"/>
        <v>0</v>
      </c>
      <c r="AC17" s="218">
        <f t="shared" si="10"/>
        <v>4.7600000000000003E-2</v>
      </c>
      <c r="AD17" s="218">
        <f t="shared" si="10"/>
        <v>0</v>
      </c>
      <c r="AE17" s="218">
        <f t="shared" si="10"/>
        <v>3.3E-3</v>
      </c>
      <c r="AF17" s="218">
        <f t="shared" si="10"/>
        <v>0</v>
      </c>
      <c r="AG17" s="218">
        <f t="shared" si="10"/>
        <v>0.125</v>
      </c>
      <c r="AH17" s="218">
        <f t="shared" si="10"/>
        <v>1.6000000000000001E-3</v>
      </c>
      <c r="AI17" s="218" t="str">
        <f t="shared" si="10"/>
        <v>N/A</v>
      </c>
      <c r="AJ17" s="218">
        <f>IF((AJ15=0),"N/A",ROUND((AJ16/AJ15),4))</f>
        <v>0</v>
      </c>
      <c r="AK17" s="218">
        <f t="shared" ref="AK17:BI17" si="11">IF((AK15=0),"N/A",ROUND((AK16/AK15),4))</f>
        <v>0</v>
      </c>
      <c r="AL17" s="218" t="str">
        <f t="shared" si="11"/>
        <v>N/A</v>
      </c>
      <c r="AM17" s="218">
        <f t="shared" si="11"/>
        <v>1.03E-2</v>
      </c>
      <c r="AN17" s="218">
        <f t="shared" si="11"/>
        <v>1.7500000000000002E-2</v>
      </c>
      <c r="AO17" s="218" t="str">
        <f t="shared" si="11"/>
        <v>N/A</v>
      </c>
      <c r="AP17" s="218">
        <f t="shared" si="11"/>
        <v>0</v>
      </c>
      <c r="AQ17" s="218">
        <f t="shared" si="11"/>
        <v>0</v>
      </c>
      <c r="AR17" s="218">
        <f t="shared" si="11"/>
        <v>2.86E-2</v>
      </c>
      <c r="AS17" s="218">
        <f t="shared" si="11"/>
        <v>2.3099999999999999E-2</v>
      </c>
      <c r="AT17" s="218">
        <f t="shared" si="11"/>
        <v>0</v>
      </c>
      <c r="AU17" s="218" t="str">
        <f t="shared" si="11"/>
        <v>N/A</v>
      </c>
      <c r="AV17" s="217">
        <f t="shared" si="11"/>
        <v>2.3999999999999998E-3</v>
      </c>
      <c r="AW17" s="217">
        <f t="shared" si="11"/>
        <v>3.5700000000000003E-2</v>
      </c>
      <c r="AX17" s="217">
        <f t="shared" si="11"/>
        <v>3.0999999999999999E-3</v>
      </c>
      <c r="AY17" s="217">
        <f t="shared" si="11"/>
        <v>8.9999999999999998E-4</v>
      </c>
      <c r="AZ17" s="217">
        <f t="shared" si="11"/>
        <v>9.9000000000000008E-3</v>
      </c>
      <c r="BA17" s="217">
        <f t="shared" si="11"/>
        <v>3.2000000000000002E-3</v>
      </c>
      <c r="BB17" s="217">
        <f t="shared" si="11"/>
        <v>8.0000000000000004E-4</v>
      </c>
      <c r="BC17" s="217">
        <f t="shared" si="11"/>
        <v>4.8999999999999998E-3</v>
      </c>
      <c r="BD17" s="218">
        <f t="shared" si="11"/>
        <v>1.0200000000000001E-2</v>
      </c>
      <c r="BE17" s="218">
        <f t="shared" si="11"/>
        <v>1.2500000000000001E-2</v>
      </c>
      <c r="BF17" s="218">
        <f t="shared" si="11"/>
        <v>0</v>
      </c>
      <c r="BG17" s="218">
        <f t="shared" si="11"/>
        <v>1.4200000000000001E-2</v>
      </c>
      <c r="BH17" s="218">
        <f t="shared" si="11"/>
        <v>0</v>
      </c>
      <c r="BI17" s="218">
        <f t="shared" si="11"/>
        <v>0</v>
      </c>
      <c r="BJ17" s="218">
        <f>IF((BJ15=0),"N/A",ROUND((BJ16/BJ15),4))</f>
        <v>0</v>
      </c>
      <c r="BK17" s="219">
        <f>V17</f>
        <v>1.6000000000000001E-3</v>
      </c>
      <c r="BL17" s="219">
        <f>AVERAGE(V17:AG17)</f>
        <v>2.7145454545454542E-2</v>
      </c>
    </row>
    <row r="18" spans="1:64">
      <c r="A18" s="204" t="s">
        <v>338</v>
      </c>
      <c r="B18" s="169" t="s">
        <v>511</v>
      </c>
      <c r="C18" s="169" t="s">
        <v>642</v>
      </c>
      <c r="D18" s="169" t="s">
        <v>578</v>
      </c>
      <c r="E18" s="169" t="s">
        <v>170</v>
      </c>
      <c r="F18" s="169">
        <v>547</v>
      </c>
      <c r="G18" s="169">
        <v>23</v>
      </c>
      <c r="H18" s="169">
        <v>7</v>
      </c>
      <c r="I18" s="165">
        <v>9.6999999999999993</v>
      </c>
      <c r="J18" s="165">
        <v>19</v>
      </c>
      <c r="K18" s="166" t="s">
        <v>514</v>
      </c>
      <c r="L18" s="165">
        <v>2024</v>
      </c>
      <c r="M18" s="165" t="s">
        <v>579</v>
      </c>
      <c r="N18" s="165">
        <v>8</v>
      </c>
      <c r="O18" s="181">
        <v>129</v>
      </c>
      <c r="P18" s="165" t="s">
        <v>643</v>
      </c>
      <c r="Q18" s="165">
        <v>-70.584999999999994</v>
      </c>
      <c r="R18" s="165">
        <v>41.317</v>
      </c>
      <c r="S18" s="165" t="s">
        <v>172</v>
      </c>
      <c r="T18" s="165">
        <v>25</v>
      </c>
      <c r="U18" s="166" t="s">
        <v>516</v>
      </c>
      <c r="V18" s="205">
        <v>1.081</v>
      </c>
      <c r="W18" s="205">
        <v>0.156</v>
      </c>
      <c r="X18" s="205">
        <v>0.13799999999999998</v>
      </c>
      <c r="Y18" s="205">
        <v>0.06</v>
      </c>
      <c r="Z18" s="205">
        <v>-8888</v>
      </c>
      <c r="AA18" s="205">
        <v>1.2999999999999999E-2</v>
      </c>
      <c r="AB18" s="205">
        <v>4.7E-2</v>
      </c>
      <c r="AC18" s="205">
        <v>7.0000000000000007E-2</v>
      </c>
      <c r="AD18" s="205">
        <v>8.0000000000000002E-3</v>
      </c>
      <c r="AE18" s="205">
        <v>0.26400000000000001</v>
      </c>
      <c r="AF18" s="205">
        <v>3.9E-2</v>
      </c>
      <c r="AG18" s="205">
        <v>1.4999999999999999E-2</v>
      </c>
      <c r="AH18" s="205">
        <v>1.0409999999999999</v>
      </c>
      <c r="AI18" s="205">
        <v>-8888</v>
      </c>
      <c r="AJ18" s="205">
        <v>0.04</v>
      </c>
      <c r="AK18" s="205">
        <v>0.156</v>
      </c>
      <c r="AL18" s="205">
        <v>-8888</v>
      </c>
      <c r="AM18" s="205">
        <v>0.11799999999999999</v>
      </c>
      <c r="AN18" s="205">
        <v>0.02</v>
      </c>
      <c r="AO18" s="205">
        <v>6.0000000000000001E-3</v>
      </c>
      <c r="AP18" s="205">
        <v>1.7999999999999999E-2</v>
      </c>
      <c r="AQ18" s="205">
        <v>2.4E-2</v>
      </c>
      <c r="AR18" s="205">
        <v>2.4E-2</v>
      </c>
      <c r="AS18" s="205">
        <v>7.6999999999999999E-2</v>
      </c>
      <c r="AT18" s="205">
        <v>0.05</v>
      </c>
      <c r="AU18" s="205">
        <v>-8888</v>
      </c>
      <c r="AV18" s="205">
        <v>1.3749999999999998</v>
      </c>
      <c r="AW18" s="205">
        <v>0.2</v>
      </c>
      <c r="AX18" s="205">
        <v>0.316</v>
      </c>
      <c r="AY18" s="205">
        <v>1.6909999999999998</v>
      </c>
      <c r="AZ18" s="205">
        <v>0.51600000000000001</v>
      </c>
      <c r="BA18" s="205">
        <v>0.81</v>
      </c>
      <c r="BB18" s="205">
        <v>1.891</v>
      </c>
      <c r="BC18" s="205">
        <v>0.53400000000000003</v>
      </c>
      <c r="BD18" s="206">
        <v>0.75</v>
      </c>
      <c r="BE18" s="206">
        <v>0.61</v>
      </c>
      <c r="BF18" s="206">
        <v>0.39</v>
      </c>
      <c r="BG18" s="206">
        <v>2.66</v>
      </c>
      <c r="BH18" s="206">
        <v>0.11</v>
      </c>
      <c r="BI18" s="206">
        <v>0.89</v>
      </c>
      <c r="BJ18" s="206">
        <v>0.56999999999999995</v>
      </c>
      <c r="BK18" s="207"/>
      <c r="BL18" s="207"/>
    </row>
    <row r="19" spans="1:64">
      <c r="A19" s="204" t="s">
        <v>339</v>
      </c>
      <c r="B19" s="169" t="s">
        <v>511</v>
      </c>
      <c r="C19" s="169" t="s">
        <v>642</v>
      </c>
      <c r="D19" s="169" t="s">
        <v>578</v>
      </c>
      <c r="E19" s="169" t="s">
        <v>170</v>
      </c>
      <c r="F19" s="169">
        <v>547</v>
      </c>
      <c r="G19" s="169">
        <v>23</v>
      </c>
      <c r="H19" s="169">
        <v>7</v>
      </c>
      <c r="I19" s="165">
        <v>9.6999999999999993</v>
      </c>
      <c r="J19" s="165">
        <v>19</v>
      </c>
      <c r="K19" s="166" t="s">
        <v>514</v>
      </c>
      <c r="L19" s="165">
        <v>2024</v>
      </c>
      <c r="M19" s="165" t="s">
        <v>579</v>
      </c>
      <c r="N19" s="165">
        <v>8</v>
      </c>
      <c r="O19" s="181">
        <v>129</v>
      </c>
      <c r="P19" s="165" t="s">
        <v>643</v>
      </c>
      <c r="Q19" s="165">
        <v>-70.584999999999994</v>
      </c>
      <c r="R19" s="165">
        <v>41.317</v>
      </c>
      <c r="S19" s="165" t="s">
        <v>172</v>
      </c>
      <c r="T19" s="165">
        <v>25</v>
      </c>
      <c r="U19" s="166" t="s">
        <v>516</v>
      </c>
      <c r="V19" s="205">
        <v>1.079</v>
      </c>
      <c r="W19" s="205">
        <v>0.157</v>
      </c>
      <c r="X19" s="205">
        <v>0.13799999999999998</v>
      </c>
      <c r="Y19" s="205">
        <v>6.0999999999999999E-2</v>
      </c>
      <c r="Z19" s="205">
        <v>-8888</v>
      </c>
      <c r="AA19" s="205">
        <v>1.2999999999999999E-2</v>
      </c>
      <c r="AB19" s="205">
        <v>4.7E-2</v>
      </c>
      <c r="AC19" s="205">
        <v>7.0000000000000007E-2</v>
      </c>
      <c r="AD19" s="205">
        <v>8.9999999999999993E-3</v>
      </c>
      <c r="AE19" s="205">
        <v>0.26400000000000001</v>
      </c>
      <c r="AF19" s="205">
        <v>0.04</v>
      </c>
      <c r="AG19" s="205">
        <v>1.4E-2</v>
      </c>
      <c r="AH19" s="205">
        <v>1.0389999999999999</v>
      </c>
      <c r="AI19" s="205">
        <v>-8888</v>
      </c>
      <c r="AJ19" s="205">
        <v>0.04</v>
      </c>
      <c r="AK19" s="205">
        <v>0.157</v>
      </c>
      <c r="AL19" s="205">
        <v>-8888</v>
      </c>
      <c r="AM19" s="205">
        <v>0.11799999999999999</v>
      </c>
      <c r="AN19" s="205">
        <v>0.02</v>
      </c>
      <c r="AO19" s="205">
        <v>6.0000000000000001E-3</v>
      </c>
      <c r="AP19" s="205">
        <v>1.9E-2</v>
      </c>
      <c r="AQ19" s="205">
        <v>2.4E-2</v>
      </c>
      <c r="AR19" s="205">
        <v>2.4E-2</v>
      </c>
      <c r="AS19" s="205">
        <v>7.6999999999999999E-2</v>
      </c>
      <c r="AT19" s="205">
        <v>0.05</v>
      </c>
      <c r="AU19" s="205">
        <v>-8888</v>
      </c>
      <c r="AV19" s="205">
        <v>1.3739999999999999</v>
      </c>
      <c r="AW19" s="205">
        <v>0.20100000000000001</v>
      </c>
      <c r="AX19" s="205">
        <v>0.317</v>
      </c>
      <c r="AY19" s="205">
        <v>1.6909999999999998</v>
      </c>
      <c r="AZ19" s="205">
        <v>0.51800000000000002</v>
      </c>
      <c r="BA19" s="205">
        <v>0.81300000000000006</v>
      </c>
      <c r="BB19" s="205">
        <v>1.8919999999999999</v>
      </c>
      <c r="BC19" s="205">
        <v>0.53500000000000003</v>
      </c>
      <c r="BD19" s="206">
        <v>0.75</v>
      </c>
      <c r="BE19" s="206">
        <v>0.61</v>
      </c>
      <c r="BF19" s="206">
        <v>0.39</v>
      </c>
      <c r="BG19" s="206">
        <v>2.65</v>
      </c>
      <c r="BH19" s="206">
        <v>0.11</v>
      </c>
      <c r="BI19" s="206">
        <v>0.89</v>
      </c>
      <c r="BJ19" s="206">
        <v>0.56999999999999995</v>
      </c>
      <c r="BK19" s="207"/>
      <c r="BL19" s="207"/>
    </row>
    <row r="20" spans="1:64">
      <c r="A20" s="210"/>
      <c r="B20" s="220"/>
      <c r="C20" s="220"/>
      <c r="D20" s="220"/>
      <c r="E20" s="220"/>
      <c r="F20" s="220"/>
      <c r="G20" s="220"/>
      <c r="H20" s="220"/>
      <c r="I20" s="220"/>
      <c r="J20" s="220"/>
      <c r="K20" s="220"/>
      <c r="L20" s="220"/>
      <c r="M20" s="220"/>
      <c r="N20" s="220"/>
      <c r="O20" s="220"/>
      <c r="P20" s="221"/>
      <c r="Q20" s="220"/>
      <c r="R20" s="220"/>
      <c r="S20" s="220"/>
      <c r="T20" s="220"/>
      <c r="U20" s="210" t="s">
        <v>22</v>
      </c>
      <c r="V20" s="210">
        <f t="shared" ref="V20:BC20" si="12">ROUND(AVERAGE((IF(V18=-8888,0,V18)),(IF(V19=-8888,0,V19))),3)</f>
        <v>1.08</v>
      </c>
      <c r="W20" s="210">
        <f t="shared" si="12"/>
        <v>0.157</v>
      </c>
      <c r="X20" s="210">
        <f t="shared" si="12"/>
        <v>0.13800000000000001</v>
      </c>
      <c r="Y20" s="210">
        <f t="shared" si="12"/>
        <v>6.0999999999999999E-2</v>
      </c>
      <c r="Z20" s="210">
        <f t="shared" si="12"/>
        <v>0</v>
      </c>
      <c r="AA20" s="210">
        <f t="shared" si="12"/>
        <v>1.2999999999999999E-2</v>
      </c>
      <c r="AB20" s="210">
        <f t="shared" si="12"/>
        <v>4.7E-2</v>
      </c>
      <c r="AC20" s="210">
        <f t="shared" si="12"/>
        <v>7.0000000000000007E-2</v>
      </c>
      <c r="AD20" s="210">
        <f t="shared" si="12"/>
        <v>8.9999999999999993E-3</v>
      </c>
      <c r="AE20" s="210">
        <f t="shared" si="12"/>
        <v>0.26400000000000001</v>
      </c>
      <c r="AF20" s="210">
        <f t="shared" si="12"/>
        <v>0.04</v>
      </c>
      <c r="AG20" s="210">
        <f t="shared" si="12"/>
        <v>1.4999999999999999E-2</v>
      </c>
      <c r="AH20" s="210">
        <f t="shared" si="12"/>
        <v>1.04</v>
      </c>
      <c r="AI20" s="210">
        <f t="shared" si="12"/>
        <v>0</v>
      </c>
      <c r="AJ20" s="210">
        <f t="shared" si="12"/>
        <v>0.04</v>
      </c>
      <c r="AK20" s="210">
        <f t="shared" si="12"/>
        <v>0.157</v>
      </c>
      <c r="AL20" s="210">
        <f t="shared" si="12"/>
        <v>0</v>
      </c>
      <c r="AM20" s="210">
        <f t="shared" si="12"/>
        <v>0.11799999999999999</v>
      </c>
      <c r="AN20" s="210">
        <f t="shared" si="12"/>
        <v>0.02</v>
      </c>
      <c r="AO20" s="210">
        <f t="shared" si="12"/>
        <v>6.0000000000000001E-3</v>
      </c>
      <c r="AP20" s="210">
        <f t="shared" si="12"/>
        <v>1.9E-2</v>
      </c>
      <c r="AQ20" s="210">
        <f t="shared" si="12"/>
        <v>2.4E-2</v>
      </c>
      <c r="AR20" s="210">
        <f t="shared" si="12"/>
        <v>2.4E-2</v>
      </c>
      <c r="AS20" s="210">
        <f t="shared" si="12"/>
        <v>7.6999999999999999E-2</v>
      </c>
      <c r="AT20" s="210">
        <f t="shared" si="12"/>
        <v>0.05</v>
      </c>
      <c r="AU20" s="210">
        <f t="shared" si="12"/>
        <v>0</v>
      </c>
      <c r="AV20" s="210">
        <f t="shared" si="12"/>
        <v>1.375</v>
      </c>
      <c r="AW20" s="210">
        <f t="shared" si="12"/>
        <v>0.20100000000000001</v>
      </c>
      <c r="AX20" s="210">
        <f t="shared" si="12"/>
        <v>0.317</v>
      </c>
      <c r="AY20" s="210">
        <f t="shared" si="12"/>
        <v>1.6910000000000001</v>
      </c>
      <c r="AZ20" s="210">
        <f t="shared" si="12"/>
        <v>0.51700000000000002</v>
      </c>
      <c r="BA20" s="210">
        <f t="shared" si="12"/>
        <v>0.81200000000000006</v>
      </c>
      <c r="BB20" s="210">
        <f t="shared" si="12"/>
        <v>1.8919999999999999</v>
      </c>
      <c r="BC20" s="210">
        <f t="shared" si="12"/>
        <v>0.53500000000000003</v>
      </c>
      <c r="BD20" s="209">
        <f>ROUND(AVERAGE((IF(BD18=-8888,0,BD18)),(IF(BD19=-8888,0,BD19))),2)</f>
        <v>0.75</v>
      </c>
      <c r="BE20" s="209">
        <f t="shared" ref="BE20:BJ20" si="13">ROUND(AVERAGE((IF(BE18=-8888,0,BE18)),(IF(BE19=-8888,0,BE19))),2)</f>
        <v>0.61</v>
      </c>
      <c r="BF20" s="209">
        <f t="shared" si="13"/>
        <v>0.39</v>
      </c>
      <c r="BG20" s="209">
        <f t="shared" si="13"/>
        <v>2.66</v>
      </c>
      <c r="BH20" s="209">
        <f t="shared" si="13"/>
        <v>0.11</v>
      </c>
      <c r="BI20" s="209">
        <f t="shared" si="13"/>
        <v>0.89</v>
      </c>
      <c r="BJ20" s="209">
        <f t="shared" si="13"/>
        <v>0.56999999999999995</v>
      </c>
      <c r="BK20" s="211"/>
      <c r="BL20" s="211"/>
    </row>
    <row r="21" spans="1:64">
      <c r="A21" s="214"/>
      <c r="B21" s="222"/>
      <c r="C21" s="222"/>
      <c r="D21" s="222"/>
      <c r="E21" s="222"/>
      <c r="F21" s="222"/>
      <c r="G21" s="222"/>
      <c r="H21" s="222"/>
      <c r="I21" s="222"/>
      <c r="J21" s="222"/>
      <c r="K21" s="222"/>
      <c r="L21" s="222"/>
      <c r="M21" s="222"/>
      <c r="N21" s="222"/>
      <c r="O21" s="222"/>
      <c r="P21" s="223"/>
      <c r="Q21" s="222"/>
      <c r="R21" s="222"/>
      <c r="S21" s="222"/>
      <c r="T21" s="222"/>
      <c r="U21" s="214" t="s">
        <v>1015</v>
      </c>
      <c r="V21" s="214">
        <f t="shared" ref="V21:BC21" si="14">ROUND(STDEV((IF(V18=-8888,0,V18)),(IF(V19=-8888,0,V19))),3)</f>
        <v>1E-3</v>
      </c>
      <c r="W21" s="214">
        <f t="shared" si="14"/>
        <v>1E-3</v>
      </c>
      <c r="X21" s="214">
        <f t="shared" si="14"/>
        <v>0</v>
      </c>
      <c r="Y21" s="214">
        <f t="shared" si="14"/>
        <v>1E-3</v>
      </c>
      <c r="Z21" s="214">
        <f t="shared" si="14"/>
        <v>0</v>
      </c>
      <c r="AA21" s="214">
        <f t="shared" si="14"/>
        <v>0</v>
      </c>
      <c r="AB21" s="214">
        <f t="shared" si="14"/>
        <v>0</v>
      </c>
      <c r="AC21" s="214">
        <f t="shared" si="14"/>
        <v>0</v>
      </c>
      <c r="AD21" s="214">
        <f t="shared" si="14"/>
        <v>1E-3</v>
      </c>
      <c r="AE21" s="214">
        <f t="shared" si="14"/>
        <v>0</v>
      </c>
      <c r="AF21" s="214">
        <f t="shared" si="14"/>
        <v>1E-3</v>
      </c>
      <c r="AG21" s="214">
        <f t="shared" si="14"/>
        <v>1E-3</v>
      </c>
      <c r="AH21" s="214">
        <f t="shared" si="14"/>
        <v>1E-3</v>
      </c>
      <c r="AI21" s="214">
        <f t="shared" si="14"/>
        <v>0</v>
      </c>
      <c r="AJ21" s="214">
        <f t="shared" si="14"/>
        <v>0</v>
      </c>
      <c r="AK21" s="214">
        <f t="shared" si="14"/>
        <v>1E-3</v>
      </c>
      <c r="AL21" s="214">
        <f t="shared" si="14"/>
        <v>0</v>
      </c>
      <c r="AM21" s="214">
        <f t="shared" si="14"/>
        <v>0</v>
      </c>
      <c r="AN21" s="214">
        <f t="shared" si="14"/>
        <v>0</v>
      </c>
      <c r="AO21" s="214">
        <f t="shared" si="14"/>
        <v>0</v>
      </c>
      <c r="AP21" s="214">
        <f t="shared" si="14"/>
        <v>1E-3</v>
      </c>
      <c r="AQ21" s="214">
        <f t="shared" si="14"/>
        <v>0</v>
      </c>
      <c r="AR21" s="214">
        <f t="shared" si="14"/>
        <v>0</v>
      </c>
      <c r="AS21" s="214">
        <f t="shared" si="14"/>
        <v>0</v>
      </c>
      <c r="AT21" s="214">
        <f t="shared" si="14"/>
        <v>0</v>
      </c>
      <c r="AU21" s="214">
        <f t="shared" si="14"/>
        <v>0</v>
      </c>
      <c r="AV21" s="214">
        <f t="shared" si="14"/>
        <v>1E-3</v>
      </c>
      <c r="AW21" s="214">
        <f t="shared" si="14"/>
        <v>1E-3</v>
      </c>
      <c r="AX21" s="214">
        <f t="shared" si="14"/>
        <v>1E-3</v>
      </c>
      <c r="AY21" s="214">
        <f t="shared" si="14"/>
        <v>0</v>
      </c>
      <c r="AZ21" s="214">
        <f t="shared" si="14"/>
        <v>1E-3</v>
      </c>
      <c r="BA21" s="214">
        <f t="shared" si="14"/>
        <v>2E-3</v>
      </c>
      <c r="BB21" s="214">
        <f t="shared" si="14"/>
        <v>1E-3</v>
      </c>
      <c r="BC21" s="214">
        <f t="shared" si="14"/>
        <v>1E-3</v>
      </c>
      <c r="BD21" s="213">
        <f>ROUND(STDEV((IF(BD18=-8888,0,BD18)),(IF(BD19=-8888,0,BD19))),2)</f>
        <v>0</v>
      </c>
      <c r="BE21" s="213">
        <f t="shared" ref="BE21:BJ21" si="15">ROUND(STDEV((IF(BE18=-8888,0,BE18)),(IF(BE19=-8888,0,BE19))),2)</f>
        <v>0</v>
      </c>
      <c r="BF21" s="213">
        <f t="shared" si="15"/>
        <v>0</v>
      </c>
      <c r="BG21" s="213">
        <f t="shared" si="15"/>
        <v>0.01</v>
      </c>
      <c r="BH21" s="213">
        <f t="shared" si="15"/>
        <v>0</v>
      </c>
      <c r="BI21" s="213">
        <f t="shared" si="15"/>
        <v>0</v>
      </c>
      <c r="BJ21" s="213">
        <f t="shared" si="15"/>
        <v>0</v>
      </c>
      <c r="BK21" s="215"/>
      <c r="BL21" s="215"/>
    </row>
    <row r="22" spans="1:64">
      <c r="A22" s="216"/>
      <c r="B22" s="224"/>
      <c r="C22" s="224"/>
      <c r="D22" s="224"/>
      <c r="E22" s="224"/>
      <c r="F22" s="224"/>
      <c r="G22" s="224"/>
      <c r="H22" s="224"/>
      <c r="I22" s="224"/>
      <c r="J22" s="224"/>
      <c r="K22" s="224"/>
      <c r="L22" s="224"/>
      <c r="M22" s="224"/>
      <c r="N22" s="224"/>
      <c r="O22" s="224"/>
      <c r="P22" s="225"/>
      <c r="Q22" s="224"/>
      <c r="R22" s="224"/>
      <c r="S22" s="224"/>
      <c r="T22" s="224"/>
      <c r="U22" s="217" t="s">
        <v>148</v>
      </c>
      <c r="V22" s="218">
        <f>IF((V20=0),"N/A",ROUND((V21/V20),4))</f>
        <v>8.9999999999999998E-4</v>
      </c>
      <c r="W22" s="218">
        <f>IF((W20=0),"N/A",ROUND((W21/W20),4))</f>
        <v>6.4000000000000003E-3</v>
      </c>
      <c r="X22" s="218">
        <f>IF((X20=0),"N/A",ROUND((X21/X20),4))</f>
        <v>0</v>
      </c>
      <c r="Y22" s="218">
        <f t="shared" ref="Y22:AI22" si="16">IF((Y20=0),"N/A",ROUND((Y21/Y20),4))</f>
        <v>1.6400000000000001E-2</v>
      </c>
      <c r="Z22" s="218" t="str">
        <f t="shared" si="16"/>
        <v>N/A</v>
      </c>
      <c r="AA22" s="218">
        <f t="shared" si="16"/>
        <v>0</v>
      </c>
      <c r="AB22" s="218">
        <f t="shared" si="16"/>
        <v>0</v>
      </c>
      <c r="AC22" s="218">
        <f t="shared" si="16"/>
        <v>0</v>
      </c>
      <c r="AD22" s="218">
        <f t="shared" si="16"/>
        <v>0.1111</v>
      </c>
      <c r="AE22" s="218">
        <f t="shared" si="16"/>
        <v>0</v>
      </c>
      <c r="AF22" s="218">
        <f t="shared" si="16"/>
        <v>2.5000000000000001E-2</v>
      </c>
      <c r="AG22" s="218">
        <f t="shared" si="16"/>
        <v>6.6699999999999995E-2</v>
      </c>
      <c r="AH22" s="218">
        <f t="shared" si="16"/>
        <v>1E-3</v>
      </c>
      <c r="AI22" s="218" t="str">
        <f t="shared" si="16"/>
        <v>N/A</v>
      </c>
      <c r="AJ22" s="218">
        <f>IF((AJ20=0),"N/A",ROUND((AJ21/AJ20),4))</f>
        <v>0</v>
      </c>
      <c r="AK22" s="218">
        <f t="shared" ref="AK22:BI22" si="17">IF((AK20=0),"N/A",ROUND((AK21/AK20),4))</f>
        <v>6.4000000000000003E-3</v>
      </c>
      <c r="AL22" s="218" t="str">
        <f t="shared" si="17"/>
        <v>N/A</v>
      </c>
      <c r="AM22" s="218">
        <f t="shared" si="17"/>
        <v>0</v>
      </c>
      <c r="AN22" s="218">
        <f t="shared" si="17"/>
        <v>0</v>
      </c>
      <c r="AO22" s="218">
        <f t="shared" si="17"/>
        <v>0</v>
      </c>
      <c r="AP22" s="218">
        <f t="shared" si="17"/>
        <v>5.2600000000000001E-2</v>
      </c>
      <c r="AQ22" s="218">
        <f t="shared" si="17"/>
        <v>0</v>
      </c>
      <c r="AR22" s="218">
        <f t="shared" si="17"/>
        <v>0</v>
      </c>
      <c r="AS22" s="218">
        <f t="shared" si="17"/>
        <v>0</v>
      </c>
      <c r="AT22" s="218">
        <f t="shared" si="17"/>
        <v>0</v>
      </c>
      <c r="AU22" s="218" t="str">
        <f t="shared" si="17"/>
        <v>N/A</v>
      </c>
      <c r="AV22" s="218">
        <f t="shared" si="17"/>
        <v>6.9999999999999999E-4</v>
      </c>
      <c r="AW22" s="218">
        <f t="shared" si="17"/>
        <v>5.0000000000000001E-3</v>
      </c>
      <c r="AX22" s="218">
        <f t="shared" si="17"/>
        <v>3.2000000000000002E-3</v>
      </c>
      <c r="AY22" s="218">
        <f t="shared" si="17"/>
        <v>0</v>
      </c>
      <c r="AZ22" s="218">
        <f t="shared" si="17"/>
        <v>1.9E-3</v>
      </c>
      <c r="BA22" s="218">
        <f t="shared" si="17"/>
        <v>2.5000000000000001E-3</v>
      </c>
      <c r="BB22" s="218">
        <f t="shared" si="17"/>
        <v>5.0000000000000001E-4</v>
      </c>
      <c r="BC22" s="218">
        <f t="shared" si="17"/>
        <v>1.9E-3</v>
      </c>
      <c r="BD22" s="218">
        <f t="shared" si="17"/>
        <v>0</v>
      </c>
      <c r="BE22" s="218">
        <f t="shared" si="17"/>
        <v>0</v>
      </c>
      <c r="BF22" s="218">
        <f t="shared" si="17"/>
        <v>0</v>
      </c>
      <c r="BG22" s="218">
        <f t="shared" si="17"/>
        <v>3.8E-3</v>
      </c>
      <c r="BH22" s="218">
        <f t="shared" si="17"/>
        <v>0</v>
      </c>
      <c r="BI22" s="218">
        <f t="shared" si="17"/>
        <v>0</v>
      </c>
      <c r="BJ22" s="218">
        <f>IF((BJ20=0),"N/A",ROUND((BJ21/BJ20),4))</f>
        <v>0</v>
      </c>
      <c r="BK22" s="219">
        <f>V22</f>
        <v>8.9999999999999998E-4</v>
      </c>
      <c r="BL22" s="219">
        <f>AVERAGE(V22:AG22)</f>
        <v>2.059090909090909E-2</v>
      </c>
    </row>
    <row r="23" spans="1:64">
      <c r="A23" s="204" t="s">
        <v>363</v>
      </c>
      <c r="B23" s="165" t="s">
        <v>511</v>
      </c>
      <c r="C23" s="165" t="s">
        <v>696</v>
      </c>
      <c r="D23" s="165" t="s">
        <v>647</v>
      </c>
      <c r="E23" s="165" t="s">
        <v>170</v>
      </c>
      <c r="F23" s="165">
        <v>1055</v>
      </c>
      <c r="G23" s="165">
        <v>16</v>
      </c>
      <c r="H23" s="165">
        <v>19</v>
      </c>
      <c r="I23" s="165">
        <v>4.2</v>
      </c>
      <c r="J23" s="165">
        <v>122</v>
      </c>
      <c r="K23" s="166" t="s">
        <v>514</v>
      </c>
      <c r="L23" s="165">
        <v>2024</v>
      </c>
      <c r="M23" s="165" t="s">
        <v>648</v>
      </c>
      <c r="N23" s="165">
        <v>9</v>
      </c>
      <c r="O23" s="181">
        <v>253</v>
      </c>
      <c r="P23" s="165" t="s">
        <v>697</v>
      </c>
      <c r="Q23" s="165">
        <v>-70.888000000000005</v>
      </c>
      <c r="R23" s="165">
        <v>40.244999999999997</v>
      </c>
      <c r="S23" s="165" t="s">
        <v>172</v>
      </c>
      <c r="T23" s="165">
        <v>25</v>
      </c>
      <c r="U23" s="166" t="s">
        <v>516</v>
      </c>
      <c r="V23" s="205">
        <v>0.36000000000000004</v>
      </c>
      <c r="W23" s="205">
        <v>5.2000000000000005E-2</v>
      </c>
      <c r="X23" s="205">
        <v>5.5999999999999994E-2</v>
      </c>
      <c r="Y23" s="205">
        <v>3.2000000000000001E-2</v>
      </c>
      <c r="Z23" s="205">
        <v>1.4E-2</v>
      </c>
      <c r="AA23" s="205">
        <v>0.03</v>
      </c>
      <c r="AB23" s="205">
        <v>5.0000000000000001E-3</v>
      </c>
      <c r="AC23" s="205">
        <v>2.7E-2</v>
      </c>
      <c r="AD23" s="205">
        <v>4.0000000000000001E-3</v>
      </c>
      <c r="AE23" s="205">
        <v>0.05</v>
      </c>
      <c r="AF23" s="205">
        <v>2.7E-2</v>
      </c>
      <c r="AG23" s="205">
        <v>0.108</v>
      </c>
      <c r="AH23" s="205">
        <v>0.314</v>
      </c>
      <c r="AI23" s="205">
        <v>2.9000000000000001E-2</v>
      </c>
      <c r="AJ23" s="205">
        <v>1.7000000000000001E-2</v>
      </c>
      <c r="AK23" s="205">
        <v>4.9000000000000002E-2</v>
      </c>
      <c r="AL23" s="205">
        <v>3.0000000000000001E-3</v>
      </c>
      <c r="AM23" s="205">
        <v>3.5999999999999997E-2</v>
      </c>
      <c r="AN23" s="205">
        <v>0.02</v>
      </c>
      <c r="AO23" s="205">
        <v>3.0000000000000001E-3</v>
      </c>
      <c r="AP23" s="205">
        <v>6.0000000000000001E-3</v>
      </c>
      <c r="AQ23" s="205">
        <v>8.9999999999999993E-3</v>
      </c>
      <c r="AR23" s="205">
        <v>3.0000000000000001E-3</v>
      </c>
      <c r="AS23" s="205">
        <v>5.0000000000000001E-3</v>
      </c>
      <c r="AT23" s="205">
        <v>1.6E-2</v>
      </c>
      <c r="AU23" s="205">
        <v>-8888</v>
      </c>
      <c r="AV23" s="205">
        <v>0.46800000000000003</v>
      </c>
      <c r="AW23" s="205">
        <v>0.17600000000000002</v>
      </c>
      <c r="AX23" s="205">
        <v>0.121</v>
      </c>
      <c r="AY23" s="205">
        <v>0.58899999999999997</v>
      </c>
      <c r="AZ23" s="205">
        <v>0.29700000000000004</v>
      </c>
      <c r="BA23" s="205">
        <v>0.40500000000000003</v>
      </c>
      <c r="BB23" s="205">
        <v>0.76500000000000012</v>
      </c>
      <c r="BC23" s="205">
        <v>0.28600000000000003</v>
      </c>
      <c r="BD23" s="206">
        <v>1.1299999999999999</v>
      </c>
      <c r="BE23" s="206">
        <v>0.41</v>
      </c>
      <c r="BF23" s="206">
        <v>0.59</v>
      </c>
      <c r="BG23" s="206">
        <v>1.58</v>
      </c>
      <c r="BH23" s="206">
        <v>0.23</v>
      </c>
      <c r="BI23" s="206">
        <v>0.77</v>
      </c>
      <c r="BJ23" s="206">
        <v>0.47</v>
      </c>
      <c r="BK23" s="207"/>
      <c r="BL23" s="207"/>
    </row>
    <row r="24" spans="1:64">
      <c r="A24" s="204" t="s">
        <v>364</v>
      </c>
      <c r="B24" s="165" t="s">
        <v>511</v>
      </c>
      <c r="C24" s="165" t="s">
        <v>696</v>
      </c>
      <c r="D24" s="165" t="s">
        <v>647</v>
      </c>
      <c r="E24" s="165" t="s">
        <v>170</v>
      </c>
      <c r="F24" s="165">
        <v>1055</v>
      </c>
      <c r="G24" s="165">
        <v>16</v>
      </c>
      <c r="H24" s="165">
        <v>19</v>
      </c>
      <c r="I24" s="165">
        <v>4.2</v>
      </c>
      <c r="J24" s="165">
        <v>122</v>
      </c>
      <c r="K24" s="166" t="s">
        <v>514</v>
      </c>
      <c r="L24" s="165">
        <v>2024</v>
      </c>
      <c r="M24" s="165" t="s">
        <v>648</v>
      </c>
      <c r="N24" s="165">
        <v>9</v>
      </c>
      <c r="O24" s="181">
        <v>253</v>
      </c>
      <c r="P24" s="165" t="s">
        <v>697</v>
      </c>
      <c r="Q24" s="165">
        <v>-70.888000000000005</v>
      </c>
      <c r="R24" s="165">
        <v>40.244999999999997</v>
      </c>
      <c r="S24" s="165" t="s">
        <v>172</v>
      </c>
      <c r="T24" s="165">
        <v>25</v>
      </c>
      <c r="U24" s="166" t="s">
        <v>516</v>
      </c>
      <c r="V24" s="205">
        <v>0.35600000000000004</v>
      </c>
      <c r="W24" s="205">
        <v>4.8000000000000001E-2</v>
      </c>
      <c r="X24" s="205">
        <v>5.4000000000000006E-2</v>
      </c>
      <c r="Y24" s="205">
        <v>3.2000000000000001E-2</v>
      </c>
      <c r="Z24" s="205">
        <v>1.4E-2</v>
      </c>
      <c r="AA24" s="205">
        <v>0.03</v>
      </c>
      <c r="AB24" s="205">
        <v>5.0000000000000001E-3</v>
      </c>
      <c r="AC24" s="205">
        <v>2.7E-2</v>
      </c>
      <c r="AD24" s="205">
        <v>4.0000000000000001E-3</v>
      </c>
      <c r="AE24" s="205">
        <v>0.05</v>
      </c>
      <c r="AF24" s="205">
        <v>2.5999999999999999E-2</v>
      </c>
      <c r="AG24" s="205">
        <v>0.108</v>
      </c>
      <c r="AH24" s="205">
        <v>0.312</v>
      </c>
      <c r="AI24" s="205">
        <v>2.8000000000000001E-2</v>
      </c>
      <c r="AJ24" s="205">
        <v>1.6E-2</v>
      </c>
      <c r="AK24" s="205">
        <v>4.4999999999999998E-2</v>
      </c>
      <c r="AL24" s="205">
        <v>3.0000000000000001E-3</v>
      </c>
      <c r="AM24" s="205">
        <v>3.5000000000000003E-2</v>
      </c>
      <c r="AN24" s="205">
        <v>1.9E-2</v>
      </c>
      <c r="AO24" s="205">
        <v>3.0000000000000001E-3</v>
      </c>
      <c r="AP24" s="205">
        <v>6.0000000000000001E-3</v>
      </c>
      <c r="AQ24" s="205">
        <v>8.9999999999999993E-3</v>
      </c>
      <c r="AR24" s="205">
        <v>3.0000000000000001E-3</v>
      </c>
      <c r="AS24" s="205">
        <v>5.0000000000000001E-3</v>
      </c>
      <c r="AT24" s="205">
        <v>1.7000000000000001E-2</v>
      </c>
      <c r="AU24" s="205">
        <v>-8888</v>
      </c>
      <c r="AV24" s="205">
        <v>0.45800000000000002</v>
      </c>
      <c r="AW24" s="205">
        <v>0.17600000000000002</v>
      </c>
      <c r="AX24" s="205">
        <v>0.12</v>
      </c>
      <c r="AY24" s="205">
        <v>0.57800000000000007</v>
      </c>
      <c r="AZ24" s="205">
        <v>0.29600000000000004</v>
      </c>
      <c r="BA24" s="205">
        <v>0.39800000000000002</v>
      </c>
      <c r="BB24" s="205">
        <v>0.754</v>
      </c>
      <c r="BC24" s="205">
        <v>0.28100000000000003</v>
      </c>
      <c r="BD24" s="206">
        <v>1.1200000000000001</v>
      </c>
      <c r="BE24" s="206">
        <v>0.41</v>
      </c>
      <c r="BF24" s="206">
        <v>0.59</v>
      </c>
      <c r="BG24" s="206">
        <v>1.55</v>
      </c>
      <c r="BH24" s="206">
        <v>0.23</v>
      </c>
      <c r="BI24" s="206">
        <v>0.77</v>
      </c>
      <c r="BJ24" s="206">
        <v>0.47</v>
      </c>
      <c r="BK24" s="207"/>
      <c r="BL24" s="207"/>
    </row>
    <row r="25" spans="1:64">
      <c r="A25" s="210"/>
      <c r="B25" s="220"/>
      <c r="C25" s="220"/>
      <c r="D25" s="220"/>
      <c r="E25" s="220"/>
      <c r="F25" s="220"/>
      <c r="G25" s="220"/>
      <c r="H25" s="220"/>
      <c r="I25" s="220"/>
      <c r="J25" s="220"/>
      <c r="K25" s="220"/>
      <c r="L25" s="220"/>
      <c r="M25" s="220"/>
      <c r="N25" s="220"/>
      <c r="O25" s="220"/>
      <c r="P25" s="221"/>
      <c r="Q25" s="220"/>
      <c r="R25" s="220"/>
      <c r="S25" s="220"/>
      <c r="T25" s="220"/>
      <c r="U25" s="210" t="s">
        <v>22</v>
      </c>
      <c r="V25" s="210">
        <f t="shared" ref="V25:BC25" si="18">ROUND(AVERAGE((IF(V23=-8888,0,V23)),(IF(V24=-8888,0,V24))),3)</f>
        <v>0.35799999999999998</v>
      </c>
      <c r="W25" s="210">
        <f t="shared" si="18"/>
        <v>0.05</v>
      </c>
      <c r="X25" s="210">
        <f t="shared" si="18"/>
        <v>5.5E-2</v>
      </c>
      <c r="Y25" s="210">
        <f t="shared" si="18"/>
        <v>3.2000000000000001E-2</v>
      </c>
      <c r="Z25" s="210">
        <f t="shared" si="18"/>
        <v>1.4E-2</v>
      </c>
      <c r="AA25" s="210">
        <f t="shared" si="18"/>
        <v>0.03</v>
      </c>
      <c r="AB25" s="210">
        <f t="shared" si="18"/>
        <v>5.0000000000000001E-3</v>
      </c>
      <c r="AC25" s="210">
        <f t="shared" si="18"/>
        <v>2.7E-2</v>
      </c>
      <c r="AD25" s="210">
        <f t="shared" si="18"/>
        <v>4.0000000000000001E-3</v>
      </c>
      <c r="AE25" s="210">
        <f t="shared" si="18"/>
        <v>0.05</v>
      </c>
      <c r="AF25" s="210">
        <f t="shared" si="18"/>
        <v>2.7E-2</v>
      </c>
      <c r="AG25" s="210">
        <f t="shared" si="18"/>
        <v>0.108</v>
      </c>
      <c r="AH25" s="210">
        <f t="shared" si="18"/>
        <v>0.313</v>
      </c>
      <c r="AI25" s="210">
        <f t="shared" si="18"/>
        <v>2.9000000000000001E-2</v>
      </c>
      <c r="AJ25" s="210">
        <f t="shared" si="18"/>
        <v>1.7000000000000001E-2</v>
      </c>
      <c r="AK25" s="210">
        <f t="shared" si="18"/>
        <v>4.7E-2</v>
      </c>
      <c r="AL25" s="210">
        <f t="shared" si="18"/>
        <v>3.0000000000000001E-3</v>
      </c>
      <c r="AM25" s="210">
        <f t="shared" si="18"/>
        <v>3.5999999999999997E-2</v>
      </c>
      <c r="AN25" s="210">
        <f t="shared" si="18"/>
        <v>0.02</v>
      </c>
      <c r="AO25" s="210">
        <f t="shared" si="18"/>
        <v>3.0000000000000001E-3</v>
      </c>
      <c r="AP25" s="210">
        <f t="shared" si="18"/>
        <v>6.0000000000000001E-3</v>
      </c>
      <c r="AQ25" s="210">
        <f t="shared" si="18"/>
        <v>8.9999999999999993E-3</v>
      </c>
      <c r="AR25" s="210">
        <f t="shared" si="18"/>
        <v>3.0000000000000001E-3</v>
      </c>
      <c r="AS25" s="210">
        <f t="shared" si="18"/>
        <v>5.0000000000000001E-3</v>
      </c>
      <c r="AT25" s="210">
        <f t="shared" si="18"/>
        <v>1.7000000000000001E-2</v>
      </c>
      <c r="AU25" s="210">
        <f t="shared" si="18"/>
        <v>0</v>
      </c>
      <c r="AV25" s="210">
        <f t="shared" si="18"/>
        <v>0.46300000000000002</v>
      </c>
      <c r="AW25" s="210">
        <f t="shared" si="18"/>
        <v>0.17599999999999999</v>
      </c>
      <c r="AX25" s="210">
        <f t="shared" si="18"/>
        <v>0.121</v>
      </c>
      <c r="AY25" s="210">
        <f t="shared" si="18"/>
        <v>0.58399999999999996</v>
      </c>
      <c r="AZ25" s="210">
        <f t="shared" si="18"/>
        <v>0.29699999999999999</v>
      </c>
      <c r="BA25" s="210">
        <f t="shared" si="18"/>
        <v>0.40200000000000002</v>
      </c>
      <c r="BB25" s="210">
        <f t="shared" si="18"/>
        <v>0.76</v>
      </c>
      <c r="BC25" s="210">
        <f t="shared" si="18"/>
        <v>0.28399999999999997</v>
      </c>
      <c r="BD25" s="209">
        <f>ROUND(AVERAGE((IF(BD23=-8888,0,BD23)),(IF(BD24=-8888,0,BD24))),2)</f>
        <v>1.1299999999999999</v>
      </c>
      <c r="BE25" s="209">
        <f t="shared" ref="BE25:BJ25" si="19">ROUND(AVERAGE((IF(BE23=-8888,0,BE23)),(IF(BE24=-8888,0,BE24))),2)</f>
        <v>0.41</v>
      </c>
      <c r="BF25" s="209">
        <f t="shared" si="19"/>
        <v>0.59</v>
      </c>
      <c r="BG25" s="209">
        <f t="shared" si="19"/>
        <v>1.57</v>
      </c>
      <c r="BH25" s="209">
        <f t="shared" si="19"/>
        <v>0.23</v>
      </c>
      <c r="BI25" s="209">
        <f t="shared" si="19"/>
        <v>0.77</v>
      </c>
      <c r="BJ25" s="209">
        <f t="shared" si="19"/>
        <v>0.47</v>
      </c>
      <c r="BK25" s="211"/>
      <c r="BL25" s="211"/>
    </row>
    <row r="26" spans="1:64">
      <c r="A26" s="214"/>
      <c r="B26" s="222"/>
      <c r="C26" s="222"/>
      <c r="D26" s="222"/>
      <c r="E26" s="222"/>
      <c r="F26" s="222"/>
      <c r="G26" s="222"/>
      <c r="H26" s="222"/>
      <c r="I26" s="222"/>
      <c r="J26" s="222"/>
      <c r="K26" s="222"/>
      <c r="L26" s="222"/>
      <c r="M26" s="222"/>
      <c r="N26" s="222"/>
      <c r="O26" s="222"/>
      <c r="P26" s="223"/>
      <c r="Q26" s="222"/>
      <c r="R26" s="222"/>
      <c r="S26" s="222"/>
      <c r="T26" s="222"/>
      <c r="U26" s="214" t="s">
        <v>1015</v>
      </c>
      <c r="V26" s="214">
        <f t="shared" ref="V26:BC26" si="20">ROUND(STDEV((IF(V23=-8888,0,V23)),(IF(V24=-8888,0,V24))),3)</f>
        <v>3.0000000000000001E-3</v>
      </c>
      <c r="W26" s="214">
        <f t="shared" si="20"/>
        <v>3.0000000000000001E-3</v>
      </c>
      <c r="X26" s="214">
        <f t="shared" si="20"/>
        <v>1E-3</v>
      </c>
      <c r="Y26" s="214">
        <f t="shared" si="20"/>
        <v>0</v>
      </c>
      <c r="Z26" s="214">
        <f t="shared" si="20"/>
        <v>0</v>
      </c>
      <c r="AA26" s="214">
        <f t="shared" si="20"/>
        <v>0</v>
      </c>
      <c r="AB26" s="214">
        <f t="shared" si="20"/>
        <v>0</v>
      </c>
      <c r="AC26" s="214">
        <f t="shared" si="20"/>
        <v>0</v>
      </c>
      <c r="AD26" s="214">
        <f t="shared" si="20"/>
        <v>0</v>
      </c>
      <c r="AE26" s="214">
        <f t="shared" si="20"/>
        <v>0</v>
      </c>
      <c r="AF26" s="214">
        <f t="shared" si="20"/>
        <v>1E-3</v>
      </c>
      <c r="AG26" s="214">
        <f t="shared" si="20"/>
        <v>0</v>
      </c>
      <c r="AH26" s="214">
        <f t="shared" si="20"/>
        <v>1E-3</v>
      </c>
      <c r="AI26" s="214">
        <f t="shared" si="20"/>
        <v>1E-3</v>
      </c>
      <c r="AJ26" s="214">
        <f t="shared" si="20"/>
        <v>1E-3</v>
      </c>
      <c r="AK26" s="214">
        <f t="shared" si="20"/>
        <v>3.0000000000000001E-3</v>
      </c>
      <c r="AL26" s="214">
        <f t="shared" si="20"/>
        <v>0</v>
      </c>
      <c r="AM26" s="214">
        <f t="shared" si="20"/>
        <v>1E-3</v>
      </c>
      <c r="AN26" s="214">
        <f t="shared" si="20"/>
        <v>1E-3</v>
      </c>
      <c r="AO26" s="214">
        <f t="shared" si="20"/>
        <v>0</v>
      </c>
      <c r="AP26" s="214">
        <f t="shared" si="20"/>
        <v>0</v>
      </c>
      <c r="AQ26" s="214">
        <f t="shared" si="20"/>
        <v>0</v>
      </c>
      <c r="AR26" s="214">
        <f t="shared" si="20"/>
        <v>0</v>
      </c>
      <c r="AS26" s="214">
        <f t="shared" si="20"/>
        <v>0</v>
      </c>
      <c r="AT26" s="214">
        <f t="shared" si="20"/>
        <v>1E-3</v>
      </c>
      <c r="AU26" s="214">
        <f t="shared" si="20"/>
        <v>0</v>
      </c>
      <c r="AV26" s="214">
        <f t="shared" si="20"/>
        <v>7.0000000000000001E-3</v>
      </c>
      <c r="AW26" s="214">
        <f t="shared" si="20"/>
        <v>0</v>
      </c>
      <c r="AX26" s="214">
        <f t="shared" si="20"/>
        <v>1E-3</v>
      </c>
      <c r="AY26" s="214">
        <f t="shared" si="20"/>
        <v>8.0000000000000002E-3</v>
      </c>
      <c r="AZ26" s="214">
        <f t="shared" si="20"/>
        <v>1E-3</v>
      </c>
      <c r="BA26" s="214">
        <f t="shared" si="20"/>
        <v>5.0000000000000001E-3</v>
      </c>
      <c r="BB26" s="214">
        <f t="shared" si="20"/>
        <v>8.0000000000000002E-3</v>
      </c>
      <c r="BC26" s="214">
        <f t="shared" si="20"/>
        <v>4.0000000000000001E-3</v>
      </c>
      <c r="BD26" s="213">
        <f>ROUND(STDEV((IF(BD23=-8888,0,BD23)),(IF(BD24=-8888,0,BD24))),2)</f>
        <v>0.01</v>
      </c>
      <c r="BE26" s="213">
        <f t="shared" ref="BE26:BJ26" si="21">ROUND(STDEV((IF(BE23=-8888,0,BE23)),(IF(BE24=-8888,0,BE24))),2)</f>
        <v>0</v>
      </c>
      <c r="BF26" s="213">
        <f t="shared" si="21"/>
        <v>0</v>
      </c>
      <c r="BG26" s="213">
        <f t="shared" si="21"/>
        <v>0.02</v>
      </c>
      <c r="BH26" s="213">
        <f t="shared" si="21"/>
        <v>0</v>
      </c>
      <c r="BI26" s="213">
        <f t="shared" si="21"/>
        <v>0</v>
      </c>
      <c r="BJ26" s="213">
        <f t="shared" si="21"/>
        <v>0</v>
      </c>
      <c r="BK26" s="215"/>
      <c r="BL26" s="215"/>
    </row>
    <row r="27" spans="1:64">
      <c r="A27" s="216"/>
      <c r="B27" s="224"/>
      <c r="C27" s="224"/>
      <c r="D27" s="224"/>
      <c r="E27" s="224"/>
      <c r="F27" s="224"/>
      <c r="G27" s="224"/>
      <c r="H27" s="224"/>
      <c r="I27" s="224"/>
      <c r="J27" s="224"/>
      <c r="K27" s="224"/>
      <c r="L27" s="224"/>
      <c r="M27" s="224"/>
      <c r="N27" s="224"/>
      <c r="O27" s="224"/>
      <c r="P27" s="225"/>
      <c r="Q27" s="224"/>
      <c r="R27" s="224"/>
      <c r="S27" s="224"/>
      <c r="T27" s="224"/>
      <c r="U27" s="217" t="s">
        <v>148</v>
      </c>
      <c r="V27" s="218">
        <f>IF((V25=0),"N/A",ROUND((V26/V25),4))</f>
        <v>8.3999999999999995E-3</v>
      </c>
      <c r="W27" s="218">
        <f>IF((W25=0),"N/A",ROUND((W26/W25),4))</f>
        <v>0.06</v>
      </c>
      <c r="X27" s="218">
        <f>IF((X25=0),"N/A",ROUND((X26/X25),4))</f>
        <v>1.8200000000000001E-2</v>
      </c>
      <c r="Y27" s="218">
        <f t="shared" ref="Y27:AI27" si="22">IF((Y25=0),"N/A",ROUND((Y26/Y25),4))</f>
        <v>0</v>
      </c>
      <c r="Z27" s="218">
        <f t="shared" si="22"/>
        <v>0</v>
      </c>
      <c r="AA27" s="218">
        <f t="shared" si="22"/>
        <v>0</v>
      </c>
      <c r="AB27" s="218">
        <f t="shared" si="22"/>
        <v>0</v>
      </c>
      <c r="AC27" s="218">
        <f t="shared" si="22"/>
        <v>0</v>
      </c>
      <c r="AD27" s="218">
        <f t="shared" si="22"/>
        <v>0</v>
      </c>
      <c r="AE27" s="218">
        <f t="shared" si="22"/>
        <v>0</v>
      </c>
      <c r="AF27" s="218">
        <f t="shared" si="22"/>
        <v>3.6999999999999998E-2</v>
      </c>
      <c r="AG27" s="218">
        <f t="shared" si="22"/>
        <v>0</v>
      </c>
      <c r="AH27" s="218">
        <f t="shared" si="22"/>
        <v>3.2000000000000002E-3</v>
      </c>
      <c r="AI27" s="218">
        <f t="shared" si="22"/>
        <v>3.4500000000000003E-2</v>
      </c>
      <c r="AJ27" s="218">
        <f>IF((AJ25=0),"N/A",ROUND((AJ26/AJ25),4))</f>
        <v>5.8799999999999998E-2</v>
      </c>
      <c r="AK27" s="218">
        <f t="shared" ref="AK27:BI27" si="23">IF((AK25=0),"N/A",ROUND((AK26/AK25),4))</f>
        <v>6.3799999999999996E-2</v>
      </c>
      <c r="AL27" s="218">
        <f t="shared" si="23"/>
        <v>0</v>
      </c>
      <c r="AM27" s="218">
        <f t="shared" si="23"/>
        <v>2.7799999999999998E-2</v>
      </c>
      <c r="AN27" s="218">
        <f t="shared" si="23"/>
        <v>0.05</v>
      </c>
      <c r="AO27" s="218">
        <f t="shared" si="23"/>
        <v>0</v>
      </c>
      <c r="AP27" s="218">
        <f t="shared" si="23"/>
        <v>0</v>
      </c>
      <c r="AQ27" s="218">
        <f t="shared" si="23"/>
        <v>0</v>
      </c>
      <c r="AR27" s="218">
        <f t="shared" si="23"/>
        <v>0</v>
      </c>
      <c r="AS27" s="218">
        <f t="shared" si="23"/>
        <v>0</v>
      </c>
      <c r="AT27" s="218">
        <f t="shared" si="23"/>
        <v>5.8799999999999998E-2</v>
      </c>
      <c r="AU27" s="218" t="str">
        <f t="shared" si="23"/>
        <v>N/A</v>
      </c>
      <c r="AV27" s="218">
        <f t="shared" si="23"/>
        <v>1.5100000000000001E-2</v>
      </c>
      <c r="AW27" s="218">
        <f t="shared" si="23"/>
        <v>0</v>
      </c>
      <c r="AX27" s="218">
        <f t="shared" si="23"/>
        <v>8.3000000000000001E-3</v>
      </c>
      <c r="AY27" s="218">
        <f t="shared" si="23"/>
        <v>1.37E-2</v>
      </c>
      <c r="AZ27" s="218">
        <f t="shared" si="23"/>
        <v>3.3999999999999998E-3</v>
      </c>
      <c r="BA27" s="218">
        <f t="shared" si="23"/>
        <v>1.24E-2</v>
      </c>
      <c r="BB27" s="218">
        <f t="shared" si="23"/>
        <v>1.0500000000000001E-2</v>
      </c>
      <c r="BC27" s="218">
        <f t="shared" si="23"/>
        <v>1.41E-2</v>
      </c>
      <c r="BD27" s="218">
        <f t="shared" si="23"/>
        <v>8.8000000000000005E-3</v>
      </c>
      <c r="BE27" s="218">
        <f t="shared" si="23"/>
        <v>0</v>
      </c>
      <c r="BF27" s="218">
        <f t="shared" si="23"/>
        <v>0</v>
      </c>
      <c r="BG27" s="218">
        <f t="shared" si="23"/>
        <v>1.2699999999999999E-2</v>
      </c>
      <c r="BH27" s="218">
        <f t="shared" si="23"/>
        <v>0</v>
      </c>
      <c r="BI27" s="218">
        <f t="shared" si="23"/>
        <v>0</v>
      </c>
      <c r="BJ27" s="218">
        <f>IF((BJ25=0),"N/A",ROUND((BJ26/BJ25),4))</f>
        <v>0</v>
      </c>
      <c r="BK27" s="219">
        <f>V27</f>
        <v>8.3999999999999995E-3</v>
      </c>
      <c r="BL27" s="219">
        <f>AVERAGE(V27:AG27)</f>
        <v>1.0300000000000002E-2</v>
      </c>
    </row>
    <row r="28" spans="1:64">
      <c r="A28" s="204" t="s">
        <v>391</v>
      </c>
      <c r="B28" s="169" t="s">
        <v>511</v>
      </c>
      <c r="C28" s="169" t="s">
        <v>762</v>
      </c>
      <c r="D28" s="169" t="s">
        <v>712</v>
      </c>
      <c r="E28" s="169" t="s">
        <v>173</v>
      </c>
      <c r="F28" s="169">
        <v>548</v>
      </c>
      <c r="G28" s="169">
        <v>15</v>
      </c>
      <c r="H28" s="169">
        <v>18</v>
      </c>
      <c r="I28" s="165">
        <v>3.8</v>
      </c>
      <c r="J28" s="165">
        <v>122</v>
      </c>
      <c r="K28" s="166" t="s">
        <v>514</v>
      </c>
      <c r="L28" s="165">
        <v>2024</v>
      </c>
      <c r="M28" s="165" t="s">
        <v>713</v>
      </c>
      <c r="N28" s="165">
        <v>10</v>
      </c>
      <c r="O28" s="181">
        <v>315</v>
      </c>
      <c r="P28" s="165" t="s">
        <v>761</v>
      </c>
      <c r="Q28" s="165">
        <v>-70.882999999999996</v>
      </c>
      <c r="R28" s="165">
        <v>40.256999999999998</v>
      </c>
      <c r="S28" s="165" t="s">
        <v>172</v>
      </c>
      <c r="T28" s="165">
        <v>25</v>
      </c>
      <c r="U28" s="166" t="s">
        <v>516</v>
      </c>
      <c r="V28" s="205">
        <v>1.649</v>
      </c>
      <c r="W28" s="205">
        <v>0.23699999999999999</v>
      </c>
      <c r="X28" s="205">
        <v>0.32800000000000001</v>
      </c>
      <c r="Y28" s="205">
        <v>7.4999999999999997E-2</v>
      </c>
      <c r="Z28" s="205">
        <v>3.1E-2</v>
      </c>
      <c r="AA28" s="205">
        <v>0.151</v>
      </c>
      <c r="AB28" s="205">
        <v>0.05</v>
      </c>
      <c r="AC28" s="205">
        <v>6.7000000000000004E-2</v>
      </c>
      <c r="AD28" s="205">
        <v>6.0000000000000001E-3</v>
      </c>
      <c r="AE28" s="205">
        <v>0.443</v>
      </c>
      <c r="AF28" s="205">
        <v>8.1000000000000003E-2</v>
      </c>
      <c r="AG28" s="205">
        <v>3.2000000000000001E-2</v>
      </c>
      <c r="AH28" s="205">
        <v>1.635</v>
      </c>
      <c r="AI28" s="205">
        <v>-8888</v>
      </c>
      <c r="AJ28" s="205">
        <v>1.4E-2</v>
      </c>
      <c r="AK28" s="205">
        <v>0.23699999999999999</v>
      </c>
      <c r="AL28" s="205">
        <v>-8888</v>
      </c>
      <c r="AM28" s="205">
        <v>0.19700000000000001</v>
      </c>
      <c r="AN28" s="205">
        <v>0.13100000000000001</v>
      </c>
      <c r="AO28" s="205">
        <v>8.9999999999999993E-3</v>
      </c>
      <c r="AP28" s="205">
        <v>2.5999999999999999E-2</v>
      </c>
      <c r="AQ28" s="205">
        <v>2.1000000000000001E-2</v>
      </c>
      <c r="AR28" s="205">
        <v>1.9E-2</v>
      </c>
      <c r="AS28" s="205">
        <v>4.1000000000000002E-2</v>
      </c>
      <c r="AT28" s="205">
        <v>4.4999999999999998E-2</v>
      </c>
      <c r="AU28" s="205">
        <v>-8888</v>
      </c>
      <c r="AV28" s="205">
        <v>2.214</v>
      </c>
      <c r="AW28" s="205">
        <v>0.23000000000000004</v>
      </c>
      <c r="AX28" s="205">
        <v>0.70599999999999996</v>
      </c>
      <c r="AY28" s="205">
        <v>2.92</v>
      </c>
      <c r="AZ28" s="205">
        <v>0.93599999999999994</v>
      </c>
      <c r="BA28" s="205">
        <v>1.5010000000000001</v>
      </c>
      <c r="BB28" s="205">
        <v>3.1500000000000004</v>
      </c>
      <c r="BC28" s="205">
        <v>1.0249999999999999</v>
      </c>
      <c r="BD28" s="206">
        <v>0.91</v>
      </c>
      <c r="BE28" s="206">
        <v>0.75</v>
      </c>
      <c r="BF28" s="206">
        <v>0.25</v>
      </c>
      <c r="BG28" s="206">
        <v>2.37</v>
      </c>
      <c r="BH28" s="206">
        <v>7.0000000000000007E-2</v>
      </c>
      <c r="BI28" s="206">
        <v>0.93</v>
      </c>
      <c r="BJ28" s="206">
        <v>0.52</v>
      </c>
      <c r="BK28" s="207"/>
      <c r="BL28" s="207"/>
    </row>
    <row r="29" spans="1:64">
      <c r="A29" s="204" t="s">
        <v>392</v>
      </c>
      <c r="B29" s="169" t="s">
        <v>511</v>
      </c>
      <c r="C29" s="169" t="s">
        <v>762</v>
      </c>
      <c r="D29" s="169" t="s">
        <v>712</v>
      </c>
      <c r="E29" s="169" t="s">
        <v>173</v>
      </c>
      <c r="F29" s="169">
        <v>548</v>
      </c>
      <c r="G29" s="169">
        <v>15</v>
      </c>
      <c r="H29" s="169">
        <v>18</v>
      </c>
      <c r="I29" s="165">
        <v>3.8</v>
      </c>
      <c r="J29" s="165">
        <v>122</v>
      </c>
      <c r="K29" s="166" t="s">
        <v>514</v>
      </c>
      <c r="L29" s="165">
        <v>2024</v>
      </c>
      <c r="M29" s="165" t="s">
        <v>713</v>
      </c>
      <c r="N29" s="165">
        <v>10</v>
      </c>
      <c r="O29" s="181">
        <v>315</v>
      </c>
      <c r="P29" s="165" t="s">
        <v>761</v>
      </c>
      <c r="Q29" s="165">
        <v>-70.882999999999996</v>
      </c>
      <c r="R29" s="165">
        <v>40.256999999999998</v>
      </c>
      <c r="S29" s="165" t="s">
        <v>172</v>
      </c>
      <c r="T29" s="165">
        <v>25</v>
      </c>
      <c r="U29" s="166" t="s">
        <v>516</v>
      </c>
      <c r="V29" s="205">
        <v>1.64</v>
      </c>
      <c r="W29" s="205">
        <v>0.22800000000000001</v>
      </c>
      <c r="X29" s="205">
        <v>0.316</v>
      </c>
      <c r="Y29" s="205">
        <v>7.4999999999999997E-2</v>
      </c>
      <c r="Z29" s="205">
        <v>3.1E-2</v>
      </c>
      <c r="AA29" s="205">
        <v>0.15</v>
      </c>
      <c r="AB29" s="205">
        <v>0.05</v>
      </c>
      <c r="AC29" s="205">
        <v>6.8000000000000005E-2</v>
      </c>
      <c r="AD29" s="205">
        <v>6.0000000000000001E-3</v>
      </c>
      <c r="AE29" s="205">
        <v>0.438</v>
      </c>
      <c r="AF29" s="205">
        <v>7.6999999999999999E-2</v>
      </c>
      <c r="AG29" s="205">
        <v>2.7E-2</v>
      </c>
      <c r="AH29" s="205">
        <v>1.6259999999999999</v>
      </c>
      <c r="AI29" s="205">
        <v>-8888</v>
      </c>
      <c r="AJ29" s="205">
        <v>1.4E-2</v>
      </c>
      <c r="AK29" s="205">
        <v>0.22800000000000001</v>
      </c>
      <c r="AL29" s="205">
        <v>-8888</v>
      </c>
      <c r="AM29" s="205">
        <v>0.191</v>
      </c>
      <c r="AN29" s="205">
        <v>0.125</v>
      </c>
      <c r="AO29" s="205">
        <v>7.0000000000000001E-3</v>
      </c>
      <c r="AP29" s="205">
        <v>2.8000000000000001E-2</v>
      </c>
      <c r="AQ29" s="205">
        <v>2.1000000000000001E-2</v>
      </c>
      <c r="AR29" s="205">
        <v>0.02</v>
      </c>
      <c r="AS29" s="205">
        <v>4.2999999999999997E-2</v>
      </c>
      <c r="AT29" s="205">
        <v>4.8000000000000001E-2</v>
      </c>
      <c r="AU29" s="205">
        <v>-8888</v>
      </c>
      <c r="AV29" s="205">
        <v>2.1839999999999997</v>
      </c>
      <c r="AW29" s="205">
        <v>0.22600000000000003</v>
      </c>
      <c r="AX29" s="205">
        <v>0.69599999999999995</v>
      </c>
      <c r="AY29" s="205">
        <v>2.88</v>
      </c>
      <c r="AZ29" s="205">
        <v>0.92199999999999993</v>
      </c>
      <c r="BA29" s="205">
        <v>1.466</v>
      </c>
      <c r="BB29" s="205">
        <v>3.1059999999999999</v>
      </c>
      <c r="BC29" s="205">
        <v>1.0009999999999999</v>
      </c>
      <c r="BD29" s="206">
        <v>0.89</v>
      </c>
      <c r="BE29" s="206">
        <v>0.75</v>
      </c>
      <c r="BF29" s="206">
        <v>0.25</v>
      </c>
      <c r="BG29" s="206">
        <v>2.37</v>
      </c>
      <c r="BH29" s="206">
        <v>7.0000000000000007E-2</v>
      </c>
      <c r="BI29" s="206">
        <v>0.93</v>
      </c>
      <c r="BJ29" s="206">
        <v>0.53</v>
      </c>
      <c r="BK29" s="207"/>
      <c r="BL29" s="207"/>
    </row>
    <row r="30" spans="1:64">
      <c r="A30" s="210"/>
      <c r="B30" s="220"/>
      <c r="C30" s="220"/>
      <c r="D30" s="220"/>
      <c r="E30" s="220"/>
      <c r="F30" s="220"/>
      <c r="G30" s="220"/>
      <c r="H30" s="220"/>
      <c r="I30" s="220"/>
      <c r="J30" s="220"/>
      <c r="K30" s="220"/>
      <c r="L30" s="220"/>
      <c r="M30" s="220"/>
      <c r="N30" s="220"/>
      <c r="O30" s="220"/>
      <c r="P30" s="221"/>
      <c r="Q30" s="220"/>
      <c r="R30" s="220"/>
      <c r="S30" s="220"/>
      <c r="T30" s="220"/>
      <c r="U30" s="210" t="s">
        <v>22</v>
      </c>
      <c r="V30" s="210">
        <f t="shared" ref="V30:BC30" si="24">ROUND(AVERAGE((IF(V28=-8888,0,V28)),(IF(V29=-8888,0,V29))),3)</f>
        <v>1.645</v>
      </c>
      <c r="W30" s="210">
        <f t="shared" si="24"/>
        <v>0.23300000000000001</v>
      </c>
      <c r="X30" s="210">
        <f t="shared" si="24"/>
        <v>0.32200000000000001</v>
      </c>
      <c r="Y30" s="210">
        <f t="shared" si="24"/>
        <v>7.4999999999999997E-2</v>
      </c>
      <c r="Z30" s="210">
        <f t="shared" si="24"/>
        <v>3.1E-2</v>
      </c>
      <c r="AA30" s="210">
        <f t="shared" si="24"/>
        <v>0.151</v>
      </c>
      <c r="AB30" s="210">
        <f t="shared" si="24"/>
        <v>0.05</v>
      </c>
      <c r="AC30" s="210">
        <f t="shared" si="24"/>
        <v>6.8000000000000005E-2</v>
      </c>
      <c r="AD30" s="210">
        <f t="shared" si="24"/>
        <v>6.0000000000000001E-3</v>
      </c>
      <c r="AE30" s="210">
        <f t="shared" si="24"/>
        <v>0.441</v>
      </c>
      <c r="AF30" s="210">
        <f t="shared" si="24"/>
        <v>7.9000000000000001E-2</v>
      </c>
      <c r="AG30" s="210">
        <f t="shared" si="24"/>
        <v>0.03</v>
      </c>
      <c r="AH30" s="210">
        <f t="shared" si="24"/>
        <v>1.631</v>
      </c>
      <c r="AI30" s="210">
        <f t="shared" si="24"/>
        <v>0</v>
      </c>
      <c r="AJ30" s="210">
        <f t="shared" si="24"/>
        <v>1.4E-2</v>
      </c>
      <c r="AK30" s="210">
        <f t="shared" si="24"/>
        <v>0.23300000000000001</v>
      </c>
      <c r="AL30" s="210">
        <f t="shared" si="24"/>
        <v>0</v>
      </c>
      <c r="AM30" s="210">
        <f t="shared" si="24"/>
        <v>0.19400000000000001</v>
      </c>
      <c r="AN30" s="210">
        <f t="shared" si="24"/>
        <v>0.128</v>
      </c>
      <c r="AO30" s="210">
        <f t="shared" si="24"/>
        <v>8.0000000000000002E-3</v>
      </c>
      <c r="AP30" s="210">
        <f t="shared" si="24"/>
        <v>2.7E-2</v>
      </c>
      <c r="AQ30" s="210">
        <f t="shared" si="24"/>
        <v>2.1000000000000001E-2</v>
      </c>
      <c r="AR30" s="210">
        <f t="shared" si="24"/>
        <v>0.02</v>
      </c>
      <c r="AS30" s="210">
        <f t="shared" si="24"/>
        <v>4.2000000000000003E-2</v>
      </c>
      <c r="AT30" s="210">
        <f t="shared" si="24"/>
        <v>4.7E-2</v>
      </c>
      <c r="AU30" s="210">
        <f t="shared" si="24"/>
        <v>0</v>
      </c>
      <c r="AV30" s="210">
        <f t="shared" si="24"/>
        <v>2.1989999999999998</v>
      </c>
      <c r="AW30" s="210">
        <f t="shared" si="24"/>
        <v>0.22800000000000001</v>
      </c>
      <c r="AX30" s="210">
        <f t="shared" si="24"/>
        <v>0.70099999999999996</v>
      </c>
      <c r="AY30" s="210">
        <f t="shared" si="24"/>
        <v>2.9</v>
      </c>
      <c r="AZ30" s="210">
        <f t="shared" si="24"/>
        <v>0.92900000000000005</v>
      </c>
      <c r="BA30" s="210">
        <f t="shared" si="24"/>
        <v>1.484</v>
      </c>
      <c r="BB30" s="210">
        <f t="shared" si="24"/>
        <v>3.1280000000000001</v>
      </c>
      <c r="BC30" s="210">
        <f t="shared" si="24"/>
        <v>1.0129999999999999</v>
      </c>
      <c r="BD30" s="209">
        <f>ROUND(AVERAGE((IF(BD28=-8888,0,BD28)),(IF(BD29=-8888,0,BD29))),2)</f>
        <v>0.9</v>
      </c>
      <c r="BE30" s="209">
        <f t="shared" ref="BE30:BJ30" si="25">ROUND(AVERAGE((IF(BE28=-8888,0,BE28)),(IF(BE29=-8888,0,BE29))),2)</f>
        <v>0.75</v>
      </c>
      <c r="BF30" s="209">
        <f t="shared" si="25"/>
        <v>0.25</v>
      </c>
      <c r="BG30" s="209">
        <f t="shared" si="25"/>
        <v>2.37</v>
      </c>
      <c r="BH30" s="209">
        <f t="shared" si="25"/>
        <v>7.0000000000000007E-2</v>
      </c>
      <c r="BI30" s="209">
        <f t="shared" si="25"/>
        <v>0.93</v>
      </c>
      <c r="BJ30" s="209">
        <f t="shared" si="25"/>
        <v>0.53</v>
      </c>
      <c r="BK30" s="211"/>
      <c r="BL30" s="211"/>
    </row>
    <row r="31" spans="1:64">
      <c r="A31" s="214"/>
      <c r="B31" s="222"/>
      <c r="C31" s="222"/>
      <c r="D31" s="222"/>
      <c r="E31" s="222"/>
      <c r="F31" s="222"/>
      <c r="G31" s="222"/>
      <c r="H31" s="222"/>
      <c r="I31" s="222"/>
      <c r="J31" s="222"/>
      <c r="K31" s="222"/>
      <c r="L31" s="222"/>
      <c r="M31" s="222"/>
      <c r="N31" s="222"/>
      <c r="O31" s="222"/>
      <c r="P31" s="223"/>
      <c r="Q31" s="222"/>
      <c r="R31" s="222"/>
      <c r="S31" s="222"/>
      <c r="T31" s="222"/>
      <c r="U31" s="214" t="s">
        <v>1015</v>
      </c>
      <c r="V31" s="214">
        <f t="shared" ref="V31:BC31" si="26">ROUND(STDEV((IF(V28=-8888,0,V28)),(IF(V29=-8888,0,V29))),3)</f>
        <v>6.0000000000000001E-3</v>
      </c>
      <c r="W31" s="214">
        <f t="shared" si="26"/>
        <v>6.0000000000000001E-3</v>
      </c>
      <c r="X31" s="214">
        <f t="shared" si="26"/>
        <v>8.0000000000000002E-3</v>
      </c>
      <c r="Y31" s="214">
        <f t="shared" si="26"/>
        <v>0</v>
      </c>
      <c r="Z31" s="214">
        <f t="shared" si="26"/>
        <v>0</v>
      </c>
      <c r="AA31" s="214">
        <f t="shared" si="26"/>
        <v>1E-3</v>
      </c>
      <c r="AB31" s="214">
        <f t="shared" si="26"/>
        <v>0</v>
      </c>
      <c r="AC31" s="214">
        <f t="shared" si="26"/>
        <v>1E-3</v>
      </c>
      <c r="AD31" s="214">
        <f t="shared" si="26"/>
        <v>0</v>
      </c>
      <c r="AE31" s="214">
        <f t="shared" si="26"/>
        <v>4.0000000000000001E-3</v>
      </c>
      <c r="AF31" s="214">
        <f t="shared" si="26"/>
        <v>3.0000000000000001E-3</v>
      </c>
      <c r="AG31" s="214">
        <f t="shared" si="26"/>
        <v>4.0000000000000001E-3</v>
      </c>
      <c r="AH31" s="214">
        <f t="shared" si="26"/>
        <v>6.0000000000000001E-3</v>
      </c>
      <c r="AI31" s="214">
        <f t="shared" si="26"/>
        <v>0</v>
      </c>
      <c r="AJ31" s="214">
        <f t="shared" si="26"/>
        <v>0</v>
      </c>
      <c r="AK31" s="214">
        <f t="shared" si="26"/>
        <v>6.0000000000000001E-3</v>
      </c>
      <c r="AL31" s="214">
        <f t="shared" si="26"/>
        <v>0</v>
      </c>
      <c r="AM31" s="214">
        <f t="shared" si="26"/>
        <v>4.0000000000000001E-3</v>
      </c>
      <c r="AN31" s="214">
        <f t="shared" si="26"/>
        <v>4.0000000000000001E-3</v>
      </c>
      <c r="AO31" s="214">
        <f t="shared" si="26"/>
        <v>1E-3</v>
      </c>
      <c r="AP31" s="214">
        <f t="shared" si="26"/>
        <v>1E-3</v>
      </c>
      <c r="AQ31" s="214">
        <f t="shared" si="26"/>
        <v>0</v>
      </c>
      <c r="AR31" s="214">
        <f t="shared" si="26"/>
        <v>1E-3</v>
      </c>
      <c r="AS31" s="214">
        <f t="shared" si="26"/>
        <v>1E-3</v>
      </c>
      <c r="AT31" s="214">
        <f t="shared" si="26"/>
        <v>2E-3</v>
      </c>
      <c r="AU31" s="214">
        <f t="shared" si="26"/>
        <v>0</v>
      </c>
      <c r="AV31" s="214">
        <f t="shared" si="26"/>
        <v>2.1000000000000001E-2</v>
      </c>
      <c r="AW31" s="214">
        <f t="shared" si="26"/>
        <v>3.0000000000000001E-3</v>
      </c>
      <c r="AX31" s="214">
        <f t="shared" si="26"/>
        <v>7.0000000000000001E-3</v>
      </c>
      <c r="AY31" s="214">
        <f t="shared" si="26"/>
        <v>2.8000000000000001E-2</v>
      </c>
      <c r="AZ31" s="214">
        <f t="shared" si="26"/>
        <v>0.01</v>
      </c>
      <c r="BA31" s="214">
        <f t="shared" si="26"/>
        <v>2.5000000000000001E-2</v>
      </c>
      <c r="BB31" s="214">
        <f t="shared" si="26"/>
        <v>3.1E-2</v>
      </c>
      <c r="BC31" s="214">
        <f t="shared" si="26"/>
        <v>1.7000000000000001E-2</v>
      </c>
      <c r="BD31" s="213">
        <f>ROUND(STDEV((IF(BD28=-8888,0,BD28)),(IF(BD29=-8888,0,BD29))),2)</f>
        <v>0.01</v>
      </c>
      <c r="BE31" s="213">
        <f t="shared" ref="BE31:BJ31" si="27">ROUND(STDEV((IF(BE28=-8888,0,BE28)),(IF(BE29=-8888,0,BE29))),2)</f>
        <v>0</v>
      </c>
      <c r="BF31" s="213">
        <f t="shared" si="27"/>
        <v>0</v>
      </c>
      <c r="BG31" s="213">
        <f t="shared" si="27"/>
        <v>0</v>
      </c>
      <c r="BH31" s="213">
        <f t="shared" si="27"/>
        <v>0</v>
      </c>
      <c r="BI31" s="213">
        <f t="shared" si="27"/>
        <v>0</v>
      </c>
      <c r="BJ31" s="213">
        <f t="shared" si="27"/>
        <v>0.01</v>
      </c>
      <c r="BK31" s="215"/>
      <c r="BL31" s="215"/>
    </row>
    <row r="32" spans="1:64">
      <c r="A32" s="216"/>
      <c r="B32" s="224"/>
      <c r="C32" s="224"/>
      <c r="D32" s="224"/>
      <c r="E32" s="224"/>
      <c r="F32" s="224"/>
      <c r="G32" s="224"/>
      <c r="H32" s="224"/>
      <c r="I32" s="224"/>
      <c r="J32" s="224"/>
      <c r="K32" s="224"/>
      <c r="L32" s="224"/>
      <c r="M32" s="224"/>
      <c r="N32" s="224"/>
      <c r="O32" s="224"/>
      <c r="P32" s="225"/>
      <c r="Q32" s="224"/>
      <c r="R32" s="224"/>
      <c r="S32" s="224"/>
      <c r="T32" s="224"/>
      <c r="U32" s="217" t="s">
        <v>148</v>
      </c>
      <c r="V32" s="218">
        <f>IF((V30=0),"N/A",ROUND((V31/V30),4))</f>
        <v>3.5999999999999999E-3</v>
      </c>
      <c r="W32" s="218">
        <f>IF((W30=0),"N/A",ROUND((W31/W30),4))</f>
        <v>2.58E-2</v>
      </c>
      <c r="X32" s="218">
        <f>IF((X30=0),"N/A",ROUND((X31/X30),4))</f>
        <v>2.4799999999999999E-2</v>
      </c>
      <c r="Y32" s="218">
        <f t="shared" ref="Y32:AI32" si="28">IF((Y30=0),"N/A",ROUND((Y31/Y30),4))</f>
        <v>0</v>
      </c>
      <c r="Z32" s="218">
        <f t="shared" si="28"/>
        <v>0</v>
      </c>
      <c r="AA32" s="218">
        <f t="shared" si="28"/>
        <v>6.6E-3</v>
      </c>
      <c r="AB32" s="218">
        <f t="shared" si="28"/>
        <v>0</v>
      </c>
      <c r="AC32" s="218">
        <f t="shared" si="28"/>
        <v>1.47E-2</v>
      </c>
      <c r="AD32" s="218">
        <f t="shared" si="28"/>
        <v>0</v>
      </c>
      <c r="AE32" s="218">
        <f t="shared" si="28"/>
        <v>9.1000000000000004E-3</v>
      </c>
      <c r="AF32" s="218">
        <f t="shared" si="28"/>
        <v>3.7999999999999999E-2</v>
      </c>
      <c r="AG32" s="218">
        <f t="shared" si="28"/>
        <v>0.1333</v>
      </c>
      <c r="AH32" s="218">
        <f t="shared" si="28"/>
        <v>3.7000000000000002E-3</v>
      </c>
      <c r="AI32" s="218" t="str">
        <f t="shared" si="28"/>
        <v>N/A</v>
      </c>
      <c r="AJ32" s="218">
        <f>IF((AJ30=0),"N/A",ROUND((AJ31/AJ30),4))</f>
        <v>0</v>
      </c>
      <c r="AK32" s="218">
        <f t="shared" ref="AK32:BI32" si="29">IF((AK30=0),"N/A",ROUND((AK31/AK30),4))</f>
        <v>2.58E-2</v>
      </c>
      <c r="AL32" s="218" t="str">
        <f t="shared" si="29"/>
        <v>N/A</v>
      </c>
      <c r="AM32" s="218">
        <f t="shared" si="29"/>
        <v>2.06E-2</v>
      </c>
      <c r="AN32" s="218">
        <f t="shared" si="29"/>
        <v>3.1300000000000001E-2</v>
      </c>
      <c r="AO32" s="218">
        <f t="shared" si="29"/>
        <v>0.125</v>
      </c>
      <c r="AP32" s="218">
        <f t="shared" si="29"/>
        <v>3.6999999999999998E-2</v>
      </c>
      <c r="AQ32" s="218">
        <f t="shared" si="29"/>
        <v>0</v>
      </c>
      <c r="AR32" s="218">
        <f t="shared" si="29"/>
        <v>0.05</v>
      </c>
      <c r="AS32" s="218">
        <f t="shared" si="29"/>
        <v>2.3800000000000002E-2</v>
      </c>
      <c r="AT32" s="218">
        <f t="shared" si="29"/>
        <v>4.2599999999999999E-2</v>
      </c>
      <c r="AU32" s="218" t="str">
        <f t="shared" si="29"/>
        <v>N/A</v>
      </c>
      <c r="AV32" s="218">
        <f t="shared" si="29"/>
        <v>9.4999999999999998E-3</v>
      </c>
      <c r="AW32" s="218">
        <f t="shared" si="29"/>
        <v>1.32E-2</v>
      </c>
      <c r="AX32" s="218">
        <f t="shared" si="29"/>
        <v>0.01</v>
      </c>
      <c r="AY32" s="218">
        <f t="shared" si="29"/>
        <v>9.7000000000000003E-3</v>
      </c>
      <c r="AZ32" s="218">
        <f t="shared" si="29"/>
        <v>1.0800000000000001E-2</v>
      </c>
      <c r="BA32" s="218">
        <f t="shared" si="29"/>
        <v>1.6799999999999999E-2</v>
      </c>
      <c r="BB32" s="218">
        <f t="shared" si="29"/>
        <v>9.9000000000000008E-3</v>
      </c>
      <c r="BC32" s="218">
        <f t="shared" si="29"/>
        <v>1.6799999999999999E-2</v>
      </c>
      <c r="BD32" s="218">
        <f t="shared" si="29"/>
        <v>1.11E-2</v>
      </c>
      <c r="BE32" s="218">
        <f t="shared" si="29"/>
        <v>0</v>
      </c>
      <c r="BF32" s="218">
        <f t="shared" si="29"/>
        <v>0</v>
      </c>
      <c r="BG32" s="218">
        <f t="shared" si="29"/>
        <v>0</v>
      </c>
      <c r="BH32" s="218">
        <f t="shared" si="29"/>
        <v>0</v>
      </c>
      <c r="BI32" s="218">
        <f t="shared" si="29"/>
        <v>0</v>
      </c>
      <c r="BJ32" s="218">
        <f>IF((BJ30=0),"N/A",ROUND((BJ31/BJ30),4))</f>
        <v>1.89E-2</v>
      </c>
      <c r="BK32" s="219">
        <f>V32</f>
        <v>3.5999999999999999E-3</v>
      </c>
      <c r="BL32" s="219">
        <f>AVERAGE(V32:AG32)</f>
        <v>2.1325E-2</v>
      </c>
    </row>
    <row r="33" spans="1:64">
      <c r="A33" s="204" t="s">
        <v>419</v>
      </c>
      <c r="B33" s="165" t="s">
        <v>511</v>
      </c>
      <c r="C33" s="165" t="s">
        <v>816</v>
      </c>
      <c r="D33" s="165" t="s">
        <v>791</v>
      </c>
      <c r="E33" s="165" t="s">
        <v>173</v>
      </c>
      <c r="F33" s="165">
        <v>547</v>
      </c>
      <c r="G33" s="165">
        <v>9</v>
      </c>
      <c r="H33" s="165">
        <v>21</v>
      </c>
      <c r="I33" s="165">
        <v>5.0999999999999996</v>
      </c>
      <c r="J33" s="165">
        <v>453</v>
      </c>
      <c r="K33" s="166" t="s">
        <v>514</v>
      </c>
      <c r="L33" s="165">
        <v>2025</v>
      </c>
      <c r="M33" s="165" t="s">
        <v>792</v>
      </c>
      <c r="N33" s="165">
        <v>26</v>
      </c>
      <c r="O33" s="181">
        <v>26</v>
      </c>
      <c r="P33" s="165" t="s">
        <v>815</v>
      </c>
      <c r="Q33" s="165">
        <v>-70.885999999999996</v>
      </c>
      <c r="R33" s="165">
        <v>39.932000000000002</v>
      </c>
      <c r="S33" s="165" t="s">
        <v>172</v>
      </c>
      <c r="T33" s="165">
        <v>25</v>
      </c>
      <c r="U33" s="166" t="s">
        <v>516</v>
      </c>
      <c r="V33" s="205">
        <v>1.8069999999999999</v>
      </c>
      <c r="W33" s="205">
        <v>0.182</v>
      </c>
      <c r="X33" s="205">
        <v>0.33200000000000002</v>
      </c>
      <c r="Y33" s="205">
        <v>7.5999999999999998E-2</v>
      </c>
      <c r="Z33" s="205">
        <v>2.9000000000000001E-2</v>
      </c>
      <c r="AA33" s="205">
        <v>0.13</v>
      </c>
      <c r="AB33" s="205">
        <v>6.0999999999999999E-2</v>
      </c>
      <c r="AC33" s="205">
        <v>7.2999999999999995E-2</v>
      </c>
      <c r="AD33" s="205">
        <v>8.0000000000000002E-3</v>
      </c>
      <c r="AE33" s="205">
        <v>0.48799999999999999</v>
      </c>
      <c r="AF33" s="205">
        <v>8.8999999999999996E-2</v>
      </c>
      <c r="AG33" s="205">
        <v>1.0999999999999999E-2</v>
      </c>
      <c r="AH33" s="205">
        <v>1.792</v>
      </c>
      <c r="AI33" s="205">
        <v>-8888</v>
      </c>
      <c r="AJ33" s="205">
        <v>1.4999999999999999E-2</v>
      </c>
      <c r="AK33" s="205">
        <v>0.182</v>
      </c>
      <c r="AL33" s="205">
        <v>-8888</v>
      </c>
      <c r="AM33" s="205">
        <v>0.23300000000000001</v>
      </c>
      <c r="AN33" s="205">
        <v>9.9000000000000005E-2</v>
      </c>
      <c r="AO33" s="205">
        <v>5.0000000000000001E-3</v>
      </c>
      <c r="AP33" s="205">
        <v>1.7999999999999999E-2</v>
      </c>
      <c r="AQ33" s="205">
        <v>1.7000000000000001E-2</v>
      </c>
      <c r="AR33" s="205">
        <v>2.1000000000000001E-2</v>
      </c>
      <c r="AS33" s="205">
        <v>1.7999999999999999E-2</v>
      </c>
      <c r="AT33" s="205">
        <v>0.02</v>
      </c>
      <c r="AU33" s="205">
        <v>-8888</v>
      </c>
      <c r="AV33" s="205">
        <v>2.3209999999999997</v>
      </c>
      <c r="AW33" s="205">
        <v>0.22900000000000004</v>
      </c>
      <c r="AX33" s="205">
        <v>0.73599999999999999</v>
      </c>
      <c r="AY33" s="205">
        <v>3.0569999999999995</v>
      </c>
      <c r="AZ33" s="205">
        <v>0.96500000000000008</v>
      </c>
      <c r="BA33" s="205">
        <v>1.4790000000000001</v>
      </c>
      <c r="BB33" s="205">
        <v>3.286</v>
      </c>
      <c r="BC33" s="205">
        <v>0.99</v>
      </c>
      <c r="BD33" s="206">
        <v>0.82</v>
      </c>
      <c r="BE33" s="206">
        <v>0.76</v>
      </c>
      <c r="BF33" s="206">
        <v>0.24</v>
      </c>
      <c r="BG33" s="206">
        <v>2.41</v>
      </c>
      <c r="BH33" s="206">
        <v>7.0000000000000007E-2</v>
      </c>
      <c r="BI33" s="206">
        <v>0.93</v>
      </c>
      <c r="BJ33" s="206">
        <v>0.55000000000000004</v>
      </c>
      <c r="BK33" s="207"/>
      <c r="BL33" s="207"/>
    </row>
    <row r="34" spans="1:64">
      <c r="A34" s="204" t="s">
        <v>420</v>
      </c>
      <c r="B34" s="165" t="s">
        <v>511</v>
      </c>
      <c r="C34" s="165" t="s">
        <v>816</v>
      </c>
      <c r="D34" s="165" t="s">
        <v>791</v>
      </c>
      <c r="E34" s="165" t="s">
        <v>173</v>
      </c>
      <c r="F34" s="165">
        <v>547</v>
      </c>
      <c r="G34" s="165">
        <v>9</v>
      </c>
      <c r="H34" s="165">
        <v>21</v>
      </c>
      <c r="I34" s="165">
        <v>5.0999999999999996</v>
      </c>
      <c r="J34" s="165">
        <v>453</v>
      </c>
      <c r="K34" s="166" t="s">
        <v>514</v>
      </c>
      <c r="L34" s="165">
        <v>2025</v>
      </c>
      <c r="M34" s="165" t="s">
        <v>792</v>
      </c>
      <c r="N34" s="165">
        <v>26</v>
      </c>
      <c r="O34" s="181">
        <v>26</v>
      </c>
      <c r="P34" s="165" t="s">
        <v>815</v>
      </c>
      <c r="Q34" s="165">
        <v>-70.885999999999996</v>
      </c>
      <c r="R34" s="165">
        <v>39.932000000000002</v>
      </c>
      <c r="S34" s="165" t="s">
        <v>172</v>
      </c>
      <c r="T34" s="165">
        <v>25</v>
      </c>
      <c r="U34" s="166" t="s">
        <v>516</v>
      </c>
      <c r="V34" s="205">
        <v>1.796</v>
      </c>
      <c r="W34" s="205">
        <v>0.17</v>
      </c>
      <c r="X34" s="205">
        <v>0.33100000000000002</v>
      </c>
      <c r="Y34" s="205">
        <v>7.4999999999999997E-2</v>
      </c>
      <c r="Z34" s="205">
        <v>2.9000000000000001E-2</v>
      </c>
      <c r="AA34" s="205">
        <v>0.13</v>
      </c>
      <c r="AB34" s="205">
        <v>6.2E-2</v>
      </c>
      <c r="AC34" s="205">
        <v>7.4999999999999997E-2</v>
      </c>
      <c r="AD34" s="205">
        <v>8.0000000000000002E-3</v>
      </c>
      <c r="AE34" s="205">
        <v>0.49</v>
      </c>
      <c r="AF34" s="205">
        <v>8.8999999999999996E-2</v>
      </c>
      <c r="AG34" s="205">
        <v>1.2999999999999999E-2</v>
      </c>
      <c r="AH34" s="205">
        <v>1.78</v>
      </c>
      <c r="AI34" s="205">
        <v>-8888</v>
      </c>
      <c r="AJ34" s="205">
        <v>1.6E-2</v>
      </c>
      <c r="AK34" s="205">
        <v>0.17</v>
      </c>
      <c r="AL34" s="205">
        <v>-8888</v>
      </c>
      <c r="AM34" s="205">
        <v>0.23200000000000001</v>
      </c>
      <c r="AN34" s="205">
        <v>9.9000000000000005E-2</v>
      </c>
      <c r="AO34" s="205">
        <v>5.0000000000000001E-3</v>
      </c>
      <c r="AP34" s="205">
        <v>1.7000000000000001E-2</v>
      </c>
      <c r="AQ34" s="205">
        <v>1.7000000000000001E-2</v>
      </c>
      <c r="AR34" s="205">
        <v>0.02</v>
      </c>
      <c r="AS34" s="205">
        <v>1.9E-2</v>
      </c>
      <c r="AT34" s="205">
        <v>1.7999999999999999E-2</v>
      </c>
      <c r="AU34" s="205">
        <v>-8888</v>
      </c>
      <c r="AV34" s="205">
        <v>2.2970000000000002</v>
      </c>
      <c r="AW34" s="205">
        <v>0.23300000000000004</v>
      </c>
      <c r="AX34" s="205">
        <v>0.73799999999999999</v>
      </c>
      <c r="AY34" s="205">
        <v>3.0350000000000001</v>
      </c>
      <c r="AZ34" s="205">
        <v>0.97100000000000009</v>
      </c>
      <c r="BA34" s="205">
        <v>1.472</v>
      </c>
      <c r="BB34" s="205">
        <v>3.2679999999999998</v>
      </c>
      <c r="BC34" s="205">
        <v>0.98299999999999998</v>
      </c>
      <c r="BD34" s="206">
        <v>0.82</v>
      </c>
      <c r="BE34" s="206">
        <v>0.76</v>
      </c>
      <c r="BF34" s="206">
        <v>0.24</v>
      </c>
      <c r="BG34" s="206">
        <v>2.37</v>
      </c>
      <c r="BH34" s="206">
        <v>7.0000000000000007E-2</v>
      </c>
      <c r="BI34" s="206">
        <v>0.93</v>
      </c>
      <c r="BJ34" s="206">
        <v>0.55000000000000004</v>
      </c>
      <c r="BK34" s="207"/>
      <c r="BL34" s="207"/>
    </row>
    <row r="35" spans="1:64">
      <c r="A35" s="210"/>
      <c r="B35" s="220"/>
      <c r="C35" s="220"/>
      <c r="D35" s="220"/>
      <c r="E35" s="220"/>
      <c r="F35" s="220"/>
      <c r="G35" s="220"/>
      <c r="H35" s="220"/>
      <c r="I35" s="220"/>
      <c r="J35" s="220"/>
      <c r="K35" s="220"/>
      <c r="L35" s="220"/>
      <c r="M35" s="220"/>
      <c r="N35" s="220"/>
      <c r="O35" s="220"/>
      <c r="P35" s="221"/>
      <c r="Q35" s="220"/>
      <c r="R35" s="220"/>
      <c r="S35" s="220"/>
      <c r="T35" s="220"/>
      <c r="U35" s="210" t="s">
        <v>22</v>
      </c>
      <c r="V35" s="210">
        <f t="shared" ref="V35:BC35" si="30">ROUND(AVERAGE((IF(V33=-8888,0,V33)),(IF(V34=-8888,0,V34))),3)</f>
        <v>1.802</v>
      </c>
      <c r="W35" s="210">
        <f t="shared" si="30"/>
        <v>0.17599999999999999</v>
      </c>
      <c r="X35" s="210">
        <f t="shared" si="30"/>
        <v>0.33200000000000002</v>
      </c>
      <c r="Y35" s="210">
        <f t="shared" si="30"/>
        <v>7.5999999999999998E-2</v>
      </c>
      <c r="Z35" s="210">
        <f t="shared" si="30"/>
        <v>2.9000000000000001E-2</v>
      </c>
      <c r="AA35" s="210">
        <f t="shared" si="30"/>
        <v>0.13</v>
      </c>
      <c r="AB35" s="210">
        <f t="shared" si="30"/>
        <v>6.2E-2</v>
      </c>
      <c r="AC35" s="210">
        <f t="shared" si="30"/>
        <v>7.3999999999999996E-2</v>
      </c>
      <c r="AD35" s="210">
        <f t="shared" si="30"/>
        <v>8.0000000000000002E-3</v>
      </c>
      <c r="AE35" s="210">
        <f t="shared" si="30"/>
        <v>0.48899999999999999</v>
      </c>
      <c r="AF35" s="210">
        <f t="shared" si="30"/>
        <v>8.8999999999999996E-2</v>
      </c>
      <c r="AG35" s="210">
        <f t="shared" si="30"/>
        <v>1.2E-2</v>
      </c>
      <c r="AH35" s="210">
        <f t="shared" si="30"/>
        <v>1.786</v>
      </c>
      <c r="AI35" s="210">
        <f t="shared" si="30"/>
        <v>0</v>
      </c>
      <c r="AJ35" s="210">
        <f t="shared" si="30"/>
        <v>1.6E-2</v>
      </c>
      <c r="AK35" s="210">
        <f t="shared" si="30"/>
        <v>0.17599999999999999</v>
      </c>
      <c r="AL35" s="210">
        <f t="shared" si="30"/>
        <v>0</v>
      </c>
      <c r="AM35" s="210">
        <f t="shared" si="30"/>
        <v>0.23300000000000001</v>
      </c>
      <c r="AN35" s="210">
        <f t="shared" si="30"/>
        <v>9.9000000000000005E-2</v>
      </c>
      <c r="AO35" s="210">
        <f t="shared" si="30"/>
        <v>5.0000000000000001E-3</v>
      </c>
      <c r="AP35" s="210">
        <f t="shared" si="30"/>
        <v>1.7999999999999999E-2</v>
      </c>
      <c r="AQ35" s="210">
        <f t="shared" si="30"/>
        <v>1.7000000000000001E-2</v>
      </c>
      <c r="AR35" s="210">
        <f t="shared" si="30"/>
        <v>2.1000000000000001E-2</v>
      </c>
      <c r="AS35" s="210">
        <f t="shared" si="30"/>
        <v>1.9E-2</v>
      </c>
      <c r="AT35" s="210">
        <f t="shared" si="30"/>
        <v>1.9E-2</v>
      </c>
      <c r="AU35" s="210">
        <f t="shared" si="30"/>
        <v>0</v>
      </c>
      <c r="AV35" s="210">
        <f t="shared" si="30"/>
        <v>2.3090000000000002</v>
      </c>
      <c r="AW35" s="210">
        <f t="shared" si="30"/>
        <v>0.23100000000000001</v>
      </c>
      <c r="AX35" s="210">
        <f t="shared" si="30"/>
        <v>0.73699999999999999</v>
      </c>
      <c r="AY35" s="210">
        <f t="shared" si="30"/>
        <v>3.0459999999999998</v>
      </c>
      <c r="AZ35" s="210">
        <f t="shared" si="30"/>
        <v>0.96799999999999997</v>
      </c>
      <c r="BA35" s="210">
        <f t="shared" si="30"/>
        <v>1.476</v>
      </c>
      <c r="BB35" s="210">
        <f t="shared" si="30"/>
        <v>3.2770000000000001</v>
      </c>
      <c r="BC35" s="210">
        <f t="shared" si="30"/>
        <v>0.98699999999999999</v>
      </c>
      <c r="BD35" s="209">
        <f>ROUND(AVERAGE((IF(BD33=-8888,0,BD33)),(IF(BD34=-8888,0,BD34))),2)</f>
        <v>0.82</v>
      </c>
      <c r="BE35" s="209">
        <f t="shared" ref="BE35:BJ35" si="31">ROUND(AVERAGE((IF(BE33=-8888,0,BE33)),(IF(BE34=-8888,0,BE34))),2)</f>
        <v>0.76</v>
      </c>
      <c r="BF35" s="209">
        <f t="shared" si="31"/>
        <v>0.24</v>
      </c>
      <c r="BG35" s="209">
        <f t="shared" si="31"/>
        <v>2.39</v>
      </c>
      <c r="BH35" s="209">
        <f t="shared" si="31"/>
        <v>7.0000000000000007E-2</v>
      </c>
      <c r="BI35" s="209">
        <f t="shared" si="31"/>
        <v>0.93</v>
      </c>
      <c r="BJ35" s="209">
        <f t="shared" si="31"/>
        <v>0.55000000000000004</v>
      </c>
      <c r="BK35" s="211"/>
      <c r="BL35" s="211"/>
    </row>
    <row r="36" spans="1:64">
      <c r="A36" s="214"/>
      <c r="B36" s="222"/>
      <c r="C36" s="222"/>
      <c r="D36" s="222"/>
      <c r="E36" s="222"/>
      <c r="F36" s="222"/>
      <c r="G36" s="222"/>
      <c r="H36" s="222"/>
      <c r="I36" s="222"/>
      <c r="J36" s="222"/>
      <c r="K36" s="222"/>
      <c r="L36" s="222"/>
      <c r="M36" s="222"/>
      <c r="N36" s="222"/>
      <c r="O36" s="222"/>
      <c r="P36" s="223"/>
      <c r="Q36" s="222"/>
      <c r="R36" s="222"/>
      <c r="S36" s="222"/>
      <c r="T36" s="222"/>
      <c r="U36" s="214" t="s">
        <v>1015</v>
      </c>
      <c r="V36" s="214">
        <f t="shared" ref="V36:BC36" si="32">ROUND(STDEV((IF(V33=-8888,0,V33)),(IF(V34=-8888,0,V34))),3)</f>
        <v>8.0000000000000002E-3</v>
      </c>
      <c r="W36" s="214">
        <f t="shared" si="32"/>
        <v>8.0000000000000002E-3</v>
      </c>
      <c r="X36" s="214">
        <f t="shared" si="32"/>
        <v>1E-3</v>
      </c>
      <c r="Y36" s="214">
        <f t="shared" si="32"/>
        <v>1E-3</v>
      </c>
      <c r="Z36" s="214">
        <f t="shared" si="32"/>
        <v>0</v>
      </c>
      <c r="AA36" s="214">
        <f t="shared" si="32"/>
        <v>0</v>
      </c>
      <c r="AB36" s="214">
        <f t="shared" si="32"/>
        <v>1E-3</v>
      </c>
      <c r="AC36" s="214">
        <f t="shared" si="32"/>
        <v>1E-3</v>
      </c>
      <c r="AD36" s="214">
        <f t="shared" si="32"/>
        <v>0</v>
      </c>
      <c r="AE36" s="214">
        <f t="shared" si="32"/>
        <v>1E-3</v>
      </c>
      <c r="AF36" s="214">
        <f t="shared" si="32"/>
        <v>0</v>
      </c>
      <c r="AG36" s="214">
        <f t="shared" si="32"/>
        <v>1E-3</v>
      </c>
      <c r="AH36" s="214">
        <f t="shared" si="32"/>
        <v>8.0000000000000002E-3</v>
      </c>
      <c r="AI36" s="214">
        <f t="shared" si="32"/>
        <v>0</v>
      </c>
      <c r="AJ36" s="214">
        <f t="shared" si="32"/>
        <v>1E-3</v>
      </c>
      <c r="AK36" s="214">
        <f t="shared" si="32"/>
        <v>8.0000000000000002E-3</v>
      </c>
      <c r="AL36" s="214">
        <f t="shared" si="32"/>
        <v>0</v>
      </c>
      <c r="AM36" s="214">
        <f t="shared" si="32"/>
        <v>1E-3</v>
      </c>
      <c r="AN36" s="214">
        <f t="shared" si="32"/>
        <v>0</v>
      </c>
      <c r="AO36" s="214">
        <f t="shared" si="32"/>
        <v>0</v>
      </c>
      <c r="AP36" s="214">
        <f t="shared" si="32"/>
        <v>1E-3</v>
      </c>
      <c r="AQ36" s="214">
        <f t="shared" si="32"/>
        <v>0</v>
      </c>
      <c r="AR36" s="214">
        <f t="shared" si="32"/>
        <v>1E-3</v>
      </c>
      <c r="AS36" s="214">
        <f t="shared" si="32"/>
        <v>1E-3</v>
      </c>
      <c r="AT36" s="214">
        <f t="shared" si="32"/>
        <v>1E-3</v>
      </c>
      <c r="AU36" s="214">
        <f t="shared" si="32"/>
        <v>0</v>
      </c>
      <c r="AV36" s="214">
        <f t="shared" si="32"/>
        <v>1.7000000000000001E-2</v>
      </c>
      <c r="AW36" s="214">
        <f t="shared" si="32"/>
        <v>3.0000000000000001E-3</v>
      </c>
      <c r="AX36" s="214">
        <f t="shared" si="32"/>
        <v>1E-3</v>
      </c>
      <c r="AY36" s="214">
        <f t="shared" si="32"/>
        <v>1.6E-2</v>
      </c>
      <c r="AZ36" s="214">
        <f t="shared" si="32"/>
        <v>4.0000000000000001E-3</v>
      </c>
      <c r="BA36" s="214">
        <f t="shared" si="32"/>
        <v>5.0000000000000001E-3</v>
      </c>
      <c r="BB36" s="214">
        <f t="shared" si="32"/>
        <v>1.2999999999999999E-2</v>
      </c>
      <c r="BC36" s="214">
        <f t="shared" si="32"/>
        <v>5.0000000000000001E-3</v>
      </c>
      <c r="BD36" s="213">
        <f>ROUND(STDEV((IF(BD33=-8888,0,BD33)),(IF(BD34=-8888,0,BD34))),2)</f>
        <v>0</v>
      </c>
      <c r="BE36" s="213">
        <f t="shared" ref="BE36:BJ36" si="33">ROUND(STDEV((IF(BE33=-8888,0,BE33)),(IF(BE34=-8888,0,BE34))),2)</f>
        <v>0</v>
      </c>
      <c r="BF36" s="213">
        <f t="shared" si="33"/>
        <v>0</v>
      </c>
      <c r="BG36" s="213">
        <f t="shared" si="33"/>
        <v>0.03</v>
      </c>
      <c r="BH36" s="213">
        <f t="shared" si="33"/>
        <v>0</v>
      </c>
      <c r="BI36" s="213">
        <f t="shared" si="33"/>
        <v>0</v>
      </c>
      <c r="BJ36" s="213">
        <f t="shared" si="33"/>
        <v>0</v>
      </c>
      <c r="BK36" s="215"/>
      <c r="BL36" s="215"/>
    </row>
    <row r="37" spans="1:64">
      <c r="A37" s="216"/>
      <c r="B37" s="224"/>
      <c r="C37" s="224"/>
      <c r="D37" s="224"/>
      <c r="E37" s="224"/>
      <c r="F37" s="224"/>
      <c r="G37" s="224"/>
      <c r="H37" s="224"/>
      <c r="I37" s="224"/>
      <c r="J37" s="224"/>
      <c r="K37" s="224"/>
      <c r="L37" s="224"/>
      <c r="M37" s="224"/>
      <c r="N37" s="224"/>
      <c r="O37" s="224"/>
      <c r="P37" s="225"/>
      <c r="Q37" s="224"/>
      <c r="R37" s="224"/>
      <c r="S37" s="224"/>
      <c r="T37" s="224"/>
      <c r="U37" s="217" t="s">
        <v>148</v>
      </c>
      <c r="V37" s="218">
        <f>IF((V35=0),"N/A",ROUND((V36/V35),4))</f>
        <v>4.4000000000000003E-3</v>
      </c>
      <c r="W37" s="218">
        <f>IF((W35=0),"N/A",ROUND((W36/W35),4))</f>
        <v>4.5499999999999999E-2</v>
      </c>
      <c r="X37" s="218">
        <f>IF((X35=0),"N/A",ROUND((X36/X35),4))</f>
        <v>3.0000000000000001E-3</v>
      </c>
      <c r="Y37" s="218">
        <f t="shared" ref="Y37:AI37" si="34">IF((Y35=0),"N/A",ROUND((Y36/Y35),4))</f>
        <v>1.32E-2</v>
      </c>
      <c r="Z37" s="218">
        <f t="shared" si="34"/>
        <v>0</v>
      </c>
      <c r="AA37" s="218">
        <f t="shared" si="34"/>
        <v>0</v>
      </c>
      <c r="AB37" s="218">
        <f t="shared" si="34"/>
        <v>1.61E-2</v>
      </c>
      <c r="AC37" s="218">
        <f t="shared" si="34"/>
        <v>1.35E-2</v>
      </c>
      <c r="AD37" s="218">
        <f t="shared" si="34"/>
        <v>0</v>
      </c>
      <c r="AE37" s="218">
        <f t="shared" si="34"/>
        <v>2E-3</v>
      </c>
      <c r="AF37" s="218">
        <f t="shared" si="34"/>
        <v>0</v>
      </c>
      <c r="AG37" s="218">
        <f t="shared" si="34"/>
        <v>8.3299999999999999E-2</v>
      </c>
      <c r="AH37" s="218">
        <f t="shared" si="34"/>
        <v>4.4999999999999997E-3</v>
      </c>
      <c r="AI37" s="218" t="str">
        <f t="shared" si="34"/>
        <v>N/A</v>
      </c>
      <c r="AJ37" s="218">
        <f>IF((AJ35=0),"N/A",ROUND((AJ36/AJ35),4))</f>
        <v>6.25E-2</v>
      </c>
      <c r="AK37" s="218">
        <f t="shared" ref="AK37:BI37" si="35">IF((AK35=0),"N/A",ROUND((AK36/AK35),4))</f>
        <v>4.5499999999999999E-2</v>
      </c>
      <c r="AL37" s="218" t="str">
        <f t="shared" si="35"/>
        <v>N/A</v>
      </c>
      <c r="AM37" s="218">
        <f t="shared" si="35"/>
        <v>4.3E-3</v>
      </c>
      <c r="AN37" s="218">
        <f t="shared" si="35"/>
        <v>0</v>
      </c>
      <c r="AO37" s="218">
        <f t="shared" si="35"/>
        <v>0</v>
      </c>
      <c r="AP37" s="218">
        <f t="shared" si="35"/>
        <v>5.5599999999999997E-2</v>
      </c>
      <c r="AQ37" s="218">
        <f t="shared" si="35"/>
        <v>0</v>
      </c>
      <c r="AR37" s="218">
        <f t="shared" si="35"/>
        <v>4.7600000000000003E-2</v>
      </c>
      <c r="AS37" s="218">
        <f t="shared" si="35"/>
        <v>5.2600000000000001E-2</v>
      </c>
      <c r="AT37" s="218">
        <f t="shared" si="35"/>
        <v>5.2600000000000001E-2</v>
      </c>
      <c r="AU37" s="218" t="str">
        <f t="shared" si="35"/>
        <v>N/A</v>
      </c>
      <c r="AV37" s="218">
        <f t="shared" si="35"/>
        <v>7.4000000000000003E-3</v>
      </c>
      <c r="AW37" s="218">
        <f t="shared" si="35"/>
        <v>1.2999999999999999E-2</v>
      </c>
      <c r="AX37" s="218">
        <f t="shared" si="35"/>
        <v>1.4E-3</v>
      </c>
      <c r="AY37" s="218">
        <f t="shared" si="35"/>
        <v>5.3E-3</v>
      </c>
      <c r="AZ37" s="218">
        <f t="shared" si="35"/>
        <v>4.1000000000000003E-3</v>
      </c>
      <c r="BA37" s="218">
        <f t="shared" si="35"/>
        <v>3.3999999999999998E-3</v>
      </c>
      <c r="BB37" s="218">
        <f t="shared" si="35"/>
        <v>4.0000000000000001E-3</v>
      </c>
      <c r="BC37" s="218">
        <f t="shared" si="35"/>
        <v>5.1000000000000004E-3</v>
      </c>
      <c r="BD37" s="218">
        <f t="shared" si="35"/>
        <v>0</v>
      </c>
      <c r="BE37" s="218">
        <f t="shared" si="35"/>
        <v>0</v>
      </c>
      <c r="BF37" s="218">
        <f t="shared" si="35"/>
        <v>0</v>
      </c>
      <c r="BG37" s="218">
        <f t="shared" si="35"/>
        <v>1.26E-2</v>
      </c>
      <c r="BH37" s="218">
        <f t="shared" si="35"/>
        <v>0</v>
      </c>
      <c r="BI37" s="218">
        <f t="shared" si="35"/>
        <v>0</v>
      </c>
      <c r="BJ37" s="218">
        <f>IF((BJ35=0),"N/A",ROUND((BJ36/BJ35),4))</f>
        <v>0</v>
      </c>
      <c r="BK37" s="219">
        <f>V37</f>
        <v>4.4000000000000003E-3</v>
      </c>
      <c r="BL37" s="219">
        <f>AVERAGE(V37:AG37)</f>
        <v>1.5083333333333332E-2</v>
      </c>
    </row>
    <row r="38" spans="1:64">
      <c r="A38" s="204" t="s">
        <v>447</v>
      </c>
      <c r="B38" s="169" t="s">
        <v>511</v>
      </c>
      <c r="C38" s="169" t="s">
        <v>870</v>
      </c>
      <c r="D38" s="169" t="s">
        <v>850</v>
      </c>
      <c r="E38" s="169" t="s">
        <v>170</v>
      </c>
      <c r="F38" s="169">
        <v>547</v>
      </c>
      <c r="G38" s="169">
        <v>9</v>
      </c>
      <c r="H38" s="169">
        <v>9</v>
      </c>
      <c r="I38" s="165">
        <v>31.7</v>
      </c>
      <c r="J38" s="165">
        <v>1581</v>
      </c>
      <c r="K38" s="166" t="s">
        <v>514</v>
      </c>
      <c r="L38" s="165">
        <v>2025</v>
      </c>
      <c r="M38" s="165" t="s">
        <v>851</v>
      </c>
      <c r="N38" s="165">
        <v>26</v>
      </c>
      <c r="O38" s="181">
        <v>116</v>
      </c>
      <c r="P38" s="165" t="s">
        <v>871</v>
      </c>
      <c r="Q38" s="165">
        <v>-70.884</v>
      </c>
      <c r="R38" s="165">
        <v>39.771999999999998</v>
      </c>
      <c r="S38" s="165" t="s">
        <v>172</v>
      </c>
      <c r="T38" s="165">
        <v>25</v>
      </c>
      <c r="U38" s="166" t="s">
        <v>516</v>
      </c>
      <c r="V38" s="205">
        <v>1.135</v>
      </c>
      <c r="W38" s="205">
        <v>0.11700000000000001</v>
      </c>
      <c r="X38" s="205">
        <v>0.29400000000000004</v>
      </c>
      <c r="Y38" s="205">
        <v>4.4999999999999998E-2</v>
      </c>
      <c r="Z38" s="205">
        <v>4.5999999999999999E-2</v>
      </c>
      <c r="AA38" s="205">
        <v>0.10299999999999999</v>
      </c>
      <c r="AB38" s="205">
        <v>8.5000000000000006E-2</v>
      </c>
      <c r="AC38" s="205">
        <v>3.7999999999999999E-2</v>
      </c>
      <c r="AD38" s="205">
        <v>3.0000000000000001E-3</v>
      </c>
      <c r="AE38" s="205">
        <v>0.245</v>
      </c>
      <c r="AF38" s="205">
        <v>7.8E-2</v>
      </c>
      <c r="AG38" s="205">
        <v>6.0000000000000001E-3</v>
      </c>
      <c r="AH38" s="205">
        <v>1.127</v>
      </c>
      <c r="AI38" s="205">
        <v>-8888</v>
      </c>
      <c r="AJ38" s="205">
        <v>8.0000000000000002E-3</v>
      </c>
      <c r="AK38" s="205">
        <v>0.11700000000000001</v>
      </c>
      <c r="AL38" s="205">
        <v>-8888</v>
      </c>
      <c r="AM38" s="205">
        <v>0.16800000000000001</v>
      </c>
      <c r="AN38" s="205">
        <v>0.126</v>
      </c>
      <c r="AO38" s="205">
        <v>-8888</v>
      </c>
      <c r="AP38" s="205">
        <v>1.2999999999999999E-2</v>
      </c>
      <c r="AQ38" s="205">
        <v>7.0000000000000001E-3</v>
      </c>
      <c r="AR38" s="205">
        <v>0.01</v>
      </c>
      <c r="AS38" s="205">
        <v>0.02</v>
      </c>
      <c r="AT38" s="205">
        <v>2.4E-2</v>
      </c>
      <c r="AU38" s="205">
        <v>-8888</v>
      </c>
      <c r="AV38" s="205">
        <v>1.546</v>
      </c>
      <c r="AW38" s="205">
        <v>0.17699999999999999</v>
      </c>
      <c r="AX38" s="205">
        <v>0.47199999999999998</v>
      </c>
      <c r="AY38" s="205">
        <v>2.0179999999999998</v>
      </c>
      <c r="AZ38" s="205">
        <v>0.64900000000000002</v>
      </c>
      <c r="BA38" s="205">
        <v>1.06</v>
      </c>
      <c r="BB38" s="205">
        <v>2.1950000000000003</v>
      </c>
      <c r="BC38" s="205">
        <v>0.67999999999999994</v>
      </c>
      <c r="BD38" s="206">
        <v>0.93</v>
      </c>
      <c r="BE38" s="206">
        <v>0.73</v>
      </c>
      <c r="BF38" s="206">
        <v>0.27</v>
      </c>
      <c r="BG38" s="206">
        <v>2.38</v>
      </c>
      <c r="BH38" s="206">
        <v>0.08</v>
      </c>
      <c r="BI38" s="206">
        <v>0.92</v>
      </c>
      <c r="BJ38" s="206">
        <v>0.52</v>
      </c>
      <c r="BK38" s="207"/>
      <c r="BL38" s="207"/>
    </row>
    <row r="39" spans="1:64">
      <c r="A39" s="204" t="s">
        <v>448</v>
      </c>
      <c r="B39" s="169" t="s">
        <v>511</v>
      </c>
      <c r="C39" s="169" t="s">
        <v>870</v>
      </c>
      <c r="D39" s="169" t="s">
        <v>850</v>
      </c>
      <c r="E39" s="169" t="s">
        <v>170</v>
      </c>
      <c r="F39" s="169">
        <v>547</v>
      </c>
      <c r="G39" s="169">
        <v>9</v>
      </c>
      <c r="H39" s="169">
        <v>9</v>
      </c>
      <c r="I39" s="165">
        <v>31.7</v>
      </c>
      <c r="J39" s="165">
        <v>1581</v>
      </c>
      <c r="K39" s="166" t="s">
        <v>514</v>
      </c>
      <c r="L39" s="165">
        <v>2025</v>
      </c>
      <c r="M39" s="165" t="s">
        <v>851</v>
      </c>
      <c r="N39" s="165">
        <v>26</v>
      </c>
      <c r="O39" s="181">
        <v>116</v>
      </c>
      <c r="P39" s="165" t="s">
        <v>871</v>
      </c>
      <c r="Q39" s="165">
        <v>-70.884</v>
      </c>
      <c r="R39" s="165">
        <v>39.771999999999998</v>
      </c>
      <c r="S39" s="165" t="s">
        <v>172</v>
      </c>
      <c r="T39" s="165">
        <v>25</v>
      </c>
      <c r="U39" s="166" t="s">
        <v>516</v>
      </c>
      <c r="V39" s="205">
        <v>1.133</v>
      </c>
      <c r="W39" s="205">
        <v>0.121</v>
      </c>
      <c r="X39" s="205">
        <v>0.29500000000000004</v>
      </c>
      <c r="Y39" s="205">
        <v>4.4999999999999998E-2</v>
      </c>
      <c r="Z39" s="205">
        <v>4.4999999999999998E-2</v>
      </c>
      <c r="AA39" s="205">
        <v>0.10299999999999999</v>
      </c>
      <c r="AB39" s="205">
        <v>8.5999999999999993E-2</v>
      </c>
      <c r="AC39" s="205">
        <v>3.9E-2</v>
      </c>
      <c r="AD39" s="205">
        <v>3.0000000000000001E-3</v>
      </c>
      <c r="AE39" s="205">
        <v>0.245</v>
      </c>
      <c r="AF39" s="205">
        <v>7.9000000000000001E-2</v>
      </c>
      <c r="AG39" s="205">
        <v>8.0000000000000002E-3</v>
      </c>
      <c r="AH39" s="205">
        <v>1.125</v>
      </c>
      <c r="AI39" s="205">
        <v>-8888</v>
      </c>
      <c r="AJ39" s="205">
        <v>8.0000000000000002E-3</v>
      </c>
      <c r="AK39" s="205">
        <v>0.121</v>
      </c>
      <c r="AL39" s="205">
        <v>-8888</v>
      </c>
      <c r="AM39" s="205">
        <v>0.16900000000000001</v>
      </c>
      <c r="AN39" s="205">
        <v>0.126</v>
      </c>
      <c r="AO39" s="205">
        <v>-8888</v>
      </c>
      <c r="AP39" s="205">
        <v>1.4E-2</v>
      </c>
      <c r="AQ39" s="205">
        <v>7.0000000000000001E-3</v>
      </c>
      <c r="AR39" s="205">
        <v>0.01</v>
      </c>
      <c r="AS39" s="205">
        <v>2.1000000000000001E-2</v>
      </c>
      <c r="AT39" s="205">
        <v>2.4E-2</v>
      </c>
      <c r="AU39" s="205">
        <v>-8888</v>
      </c>
      <c r="AV39" s="205">
        <v>1.5489999999999999</v>
      </c>
      <c r="AW39" s="205">
        <v>0.18099999999999999</v>
      </c>
      <c r="AX39" s="205">
        <v>0.47199999999999998</v>
      </c>
      <c r="AY39" s="205">
        <v>2.0209999999999999</v>
      </c>
      <c r="AZ39" s="205">
        <v>0.65300000000000002</v>
      </c>
      <c r="BA39" s="205">
        <v>1.069</v>
      </c>
      <c r="BB39" s="205">
        <v>2.202</v>
      </c>
      <c r="BC39" s="205">
        <v>0.68699999999999994</v>
      </c>
      <c r="BD39" s="206">
        <v>0.94</v>
      </c>
      <c r="BE39" s="206">
        <v>0.72</v>
      </c>
      <c r="BF39" s="206">
        <v>0.28000000000000003</v>
      </c>
      <c r="BG39" s="206">
        <v>2.37</v>
      </c>
      <c r="BH39" s="206">
        <v>0.08</v>
      </c>
      <c r="BI39" s="206">
        <v>0.92</v>
      </c>
      <c r="BJ39" s="206">
        <v>0.51</v>
      </c>
      <c r="BK39" s="207"/>
      <c r="BL39" s="207"/>
    </row>
    <row r="40" spans="1:64">
      <c r="A40" s="210"/>
      <c r="B40" s="220"/>
      <c r="C40" s="220"/>
      <c r="D40" s="220"/>
      <c r="E40" s="220"/>
      <c r="F40" s="220"/>
      <c r="G40" s="220"/>
      <c r="H40" s="220"/>
      <c r="I40" s="220"/>
      <c r="J40" s="220"/>
      <c r="K40" s="220"/>
      <c r="L40" s="220"/>
      <c r="M40" s="220"/>
      <c r="N40" s="220"/>
      <c r="O40" s="220"/>
      <c r="P40" s="221"/>
      <c r="Q40" s="220"/>
      <c r="R40" s="220"/>
      <c r="S40" s="220"/>
      <c r="T40" s="220"/>
      <c r="U40" s="210" t="s">
        <v>22</v>
      </c>
      <c r="V40" s="210">
        <f t="shared" ref="V40:BC40" si="36">ROUND(AVERAGE((IF(V38=-8888,0,V38)),(IF(V39=-8888,0,V39))),3)</f>
        <v>1.1339999999999999</v>
      </c>
      <c r="W40" s="210">
        <f t="shared" si="36"/>
        <v>0.11899999999999999</v>
      </c>
      <c r="X40" s="210">
        <f t="shared" si="36"/>
        <v>0.29499999999999998</v>
      </c>
      <c r="Y40" s="210">
        <f t="shared" si="36"/>
        <v>4.4999999999999998E-2</v>
      </c>
      <c r="Z40" s="210">
        <f t="shared" si="36"/>
        <v>4.5999999999999999E-2</v>
      </c>
      <c r="AA40" s="210">
        <f t="shared" si="36"/>
        <v>0.10299999999999999</v>
      </c>
      <c r="AB40" s="210">
        <f t="shared" si="36"/>
        <v>8.5999999999999993E-2</v>
      </c>
      <c r="AC40" s="210">
        <f t="shared" si="36"/>
        <v>3.9E-2</v>
      </c>
      <c r="AD40" s="210">
        <f t="shared" si="36"/>
        <v>3.0000000000000001E-3</v>
      </c>
      <c r="AE40" s="210">
        <f t="shared" si="36"/>
        <v>0.245</v>
      </c>
      <c r="AF40" s="210">
        <f t="shared" si="36"/>
        <v>7.9000000000000001E-2</v>
      </c>
      <c r="AG40" s="210">
        <f t="shared" si="36"/>
        <v>7.0000000000000001E-3</v>
      </c>
      <c r="AH40" s="210">
        <f t="shared" si="36"/>
        <v>1.1259999999999999</v>
      </c>
      <c r="AI40" s="210">
        <f t="shared" si="36"/>
        <v>0</v>
      </c>
      <c r="AJ40" s="210">
        <f t="shared" si="36"/>
        <v>8.0000000000000002E-3</v>
      </c>
      <c r="AK40" s="210">
        <f t="shared" si="36"/>
        <v>0.11899999999999999</v>
      </c>
      <c r="AL40" s="210">
        <f t="shared" si="36"/>
        <v>0</v>
      </c>
      <c r="AM40" s="210">
        <f t="shared" si="36"/>
        <v>0.16900000000000001</v>
      </c>
      <c r="AN40" s="210">
        <f t="shared" si="36"/>
        <v>0.126</v>
      </c>
      <c r="AO40" s="210">
        <f t="shared" si="36"/>
        <v>0</v>
      </c>
      <c r="AP40" s="210">
        <f t="shared" si="36"/>
        <v>1.4E-2</v>
      </c>
      <c r="AQ40" s="210">
        <f t="shared" si="36"/>
        <v>7.0000000000000001E-3</v>
      </c>
      <c r="AR40" s="210">
        <f t="shared" si="36"/>
        <v>0.01</v>
      </c>
      <c r="AS40" s="210">
        <f t="shared" si="36"/>
        <v>2.1000000000000001E-2</v>
      </c>
      <c r="AT40" s="210">
        <f t="shared" si="36"/>
        <v>2.4E-2</v>
      </c>
      <c r="AU40" s="210">
        <f t="shared" si="36"/>
        <v>0</v>
      </c>
      <c r="AV40" s="210">
        <f t="shared" si="36"/>
        <v>1.548</v>
      </c>
      <c r="AW40" s="210">
        <f t="shared" si="36"/>
        <v>0.17899999999999999</v>
      </c>
      <c r="AX40" s="210">
        <f t="shared" si="36"/>
        <v>0.47199999999999998</v>
      </c>
      <c r="AY40" s="210">
        <f t="shared" si="36"/>
        <v>2.02</v>
      </c>
      <c r="AZ40" s="210">
        <f t="shared" si="36"/>
        <v>0.65100000000000002</v>
      </c>
      <c r="BA40" s="210">
        <f t="shared" si="36"/>
        <v>1.0649999999999999</v>
      </c>
      <c r="BB40" s="210">
        <f t="shared" si="36"/>
        <v>2.1989999999999998</v>
      </c>
      <c r="BC40" s="210">
        <f t="shared" si="36"/>
        <v>0.68400000000000005</v>
      </c>
      <c r="BD40" s="209">
        <f>ROUND(AVERAGE((IF(BD38=-8888,0,BD38)),(IF(BD39=-8888,0,BD39))),2)</f>
        <v>0.94</v>
      </c>
      <c r="BE40" s="209">
        <f t="shared" ref="BE40:BJ40" si="37">ROUND(AVERAGE((IF(BE38=-8888,0,BE38)),(IF(BE39=-8888,0,BE39))),2)</f>
        <v>0.73</v>
      </c>
      <c r="BF40" s="209">
        <f t="shared" si="37"/>
        <v>0.28000000000000003</v>
      </c>
      <c r="BG40" s="209">
        <f t="shared" si="37"/>
        <v>2.38</v>
      </c>
      <c r="BH40" s="209">
        <f t="shared" si="37"/>
        <v>0.08</v>
      </c>
      <c r="BI40" s="209">
        <f t="shared" si="37"/>
        <v>0.92</v>
      </c>
      <c r="BJ40" s="209">
        <f t="shared" si="37"/>
        <v>0.52</v>
      </c>
      <c r="BK40" s="211"/>
      <c r="BL40" s="211"/>
    </row>
    <row r="41" spans="1:64">
      <c r="A41" s="214"/>
      <c r="B41" s="222"/>
      <c r="C41" s="222"/>
      <c r="D41" s="222"/>
      <c r="E41" s="222"/>
      <c r="F41" s="222"/>
      <c r="G41" s="222"/>
      <c r="H41" s="222"/>
      <c r="I41" s="222"/>
      <c r="J41" s="222"/>
      <c r="K41" s="222"/>
      <c r="L41" s="222"/>
      <c r="M41" s="222"/>
      <c r="N41" s="222"/>
      <c r="O41" s="222"/>
      <c r="P41" s="223"/>
      <c r="Q41" s="222"/>
      <c r="R41" s="222"/>
      <c r="S41" s="222"/>
      <c r="T41" s="222"/>
      <c r="U41" s="214" t="s">
        <v>1015</v>
      </c>
      <c r="V41" s="214">
        <f t="shared" ref="V41:BC41" si="38">ROUND(STDEV((IF(V38=-8888,0,V38)),(IF(V39=-8888,0,V39))),3)</f>
        <v>1E-3</v>
      </c>
      <c r="W41" s="214">
        <f t="shared" si="38"/>
        <v>3.0000000000000001E-3</v>
      </c>
      <c r="X41" s="214">
        <f t="shared" si="38"/>
        <v>1E-3</v>
      </c>
      <c r="Y41" s="214">
        <f t="shared" si="38"/>
        <v>0</v>
      </c>
      <c r="Z41" s="214">
        <f t="shared" si="38"/>
        <v>1E-3</v>
      </c>
      <c r="AA41" s="214">
        <f t="shared" si="38"/>
        <v>0</v>
      </c>
      <c r="AB41" s="214">
        <f t="shared" si="38"/>
        <v>1E-3</v>
      </c>
      <c r="AC41" s="214">
        <f t="shared" si="38"/>
        <v>1E-3</v>
      </c>
      <c r="AD41" s="214">
        <f t="shared" si="38"/>
        <v>0</v>
      </c>
      <c r="AE41" s="214">
        <f t="shared" si="38"/>
        <v>0</v>
      </c>
      <c r="AF41" s="214">
        <f t="shared" si="38"/>
        <v>1E-3</v>
      </c>
      <c r="AG41" s="214">
        <f t="shared" si="38"/>
        <v>1E-3</v>
      </c>
      <c r="AH41" s="214">
        <f t="shared" si="38"/>
        <v>1E-3</v>
      </c>
      <c r="AI41" s="214">
        <f t="shared" si="38"/>
        <v>0</v>
      </c>
      <c r="AJ41" s="214">
        <f t="shared" si="38"/>
        <v>0</v>
      </c>
      <c r="AK41" s="214">
        <f t="shared" si="38"/>
        <v>3.0000000000000001E-3</v>
      </c>
      <c r="AL41" s="214">
        <f t="shared" si="38"/>
        <v>0</v>
      </c>
      <c r="AM41" s="214">
        <f t="shared" si="38"/>
        <v>1E-3</v>
      </c>
      <c r="AN41" s="214">
        <f t="shared" si="38"/>
        <v>0</v>
      </c>
      <c r="AO41" s="214">
        <f t="shared" si="38"/>
        <v>0</v>
      </c>
      <c r="AP41" s="214">
        <f t="shared" si="38"/>
        <v>1E-3</v>
      </c>
      <c r="AQ41" s="214">
        <f t="shared" si="38"/>
        <v>0</v>
      </c>
      <c r="AR41" s="214">
        <f t="shared" si="38"/>
        <v>0</v>
      </c>
      <c r="AS41" s="214">
        <f t="shared" si="38"/>
        <v>1E-3</v>
      </c>
      <c r="AT41" s="214">
        <f t="shared" si="38"/>
        <v>0</v>
      </c>
      <c r="AU41" s="214">
        <f t="shared" si="38"/>
        <v>0</v>
      </c>
      <c r="AV41" s="214">
        <f t="shared" si="38"/>
        <v>2E-3</v>
      </c>
      <c r="AW41" s="214">
        <f t="shared" si="38"/>
        <v>3.0000000000000001E-3</v>
      </c>
      <c r="AX41" s="214">
        <f t="shared" si="38"/>
        <v>0</v>
      </c>
      <c r="AY41" s="214">
        <f t="shared" si="38"/>
        <v>2E-3</v>
      </c>
      <c r="AZ41" s="214">
        <f t="shared" si="38"/>
        <v>3.0000000000000001E-3</v>
      </c>
      <c r="BA41" s="214">
        <f t="shared" si="38"/>
        <v>6.0000000000000001E-3</v>
      </c>
      <c r="BB41" s="214">
        <f t="shared" si="38"/>
        <v>5.0000000000000001E-3</v>
      </c>
      <c r="BC41" s="214">
        <f t="shared" si="38"/>
        <v>5.0000000000000001E-3</v>
      </c>
      <c r="BD41" s="213">
        <f>ROUND(STDEV((IF(BD38=-8888,0,BD38)),(IF(BD39=-8888,0,BD39))),2)</f>
        <v>0.01</v>
      </c>
      <c r="BE41" s="213">
        <f t="shared" ref="BE41:BJ41" si="39">ROUND(STDEV((IF(BE38=-8888,0,BE38)),(IF(BE39=-8888,0,BE39))),2)</f>
        <v>0.01</v>
      </c>
      <c r="BF41" s="213">
        <f t="shared" si="39"/>
        <v>0.01</v>
      </c>
      <c r="BG41" s="213">
        <f t="shared" si="39"/>
        <v>0.01</v>
      </c>
      <c r="BH41" s="213">
        <f t="shared" si="39"/>
        <v>0</v>
      </c>
      <c r="BI41" s="213">
        <f t="shared" si="39"/>
        <v>0</v>
      </c>
      <c r="BJ41" s="213">
        <f t="shared" si="39"/>
        <v>0.01</v>
      </c>
      <c r="BK41" s="215"/>
      <c r="BL41" s="215"/>
    </row>
    <row r="42" spans="1:64">
      <c r="A42" s="216"/>
      <c r="B42" s="224"/>
      <c r="C42" s="224"/>
      <c r="D42" s="224"/>
      <c r="E42" s="224"/>
      <c r="F42" s="224"/>
      <c r="G42" s="224"/>
      <c r="H42" s="224"/>
      <c r="I42" s="224"/>
      <c r="J42" s="224"/>
      <c r="K42" s="224"/>
      <c r="L42" s="224"/>
      <c r="M42" s="224"/>
      <c r="N42" s="224"/>
      <c r="O42" s="224"/>
      <c r="P42" s="225"/>
      <c r="Q42" s="224"/>
      <c r="R42" s="224"/>
      <c r="S42" s="224"/>
      <c r="T42" s="224"/>
      <c r="U42" s="217" t="s">
        <v>148</v>
      </c>
      <c r="V42" s="218">
        <f>IF((V40=0),"N/A",ROUND((V41/V40),4))</f>
        <v>8.9999999999999998E-4</v>
      </c>
      <c r="W42" s="218">
        <f>IF((W40=0),"N/A",ROUND((W41/W40),4))</f>
        <v>2.52E-2</v>
      </c>
      <c r="X42" s="218">
        <f>IF((X40=0),"N/A",ROUND((X41/X40),4))</f>
        <v>3.3999999999999998E-3</v>
      </c>
      <c r="Y42" s="218">
        <f t="shared" ref="Y42:AI42" si="40">IF((Y40=0),"N/A",ROUND((Y41/Y40),4))</f>
        <v>0</v>
      </c>
      <c r="Z42" s="218">
        <f t="shared" si="40"/>
        <v>2.1700000000000001E-2</v>
      </c>
      <c r="AA42" s="218">
        <f t="shared" si="40"/>
        <v>0</v>
      </c>
      <c r="AB42" s="218">
        <f t="shared" si="40"/>
        <v>1.1599999999999999E-2</v>
      </c>
      <c r="AC42" s="218">
        <f t="shared" si="40"/>
        <v>2.5600000000000001E-2</v>
      </c>
      <c r="AD42" s="218">
        <f t="shared" si="40"/>
        <v>0</v>
      </c>
      <c r="AE42" s="218">
        <f t="shared" si="40"/>
        <v>0</v>
      </c>
      <c r="AF42" s="218">
        <f t="shared" si="40"/>
        <v>1.2699999999999999E-2</v>
      </c>
      <c r="AG42" s="218">
        <f t="shared" si="40"/>
        <v>0.1429</v>
      </c>
      <c r="AH42" s="218">
        <f t="shared" si="40"/>
        <v>8.9999999999999998E-4</v>
      </c>
      <c r="AI42" s="218" t="str">
        <f t="shared" si="40"/>
        <v>N/A</v>
      </c>
      <c r="AJ42" s="218">
        <f>IF((AJ40=0),"N/A",ROUND((AJ41/AJ40),4))</f>
        <v>0</v>
      </c>
      <c r="AK42" s="218">
        <f t="shared" ref="AK42:BI42" si="41">IF((AK40=0),"N/A",ROUND((AK41/AK40),4))</f>
        <v>2.52E-2</v>
      </c>
      <c r="AL42" s="218" t="str">
        <f t="shared" si="41"/>
        <v>N/A</v>
      </c>
      <c r="AM42" s="218">
        <f t="shared" si="41"/>
        <v>5.8999999999999999E-3</v>
      </c>
      <c r="AN42" s="218">
        <f t="shared" si="41"/>
        <v>0</v>
      </c>
      <c r="AO42" s="218" t="str">
        <f t="shared" si="41"/>
        <v>N/A</v>
      </c>
      <c r="AP42" s="218">
        <f t="shared" si="41"/>
        <v>7.1400000000000005E-2</v>
      </c>
      <c r="AQ42" s="218">
        <f t="shared" si="41"/>
        <v>0</v>
      </c>
      <c r="AR42" s="218">
        <f t="shared" si="41"/>
        <v>0</v>
      </c>
      <c r="AS42" s="218">
        <f t="shared" si="41"/>
        <v>4.7600000000000003E-2</v>
      </c>
      <c r="AT42" s="218">
        <f t="shared" si="41"/>
        <v>0</v>
      </c>
      <c r="AU42" s="218" t="str">
        <f t="shared" si="41"/>
        <v>N/A</v>
      </c>
      <c r="AV42" s="218">
        <f t="shared" si="41"/>
        <v>1.2999999999999999E-3</v>
      </c>
      <c r="AW42" s="218">
        <f t="shared" si="41"/>
        <v>1.6799999999999999E-2</v>
      </c>
      <c r="AX42" s="218">
        <f t="shared" si="41"/>
        <v>0</v>
      </c>
      <c r="AY42" s="218">
        <f t="shared" si="41"/>
        <v>1E-3</v>
      </c>
      <c r="AZ42" s="218">
        <f t="shared" si="41"/>
        <v>4.5999999999999999E-3</v>
      </c>
      <c r="BA42" s="218">
        <f t="shared" si="41"/>
        <v>5.5999999999999999E-3</v>
      </c>
      <c r="BB42" s="218">
        <f t="shared" si="41"/>
        <v>2.3E-3</v>
      </c>
      <c r="BC42" s="218">
        <f t="shared" si="41"/>
        <v>7.3000000000000001E-3</v>
      </c>
      <c r="BD42" s="218">
        <f t="shared" si="41"/>
        <v>1.06E-2</v>
      </c>
      <c r="BE42" s="218">
        <f t="shared" si="41"/>
        <v>1.37E-2</v>
      </c>
      <c r="BF42" s="218">
        <f t="shared" si="41"/>
        <v>3.5700000000000003E-2</v>
      </c>
      <c r="BG42" s="218">
        <f t="shared" si="41"/>
        <v>4.1999999999999997E-3</v>
      </c>
      <c r="BH42" s="218">
        <f t="shared" si="41"/>
        <v>0</v>
      </c>
      <c r="BI42" s="218">
        <f t="shared" si="41"/>
        <v>0</v>
      </c>
      <c r="BJ42" s="218">
        <f>IF((BJ40=0),"N/A",ROUND((BJ41/BJ40),4))</f>
        <v>1.9199999999999998E-2</v>
      </c>
      <c r="BK42" s="219">
        <f>V42</f>
        <v>8.9999999999999998E-4</v>
      </c>
      <c r="BL42" s="219">
        <f>AVERAGE(V42:AG42)</f>
        <v>2.0333333333333332E-2</v>
      </c>
    </row>
    <row r="43" spans="1:64" ht="15">
      <c r="A43" s="204" t="s">
        <v>475</v>
      </c>
      <c r="B43" s="173" t="s">
        <v>511</v>
      </c>
      <c r="C43" s="165" t="s">
        <v>925</v>
      </c>
      <c r="D43" s="174" t="s">
        <v>910</v>
      </c>
      <c r="E43" s="165" t="s">
        <v>170</v>
      </c>
      <c r="F43" s="165">
        <v>535</v>
      </c>
      <c r="G43" s="165" t="s">
        <v>919</v>
      </c>
      <c r="H43" s="165" t="s">
        <v>926</v>
      </c>
      <c r="I43" s="165">
        <v>2.5</v>
      </c>
      <c r="J43" s="173">
        <v>15</v>
      </c>
      <c r="K43" s="175" t="s">
        <v>913</v>
      </c>
      <c r="L43" s="165">
        <v>2024</v>
      </c>
      <c r="M43" s="173" t="s">
        <v>851</v>
      </c>
      <c r="N43" s="165">
        <v>2</v>
      </c>
      <c r="O43" s="181">
        <v>93</v>
      </c>
      <c r="P43" s="176">
        <v>0.72916666666666663</v>
      </c>
      <c r="Q43" s="174">
        <v>-70.565700000000007</v>
      </c>
      <c r="R43" s="174">
        <v>41.325000000000003</v>
      </c>
      <c r="S43" s="177" t="s">
        <v>172</v>
      </c>
      <c r="T43" s="177">
        <v>25</v>
      </c>
      <c r="U43" s="178" t="s">
        <v>516</v>
      </c>
      <c r="V43" s="205">
        <v>1.444</v>
      </c>
      <c r="W43" s="205">
        <v>0.13800000000000001</v>
      </c>
      <c r="X43" s="205">
        <v>0.20699999999999999</v>
      </c>
      <c r="Y43" s="205">
        <v>5.8999999999999997E-2</v>
      </c>
      <c r="Z43" s="205">
        <v>8.0000000000000002E-3</v>
      </c>
      <c r="AA43" s="205">
        <v>1.4999999999999999E-2</v>
      </c>
      <c r="AB43" s="205">
        <v>4.9000000000000002E-2</v>
      </c>
      <c r="AC43" s="205">
        <v>0.104</v>
      </c>
      <c r="AD43" s="205">
        <v>0.02</v>
      </c>
      <c r="AE43" s="205">
        <v>0.47799999999999998</v>
      </c>
      <c r="AF43" s="205">
        <v>1.7999999999999999E-2</v>
      </c>
      <c r="AG43" s="205">
        <v>8.9999999999999993E-3</v>
      </c>
      <c r="AH43" s="205">
        <v>1.389</v>
      </c>
      <c r="AI43" s="205">
        <v>-8888</v>
      </c>
      <c r="AJ43" s="205">
        <v>5.5E-2</v>
      </c>
      <c r="AK43" s="205">
        <v>0.13800000000000001</v>
      </c>
      <c r="AL43" s="205">
        <v>-8888</v>
      </c>
      <c r="AM43" s="205">
        <v>0.17499999999999999</v>
      </c>
      <c r="AN43" s="205">
        <v>3.2000000000000001E-2</v>
      </c>
      <c r="AO43" s="205">
        <v>5.0000000000000001E-3</v>
      </c>
      <c r="AP43" s="205">
        <v>1.4999999999999999E-2</v>
      </c>
      <c r="AQ43" s="205">
        <v>2.3E-2</v>
      </c>
      <c r="AR43" s="205">
        <v>1.4999999999999999E-2</v>
      </c>
      <c r="AS43" s="205">
        <v>9.0999999999999998E-2</v>
      </c>
      <c r="AT43" s="205">
        <v>3.7999999999999999E-2</v>
      </c>
      <c r="AU43" s="205">
        <v>-8888</v>
      </c>
      <c r="AV43" s="205">
        <v>1.7889999999999999</v>
      </c>
      <c r="AW43" s="205">
        <v>0.24099999999999999</v>
      </c>
      <c r="AX43" s="205">
        <v>0.51900000000000002</v>
      </c>
      <c r="AY43" s="205">
        <v>2.3079999999999998</v>
      </c>
      <c r="AZ43" s="205">
        <v>0.76</v>
      </c>
      <c r="BA43" s="205">
        <v>1.105</v>
      </c>
      <c r="BB43" s="205">
        <v>2.5489999999999999</v>
      </c>
      <c r="BC43" s="205">
        <v>0.71500000000000008</v>
      </c>
      <c r="BD43" s="206">
        <v>0.77</v>
      </c>
      <c r="BE43" s="206">
        <v>0.68</v>
      </c>
      <c r="BF43" s="206">
        <v>0.32</v>
      </c>
      <c r="BG43" s="206">
        <v>2.35</v>
      </c>
      <c r="BH43" s="206">
        <v>0.09</v>
      </c>
      <c r="BI43" s="206">
        <v>0.91</v>
      </c>
      <c r="BJ43" s="206">
        <v>0.56999999999999995</v>
      </c>
      <c r="BK43" s="207"/>
      <c r="BL43" s="207"/>
    </row>
    <row r="44" spans="1:64" ht="15">
      <c r="A44" s="204" t="s">
        <v>476</v>
      </c>
      <c r="B44" s="173" t="s">
        <v>511</v>
      </c>
      <c r="C44" s="165" t="s">
        <v>925</v>
      </c>
      <c r="D44" s="174" t="s">
        <v>910</v>
      </c>
      <c r="E44" s="165" t="s">
        <v>170</v>
      </c>
      <c r="F44" s="165">
        <v>535</v>
      </c>
      <c r="G44" s="165" t="s">
        <v>919</v>
      </c>
      <c r="H44" s="165" t="s">
        <v>926</v>
      </c>
      <c r="I44" s="165">
        <v>2.5</v>
      </c>
      <c r="J44" s="173">
        <v>15</v>
      </c>
      <c r="K44" s="175" t="s">
        <v>913</v>
      </c>
      <c r="L44" s="165">
        <v>2024</v>
      </c>
      <c r="M44" s="173" t="s">
        <v>851</v>
      </c>
      <c r="N44" s="165">
        <v>2</v>
      </c>
      <c r="O44" s="181">
        <v>93</v>
      </c>
      <c r="P44" s="176">
        <v>0.72916666666666663</v>
      </c>
      <c r="Q44" s="174">
        <v>-70.565700000000007</v>
      </c>
      <c r="R44" s="174">
        <v>41.325000000000003</v>
      </c>
      <c r="S44" s="177" t="s">
        <v>172</v>
      </c>
      <c r="T44" s="177">
        <v>25</v>
      </c>
      <c r="U44" s="178" t="s">
        <v>516</v>
      </c>
      <c r="V44" s="205">
        <v>1.4410000000000001</v>
      </c>
      <c r="W44" s="205">
        <v>0.13600000000000001</v>
      </c>
      <c r="X44" s="205">
        <v>0.20699999999999999</v>
      </c>
      <c r="Y44" s="205">
        <v>5.8000000000000003E-2</v>
      </c>
      <c r="Z44" s="205">
        <v>8.0000000000000002E-3</v>
      </c>
      <c r="AA44" s="205">
        <v>1.4E-2</v>
      </c>
      <c r="AB44" s="205">
        <v>0.05</v>
      </c>
      <c r="AC44" s="205">
        <v>0.10299999999999999</v>
      </c>
      <c r="AD44" s="205">
        <v>1.9E-2</v>
      </c>
      <c r="AE44" s="205">
        <v>0.47499999999999998</v>
      </c>
      <c r="AF44" s="205">
        <v>1.7999999999999999E-2</v>
      </c>
      <c r="AG44" s="205">
        <v>8.9999999999999993E-3</v>
      </c>
      <c r="AH44" s="205">
        <v>1.387</v>
      </c>
      <c r="AI44" s="205">
        <v>-8888</v>
      </c>
      <c r="AJ44" s="205">
        <v>5.3999999999999999E-2</v>
      </c>
      <c r="AK44" s="205">
        <v>0.13600000000000001</v>
      </c>
      <c r="AL44" s="205">
        <v>-8888</v>
      </c>
      <c r="AM44" s="205">
        <v>0.17399999999999999</v>
      </c>
      <c r="AN44" s="205">
        <v>3.3000000000000002E-2</v>
      </c>
      <c r="AO44" s="205">
        <v>4.0000000000000001E-3</v>
      </c>
      <c r="AP44" s="205">
        <v>1.6E-2</v>
      </c>
      <c r="AQ44" s="205">
        <v>2.1999999999999999E-2</v>
      </c>
      <c r="AR44" s="205">
        <v>1.4999999999999999E-2</v>
      </c>
      <c r="AS44" s="205">
        <v>0.09</v>
      </c>
      <c r="AT44" s="205">
        <v>3.6999999999999998E-2</v>
      </c>
      <c r="AU44" s="205">
        <v>-8888</v>
      </c>
      <c r="AV44" s="205">
        <v>1.784</v>
      </c>
      <c r="AW44" s="205">
        <v>0.23899999999999999</v>
      </c>
      <c r="AX44" s="205">
        <v>0.51500000000000001</v>
      </c>
      <c r="AY44" s="205">
        <v>2.2989999999999999</v>
      </c>
      <c r="AZ44" s="205">
        <v>0.754</v>
      </c>
      <c r="BA44" s="205">
        <v>1.097</v>
      </c>
      <c r="BB44" s="205">
        <v>2.5380000000000003</v>
      </c>
      <c r="BC44" s="205">
        <v>0.71</v>
      </c>
      <c r="BD44" s="206">
        <v>0.76</v>
      </c>
      <c r="BE44" s="206">
        <v>0.68</v>
      </c>
      <c r="BF44" s="206">
        <v>0.32</v>
      </c>
      <c r="BG44" s="206">
        <v>2.37</v>
      </c>
      <c r="BH44" s="206">
        <v>0.09</v>
      </c>
      <c r="BI44" s="206">
        <v>0.91</v>
      </c>
      <c r="BJ44" s="206">
        <v>0.56999999999999995</v>
      </c>
      <c r="BK44" s="207"/>
      <c r="BL44" s="207"/>
    </row>
    <row r="45" spans="1:64">
      <c r="A45" s="210"/>
      <c r="B45" s="220"/>
      <c r="C45" s="220"/>
      <c r="D45" s="220"/>
      <c r="E45" s="220"/>
      <c r="F45" s="220"/>
      <c r="G45" s="220"/>
      <c r="H45" s="220"/>
      <c r="I45" s="220"/>
      <c r="J45" s="220"/>
      <c r="K45" s="220"/>
      <c r="L45" s="220"/>
      <c r="M45" s="220"/>
      <c r="N45" s="220"/>
      <c r="O45" s="220"/>
      <c r="P45" s="221"/>
      <c r="Q45" s="220"/>
      <c r="R45" s="220"/>
      <c r="S45" s="220"/>
      <c r="T45" s="220"/>
      <c r="U45" s="210" t="s">
        <v>22</v>
      </c>
      <c r="V45" s="210">
        <f t="shared" ref="V45:BC45" si="42">ROUND(AVERAGE((IF(V43=-8888,0,V43)),(IF(V44=-8888,0,V44))),3)</f>
        <v>1.4430000000000001</v>
      </c>
      <c r="W45" s="210">
        <f t="shared" si="42"/>
        <v>0.13700000000000001</v>
      </c>
      <c r="X45" s="210">
        <f t="shared" si="42"/>
        <v>0.20699999999999999</v>
      </c>
      <c r="Y45" s="210">
        <f t="shared" si="42"/>
        <v>5.8999999999999997E-2</v>
      </c>
      <c r="Z45" s="210">
        <f t="shared" si="42"/>
        <v>8.0000000000000002E-3</v>
      </c>
      <c r="AA45" s="210">
        <f t="shared" si="42"/>
        <v>1.4999999999999999E-2</v>
      </c>
      <c r="AB45" s="210">
        <f t="shared" si="42"/>
        <v>0.05</v>
      </c>
      <c r="AC45" s="210">
        <f t="shared" si="42"/>
        <v>0.104</v>
      </c>
      <c r="AD45" s="210">
        <f t="shared" si="42"/>
        <v>0.02</v>
      </c>
      <c r="AE45" s="210">
        <f t="shared" si="42"/>
        <v>0.47699999999999998</v>
      </c>
      <c r="AF45" s="210">
        <f t="shared" si="42"/>
        <v>1.7999999999999999E-2</v>
      </c>
      <c r="AG45" s="210">
        <f t="shared" si="42"/>
        <v>8.9999999999999993E-3</v>
      </c>
      <c r="AH45" s="210">
        <f t="shared" si="42"/>
        <v>1.3879999999999999</v>
      </c>
      <c r="AI45" s="210">
        <f t="shared" si="42"/>
        <v>0</v>
      </c>
      <c r="AJ45" s="210">
        <f t="shared" si="42"/>
        <v>5.5E-2</v>
      </c>
      <c r="AK45" s="210">
        <f t="shared" si="42"/>
        <v>0.13700000000000001</v>
      </c>
      <c r="AL45" s="210">
        <f t="shared" si="42"/>
        <v>0</v>
      </c>
      <c r="AM45" s="210">
        <f t="shared" si="42"/>
        <v>0.17499999999999999</v>
      </c>
      <c r="AN45" s="210">
        <f t="shared" si="42"/>
        <v>3.3000000000000002E-2</v>
      </c>
      <c r="AO45" s="210">
        <f t="shared" si="42"/>
        <v>5.0000000000000001E-3</v>
      </c>
      <c r="AP45" s="210">
        <f t="shared" si="42"/>
        <v>1.6E-2</v>
      </c>
      <c r="AQ45" s="210">
        <f t="shared" si="42"/>
        <v>2.3E-2</v>
      </c>
      <c r="AR45" s="210">
        <f t="shared" si="42"/>
        <v>1.4999999999999999E-2</v>
      </c>
      <c r="AS45" s="210">
        <f t="shared" si="42"/>
        <v>9.0999999999999998E-2</v>
      </c>
      <c r="AT45" s="210">
        <f t="shared" si="42"/>
        <v>3.7999999999999999E-2</v>
      </c>
      <c r="AU45" s="210">
        <f t="shared" si="42"/>
        <v>0</v>
      </c>
      <c r="AV45" s="210">
        <f t="shared" si="42"/>
        <v>1.7869999999999999</v>
      </c>
      <c r="AW45" s="210">
        <f t="shared" si="42"/>
        <v>0.24</v>
      </c>
      <c r="AX45" s="210">
        <f t="shared" si="42"/>
        <v>0.51700000000000002</v>
      </c>
      <c r="AY45" s="210">
        <f t="shared" si="42"/>
        <v>2.3039999999999998</v>
      </c>
      <c r="AZ45" s="210">
        <f t="shared" si="42"/>
        <v>0.75700000000000001</v>
      </c>
      <c r="BA45" s="210">
        <f t="shared" si="42"/>
        <v>1.101</v>
      </c>
      <c r="BB45" s="210">
        <f t="shared" si="42"/>
        <v>2.544</v>
      </c>
      <c r="BC45" s="210">
        <f t="shared" si="42"/>
        <v>0.71299999999999997</v>
      </c>
      <c r="BD45" s="209">
        <f>ROUND(AVERAGE((IF(BD43=-8888,0,BD43)),(IF(BD44=-8888,0,BD44))),2)</f>
        <v>0.77</v>
      </c>
      <c r="BE45" s="209">
        <f t="shared" ref="BE45:BJ45" si="43">ROUND(AVERAGE((IF(BE43=-8888,0,BE43)),(IF(BE44=-8888,0,BE44))),2)</f>
        <v>0.68</v>
      </c>
      <c r="BF45" s="209">
        <f t="shared" si="43"/>
        <v>0.32</v>
      </c>
      <c r="BG45" s="209">
        <f t="shared" si="43"/>
        <v>2.36</v>
      </c>
      <c r="BH45" s="209">
        <f t="shared" si="43"/>
        <v>0.09</v>
      </c>
      <c r="BI45" s="209">
        <f t="shared" si="43"/>
        <v>0.91</v>
      </c>
      <c r="BJ45" s="209">
        <f t="shared" si="43"/>
        <v>0.56999999999999995</v>
      </c>
      <c r="BK45" s="211"/>
      <c r="BL45" s="211"/>
    </row>
    <row r="46" spans="1:64">
      <c r="A46" s="214"/>
      <c r="B46" s="222"/>
      <c r="C46" s="222"/>
      <c r="D46" s="222"/>
      <c r="E46" s="222"/>
      <c r="F46" s="222"/>
      <c r="G46" s="222"/>
      <c r="H46" s="222"/>
      <c r="I46" s="222"/>
      <c r="J46" s="222"/>
      <c r="K46" s="222"/>
      <c r="L46" s="222"/>
      <c r="M46" s="222"/>
      <c r="N46" s="222"/>
      <c r="O46" s="222"/>
      <c r="P46" s="223"/>
      <c r="Q46" s="222"/>
      <c r="R46" s="222"/>
      <c r="S46" s="222"/>
      <c r="T46" s="222"/>
      <c r="U46" s="214" t="s">
        <v>1015</v>
      </c>
      <c r="V46" s="214">
        <f t="shared" ref="V46:BC46" si="44">ROUND(STDEV((IF(V43=-8888,0,V43)),(IF(V44=-8888,0,V44))),3)</f>
        <v>2E-3</v>
      </c>
      <c r="W46" s="214">
        <f t="shared" si="44"/>
        <v>1E-3</v>
      </c>
      <c r="X46" s="214">
        <f t="shared" si="44"/>
        <v>0</v>
      </c>
      <c r="Y46" s="214">
        <f t="shared" si="44"/>
        <v>1E-3</v>
      </c>
      <c r="Z46" s="214">
        <f t="shared" si="44"/>
        <v>0</v>
      </c>
      <c r="AA46" s="214">
        <f t="shared" si="44"/>
        <v>1E-3</v>
      </c>
      <c r="AB46" s="214">
        <f t="shared" si="44"/>
        <v>1E-3</v>
      </c>
      <c r="AC46" s="214">
        <f t="shared" si="44"/>
        <v>1E-3</v>
      </c>
      <c r="AD46" s="214">
        <f t="shared" si="44"/>
        <v>1E-3</v>
      </c>
      <c r="AE46" s="214">
        <f t="shared" si="44"/>
        <v>2E-3</v>
      </c>
      <c r="AF46" s="214">
        <f t="shared" si="44"/>
        <v>0</v>
      </c>
      <c r="AG46" s="214">
        <f t="shared" si="44"/>
        <v>0</v>
      </c>
      <c r="AH46" s="214">
        <f t="shared" si="44"/>
        <v>1E-3</v>
      </c>
      <c r="AI46" s="214">
        <f t="shared" si="44"/>
        <v>0</v>
      </c>
      <c r="AJ46" s="214">
        <f t="shared" si="44"/>
        <v>1E-3</v>
      </c>
      <c r="AK46" s="214">
        <f t="shared" si="44"/>
        <v>1E-3</v>
      </c>
      <c r="AL46" s="214">
        <f t="shared" si="44"/>
        <v>0</v>
      </c>
      <c r="AM46" s="214">
        <f t="shared" si="44"/>
        <v>1E-3</v>
      </c>
      <c r="AN46" s="214">
        <f t="shared" si="44"/>
        <v>1E-3</v>
      </c>
      <c r="AO46" s="214">
        <f t="shared" si="44"/>
        <v>1E-3</v>
      </c>
      <c r="AP46" s="214">
        <f t="shared" si="44"/>
        <v>1E-3</v>
      </c>
      <c r="AQ46" s="214">
        <f t="shared" si="44"/>
        <v>1E-3</v>
      </c>
      <c r="AR46" s="214">
        <f t="shared" si="44"/>
        <v>0</v>
      </c>
      <c r="AS46" s="214">
        <f t="shared" si="44"/>
        <v>1E-3</v>
      </c>
      <c r="AT46" s="214">
        <f t="shared" si="44"/>
        <v>1E-3</v>
      </c>
      <c r="AU46" s="214">
        <f t="shared" si="44"/>
        <v>0</v>
      </c>
      <c r="AV46" s="214">
        <f t="shared" si="44"/>
        <v>4.0000000000000001E-3</v>
      </c>
      <c r="AW46" s="214">
        <f t="shared" si="44"/>
        <v>1E-3</v>
      </c>
      <c r="AX46" s="214">
        <f t="shared" si="44"/>
        <v>3.0000000000000001E-3</v>
      </c>
      <c r="AY46" s="214">
        <f t="shared" si="44"/>
        <v>6.0000000000000001E-3</v>
      </c>
      <c r="AZ46" s="214">
        <f t="shared" si="44"/>
        <v>4.0000000000000001E-3</v>
      </c>
      <c r="BA46" s="214">
        <f t="shared" si="44"/>
        <v>6.0000000000000001E-3</v>
      </c>
      <c r="BB46" s="214">
        <f t="shared" si="44"/>
        <v>8.0000000000000002E-3</v>
      </c>
      <c r="BC46" s="214">
        <f t="shared" si="44"/>
        <v>4.0000000000000001E-3</v>
      </c>
      <c r="BD46" s="213">
        <f>ROUND(STDEV((IF(BD43=-8888,0,BD43)),(IF(BD44=-8888,0,BD44))),2)</f>
        <v>0.01</v>
      </c>
      <c r="BE46" s="213">
        <f t="shared" ref="BE46:BJ46" si="45">ROUND(STDEV((IF(BE43=-8888,0,BE43)),(IF(BE44=-8888,0,BE44))),2)</f>
        <v>0</v>
      </c>
      <c r="BF46" s="213">
        <f t="shared" si="45"/>
        <v>0</v>
      </c>
      <c r="BG46" s="213">
        <f t="shared" si="45"/>
        <v>0.01</v>
      </c>
      <c r="BH46" s="213">
        <f t="shared" si="45"/>
        <v>0</v>
      </c>
      <c r="BI46" s="213">
        <f t="shared" si="45"/>
        <v>0</v>
      </c>
      <c r="BJ46" s="213">
        <f t="shared" si="45"/>
        <v>0</v>
      </c>
      <c r="BK46" s="215"/>
      <c r="BL46" s="215"/>
    </row>
    <row r="47" spans="1:64">
      <c r="A47" s="216"/>
      <c r="B47" s="224"/>
      <c r="C47" s="224"/>
      <c r="D47" s="224"/>
      <c r="E47" s="224"/>
      <c r="F47" s="224"/>
      <c r="G47" s="224"/>
      <c r="H47" s="224"/>
      <c r="I47" s="224"/>
      <c r="J47" s="224"/>
      <c r="K47" s="224"/>
      <c r="L47" s="224"/>
      <c r="M47" s="224"/>
      <c r="N47" s="224"/>
      <c r="O47" s="224"/>
      <c r="P47" s="225"/>
      <c r="Q47" s="224"/>
      <c r="R47" s="224"/>
      <c r="S47" s="224"/>
      <c r="T47" s="224"/>
      <c r="U47" s="217" t="s">
        <v>148</v>
      </c>
      <c r="V47" s="218">
        <f>IF((V45=0),"N/A",ROUND((V46/V45),4))</f>
        <v>1.4E-3</v>
      </c>
      <c r="W47" s="218">
        <f>IF((W45=0),"N/A",ROUND((W46/W45),4))</f>
        <v>7.3000000000000001E-3</v>
      </c>
      <c r="X47" s="218">
        <f>IF((X45=0),"N/A",ROUND((X46/X45),4))</f>
        <v>0</v>
      </c>
      <c r="Y47" s="218">
        <f t="shared" ref="Y47:AI47" si="46">IF((Y45=0),"N/A",ROUND((Y46/Y45),4))</f>
        <v>1.6899999999999998E-2</v>
      </c>
      <c r="Z47" s="218">
        <f t="shared" si="46"/>
        <v>0</v>
      </c>
      <c r="AA47" s="218">
        <f t="shared" si="46"/>
        <v>6.6699999999999995E-2</v>
      </c>
      <c r="AB47" s="218">
        <f t="shared" si="46"/>
        <v>0.02</v>
      </c>
      <c r="AC47" s="218">
        <f t="shared" si="46"/>
        <v>9.5999999999999992E-3</v>
      </c>
      <c r="AD47" s="218">
        <f t="shared" si="46"/>
        <v>0.05</v>
      </c>
      <c r="AE47" s="218">
        <f t="shared" si="46"/>
        <v>4.1999999999999997E-3</v>
      </c>
      <c r="AF47" s="218">
        <f t="shared" si="46"/>
        <v>0</v>
      </c>
      <c r="AG47" s="218">
        <f t="shared" si="46"/>
        <v>0</v>
      </c>
      <c r="AH47" s="218">
        <f t="shared" si="46"/>
        <v>6.9999999999999999E-4</v>
      </c>
      <c r="AI47" s="218" t="str">
        <f t="shared" si="46"/>
        <v>N/A</v>
      </c>
      <c r="AJ47" s="218">
        <f>IF((AJ45=0),"N/A",ROUND((AJ46/AJ45),4))</f>
        <v>1.8200000000000001E-2</v>
      </c>
      <c r="AK47" s="218">
        <f t="shared" ref="AK47:BI47" si="47">IF((AK45=0),"N/A",ROUND((AK46/AK45),4))</f>
        <v>7.3000000000000001E-3</v>
      </c>
      <c r="AL47" s="218" t="str">
        <f t="shared" si="47"/>
        <v>N/A</v>
      </c>
      <c r="AM47" s="218">
        <f t="shared" si="47"/>
        <v>5.7000000000000002E-3</v>
      </c>
      <c r="AN47" s="218">
        <f t="shared" si="47"/>
        <v>3.0300000000000001E-2</v>
      </c>
      <c r="AO47" s="218">
        <f t="shared" si="47"/>
        <v>0.2</v>
      </c>
      <c r="AP47" s="218">
        <f t="shared" si="47"/>
        <v>6.25E-2</v>
      </c>
      <c r="AQ47" s="218">
        <f t="shared" si="47"/>
        <v>4.3499999999999997E-2</v>
      </c>
      <c r="AR47" s="218">
        <f t="shared" si="47"/>
        <v>0</v>
      </c>
      <c r="AS47" s="218">
        <f t="shared" si="47"/>
        <v>1.0999999999999999E-2</v>
      </c>
      <c r="AT47" s="218">
        <f t="shared" si="47"/>
        <v>2.63E-2</v>
      </c>
      <c r="AU47" s="218" t="str">
        <f t="shared" si="47"/>
        <v>N/A</v>
      </c>
      <c r="AV47" s="218">
        <f t="shared" si="47"/>
        <v>2.2000000000000001E-3</v>
      </c>
      <c r="AW47" s="218">
        <f t="shared" si="47"/>
        <v>4.1999999999999997E-3</v>
      </c>
      <c r="AX47" s="218">
        <f t="shared" si="47"/>
        <v>5.7999999999999996E-3</v>
      </c>
      <c r="AY47" s="218">
        <f t="shared" si="47"/>
        <v>2.5999999999999999E-3</v>
      </c>
      <c r="AZ47" s="218">
        <f t="shared" si="47"/>
        <v>5.3E-3</v>
      </c>
      <c r="BA47" s="218">
        <f t="shared" si="47"/>
        <v>5.4000000000000003E-3</v>
      </c>
      <c r="BB47" s="218">
        <f t="shared" si="47"/>
        <v>3.0999999999999999E-3</v>
      </c>
      <c r="BC47" s="218">
        <f t="shared" si="47"/>
        <v>5.5999999999999999E-3</v>
      </c>
      <c r="BD47" s="218">
        <f t="shared" si="47"/>
        <v>1.2999999999999999E-2</v>
      </c>
      <c r="BE47" s="218">
        <f t="shared" si="47"/>
        <v>0</v>
      </c>
      <c r="BF47" s="218">
        <f t="shared" si="47"/>
        <v>0</v>
      </c>
      <c r="BG47" s="218">
        <f t="shared" si="47"/>
        <v>4.1999999999999997E-3</v>
      </c>
      <c r="BH47" s="218">
        <f t="shared" si="47"/>
        <v>0</v>
      </c>
      <c r="BI47" s="218">
        <f t="shared" si="47"/>
        <v>0</v>
      </c>
      <c r="BJ47" s="218">
        <f>IF((BJ45=0),"N/A",ROUND((BJ46/BJ45),4))</f>
        <v>0</v>
      </c>
      <c r="BK47" s="219">
        <f>V47</f>
        <v>1.4E-3</v>
      </c>
      <c r="BL47" s="219">
        <f>AVERAGE(V47:AG47)</f>
        <v>1.4675000000000001E-2</v>
      </c>
    </row>
    <row r="48" spans="1:64" ht="15">
      <c r="A48" s="204" t="s">
        <v>503</v>
      </c>
      <c r="B48" s="173" t="s">
        <v>511</v>
      </c>
      <c r="C48" s="165" t="s">
        <v>991</v>
      </c>
      <c r="D48" s="174" t="s">
        <v>910</v>
      </c>
      <c r="E48" s="165" t="s">
        <v>170</v>
      </c>
      <c r="F48" s="165">
        <v>535</v>
      </c>
      <c r="G48" s="165" t="s">
        <v>992</v>
      </c>
      <c r="H48" s="165" t="s">
        <v>993</v>
      </c>
      <c r="I48" s="165">
        <v>0</v>
      </c>
      <c r="J48" s="173">
        <v>15</v>
      </c>
      <c r="K48" s="175" t="s">
        <v>913</v>
      </c>
      <c r="L48" s="165">
        <v>2025</v>
      </c>
      <c r="M48" s="173" t="s">
        <v>792</v>
      </c>
      <c r="N48" s="165">
        <v>13</v>
      </c>
      <c r="O48" s="181">
        <v>13</v>
      </c>
      <c r="P48" s="176">
        <v>0.66666666666666663</v>
      </c>
      <c r="Q48" s="174">
        <v>-70.565700000000007</v>
      </c>
      <c r="R48" s="174">
        <v>41.325000000000003</v>
      </c>
      <c r="S48" s="177" t="s">
        <v>172</v>
      </c>
      <c r="T48" s="177">
        <v>25</v>
      </c>
      <c r="U48" s="178" t="s">
        <v>516</v>
      </c>
      <c r="V48" s="205">
        <v>2.988</v>
      </c>
      <c r="W48" s="205">
        <v>0.128</v>
      </c>
      <c r="X48" s="205">
        <v>0.43099999999999999</v>
      </c>
      <c r="Y48" s="205">
        <v>0.106</v>
      </c>
      <c r="Z48" s="205">
        <v>1.4E-2</v>
      </c>
      <c r="AA48" s="205">
        <v>2.7E-2</v>
      </c>
      <c r="AB48" s="205">
        <v>7.2999999999999995E-2</v>
      </c>
      <c r="AC48" s="205">
        <v>0.20399999999999999</v>
      </c>
      <c r="AD48" s="205">
        <v>0.02</v>
      </c>
      <c r="AE48" s="205">
        <v>1.145</v>
      </c>
      <c r="AF48" s="205">
        <v>7.2999999999999995E-2</v>
      </c>
      <c r="AG48" s="205">
        <v>0.01</v>
      </c>
      <c r="AH48" s="205">
        <v>2.4889999999999999</v>
      </c>
      <c r="AI48" s="205">
        <v>-8888</v>
      </c>
      <c r="AJ48" s="205">
        <v>0.499</v>
      </c>
      <c r="AK48" s="205">
        <v>0.128</v>
      </c>
      <c r="AL48" s="205">
        <v>-8888</v>
      </c>
      <c r="AM48" s="205">
        <v>0.39500000000000002</v>
      </c>
      <c r="AN48" s="205">
        <v>3.5999999999999997E-2</v>
      </c>
      <c r="AO48" s="205">
        <v>6.0000000000000001E-3</v>
      </c>
      <c r="AP48" s="205">
        <v>1.7000000000000001E-2</v>
      </c>
      <c r="AQ48" s="205">
        <v>2.1999999999999999E-2</v>
      </c>
      <c r="AR48" s="205">
        <v>3.4000000000000002E-2</v>
      </c>
      <c r="AS48" s="205">
        <v>9.7000000000000003E-2</v>
      </c>
      <c r="AT48" s="205">
        <v>1.7000000000000001E-2</v>
      </c>
      <c r="AU48" s="205">
        <v>-8888</v>
      </c>
      <c r="AV48" s="205">
        <v>3.5470000000000002</v>
      </c>
      <c r="AW48" s="205">
        <v>0.41299999999999998</v>
      </c>
      <c r="AX48" s="205">
        <v>1.2589999999999999</v>
      </c>
      <c r="AY48" s="205">
        <v>4.806</v>
      </c>
      <c r="AZ48" s="205">
        <v>1.6719999999999999</v>
      </c>
      <c r="BA48" s="205">
        <v>2.2309999999999999</v>
      </c>
      <c r="BB48" s="205">
        <v>5.2189999999999994</v>
      </c>
      <c r="BC48" s="205">
        <v>1.47</v>
      </c>
      <c r="BD48" s="206">
        <v>0.75</v>
      </c>
      <c r="BE48" s="206">
        <v>0.75</v>
      </c>
      <c r="BF48" s="206">
        <v>0.25</v>
      </c>
      <c r="BG48" s="206">
        <v>2.12</v>
      </c>
      <c r="BH48" s="206">
        <v>0.08</v>
      </c>
      <c r="BI48" s="206">
        <v>0.92</v>
      </c>
      <c r="BJ48" s="206">
        <v>0.56999999999999995</v>
      </c>
      <c r="BK48" s="207"/>
      <c r="BL48" s="207"/>
    </row>
    <row r="49" spans="1:64" ht="15">
      <c r="A49" s="204" t="s">
        <v>504</v>
      </c>
      <c r="B49" s="173" t="s">
        <v>511</v>
      </c>
      <c r="C49" s="165" t="s">
        <v>991</v>
      </c>
      <c r="D49" s="174" t="s">
        <v>910</v>
      </c>
      <c r="E49" s="165" t="s">
        <v>170</v>
      </c>
      <c r="F49" s="165">
        <v>535</v>
      </c>
      <c r="G49" s="165" t="s">
        <v>992</v>
      </c>
      <c r="H49" s="165" t="s">
        <v>993</v>
      </c>
      <c r="I49" s="165">
        <v>0</v>
      </c>
      <c r="J49" s="173">
        <v>15</v>
      </c>
      <c r="K49" s="175" t="s">
        <v>913</v>
      </c>
      <c r="L49" s="165">
        <v>2025</v>
      </c>
      <c r="M49" s="173" t="s">
        <v>792</v>
      </c>
      <c r="N49" s="165">
        <v>13</v>
      </c>
      <c r="O49" s="181">
        <v>13</v>
      </c>
      <c r="P49" s="176">
        <v>0.66666666666666663</v>
      </c>
      <c r="Q49" s="174">
        <v>-70.565700000000007</v>
      </c>
      <c r="R49" s="174">
        <v>41.325000000000003</v>
      </c>
      <c r="S49" s="177" t="s">
        <v>172</v>
      </c>
      <c r="T49" s="177">
        <v>25</v>
      </c>
      <c r="U49" s="178" t="s">
        <v>516</v>
      </c>
      <c r="V49" s="205">
        <v>2.9699999999999998</v>
      </c>
      <c r="W49" s="205">
        <v>0.114</v>
      </c>
      <c r="X49" s="205">
        <v>0.42500000000000004</v>
      </c>
      <c r="Y49" s="205">
        <v>0.106</v>
      </c>
      <c r="Z49" s="205">
        <v>1.4E-2</v>
      </c>
      <c r="AA49" s="205">
        <v>2.7E-2</v>
      </c>
      <c r="AB49" s="205">
        <v>7.2999999999999995E-2</v>
      </c>
      <c r="AC49" s="205">
        <v>0.20300000000000001</v>
      </c>
      <c r="AD49" s="205">
        <v>0.02</v>
      </c>
      <c r="AE49" s="205">
        <v>1.1399999999999999</v>
      </c>
      <c r="AF49" s="205">
        <v>7.1999999999999995E-2</v>
      </c>
      <c r="AG49" s="205">
        <v>8.9999999999999993E-3</v>
      </c>
      <c r="AH49" s="205">
        <v>2.4769999999999999</v>
      </c>
      <c r="AI49" s="205">
        <v>-8888</v>
      </c>
      <c r="AJ49" s="205">
        <v>0.49299999999999999</v>
      </c>
      <c r="AK49" s="205">
        <v>0.114</v>
      </c>
      <c r="AL49" s="205">
        <v>-8888</v>
      </c>
      <c r="AM49" s="205">
        <v>0.39100000000000001</v>
      </c>
      <c r="AN49" s="205">
        <v>3.4000000000000002E-2</v>
      </c>
      <c r="AO49" s="205">
        <v>5.0000000000000001E-3</v>
      </c>
      <c r="AP49" s="205">
        <v>1.7000000000000001E-2</v>
      </c>
      <c r="AQ49" s="205">
        <v>2.1999999999999999E-2</v>
      </c>
      <c r="AR49" s="205">
        <v>3.4000000000000002E-2</v>
      </c>
      <c r="AS49" s="205">
        <v>9.7000000000000003E-2</v>
      </c>
      <c r="AT49" s="205">
        <v>1.7999999999999999E-2</v>
      </c>
      <c r="AU49" s="205">
        <v>-8888</v>
      </c>
      <c r="AV49" s="205">
        <v>3.5089999999999995</v>
      </c>
      <c r="AW49" s="205">
        <v>0.41100000000000003</v>
      </c>
      <c r="AX49" s="205">
        <v>1.2529999999999999</v>
      </c>
      <c r="AY49" s="205">
        <v>4.7619999999999996</v>
      </c>
      <c r="AZ49" s="205">
        <v>1.6639999999999999</v>
      </c>
      <c r="BA49" s="205">
        <v>2.2030000000000003</v>
      </c>
      <c r="BB49" s="205">
        <v>5.173</v>
      </c>
      <c r="BC49" s="205">
        <v>1.4489999999999998</v>
      </c>
      <c r="BD49" s="206">
        <v>0.74</v>
      </c>
      <c r="BE49" s="206">
        <v>0.75</v>
      </c>
      <c r="BF49" s="206">
        <v>0.25</v>
      </c>
      <c r="BG49" s="206">
        <v>2.11</v>
      </c>
      <c r="BH49" s="206">
        <v>0.08</v>
      </c>
      <c r="BI49" s="206">
        <v>0.92</v>
      </c>
      <c r="BJ49" s="206">
        <v>0.56999999999999995</v>
      </c>
      <c r="BK49" s="207"/>
      <c r="BL49" s="207"/>
    </row>
    <row r="50" spans="1:64">
      <c r="A50" s="210"/>
      <c r="B50" s="220"/>
      <c r="C50" s="220"/>
      <c r="D50" s="220"/>
      <c r="E50" s="220"/>
      <c r="F50" s="220"/>
      <c r="G50" s="220"/>
      <c r="H50" s="220"/>
      <c r="I50" s="220"/>
      <c r="J50" s="220"/>
      <c r="K50" s="220"/>
      <c r="L50" s="220"/>
      <c r="M50" s="220"/>
      <c r="N50" s="220"/>
      <c r="O50" s="220"/>
      <c r="P50" s="221"/>
      <c r="Q50" s="220"/>
      <c r="R50" s="220"/>
      <c r="S50" s="220"/>
      <c r="T50" s="220"/>
      <c r="U50" s="210" t="s">
        <v>22</v>
      </c>
      <c r="V50" s="210">
        <f t="shared" ref="V50:BC50" si="48">ROUND(AVERAGE((IF(V48=-8888,0,V48)),(IF(V49=-8888,0,V49))),3)</f>
        <v>2.9790000000000001</v>
      </c>
      <c r="W50" s="210">
        <f t="shared" si="48"/>
        <v>0.121</v>
      </c>
      <c r="X50" s="210">
        <f t="shared" si="48"/>
        <v>0.42799999999999999</v>
      </c>
      <c r="Y50" s="210">
        <f t="shared" si="48"/>
        <v>0.106</v>
      </c>
      <c r="Z50" s="210">
        <f t="shared" si="48"/>
        <v>1.4E-2</v>
      </c>
      <c r="AA50" s="210">
        <f t="shared" si="48"/>
        <v>2.7E-2</v>
      </c>
      <c r="AB50" s="210">
        <f t="shared" si="48"/>
        <v>7.2999999999999995E-2</v>
      </c>
      <c r="AC50" s="210">
        <f t="shared" si="48"/>
        <v>0.20399999999999999</v>
      </c>
      <c r="AD50" s="210">
        <f t="shared" si="48"/>
        <v>0.02</v>
      </c>
      <c r="AE50" s="210">
        <f t="shared" si="48"/>
        <v>1.143</v>
      </c>
      <c r="AF50" s="210">
        <f t="shared" si="48"/>
        <v>7.2999999999999995E-2</v>
      </c>
      <c r="AG50" s="210">
        <f t="shared" si="48"/>
        <v>0.01</v>
      </c>
      <c r="AH50" s="210">
        <f t="shared" si="48"/>
        <v>2.4830000000000001</v>
      </c>
      <c r="AI50" s="210">
        <f t="shared" si="48"/>
        <v>0</v>
      </c>
      <c r="AJ50" s="210">
        <f t="shared" si="48"/>
        <v>0.496</v>
      </c>
      <c r="AK50" s="210">
        <f t="shared" si="48"/>
        <v>0.121</v>
      </c>
      <c r="AL50" s="210">
        <f t="shared" si="48"/>
        <v>0</v>
      </c>
      <c r="AM50" s="210">
        <f t="shared" si="48"/>
        <v>0.39300000000000002</v>
      </c>
      <c r="AN50" s="210">
        <f t="shared" si="48"/>
        <v>3.5000000000000003E-2</v>
      </c>
      <c r="AO50" s="210">
        <f t="shared" si="48"/>
        <v>6.0000000000000001E-3</v>
      </c>
      <c r="AP50" s="210">
        <f t="shared" si="48"/>
        <v>1.7000000000000001E-2</v>
      </c>
      <c r="AQ50" s="210">
        <f t="shared" si="48"/>
        <v>2.1999999999999999E-2</v>
      </c>
      <c r="AR50" s="210">
        <f t="shared" si="48"/>
        <v>3.4000000000000002E-2</v>
      </c>
      <c r="AS50" s="210">
        <f t="shared" si="48"/>
        <v>9.7000000000000003E-2</v>
      </c>
      <c r="AT50" s="210">
        <f t="shared" si="48"/>
        <v>1.7999999999999999E-2</v>
      </c>
      <c r="AU50" s="210">
        <f t="shared" si="48"/>
        <v>0</v>
      </c>
      <c r="AV50" s="210">
        <f t="shared" si="48"/>
        <v>3.528</v>
      </c>
      <c r="AW50" s="210">
        <f t="shared" si="48"/>
        <v>0.41199999999999998</v>
      </c>
      <c r="AX50" s="210">
        <f t="shared" si="48"/>
        <v>1.256</v>
      </c>
      <c r="AY50" s="210">
        <f t="shared" si="48"/>
        <v>4.7839999999999998</v>
      </c>
      <c r="AZ50" s="210">
        <f t="shared" si="48"/>
        <v>1.6679999999999999</v>
      </c>
      <c r="BA50" s="210">
        <f t="shared" si="48"/>
        <v>2.2170000000000001</v>
      </c>
      <c r="BB50" s="210">
        <f t="shared" si="48"/>
        <v>5.1959999999999997</v>
      </c>
      <c r="BC50" s="210">
        <f t="shared" si="48"/>
        <v>1.46</v>
      </c>
      <c r="BD50" s="209">
        <f>ROUND(AVERAGE((IF(BD48=-8888,0,BD48)),(IF(BD49=-8888,0,BD49))),2)</f>
        <v>0.75</v>
      </c>
      <c r="BE50" s="209">
        <f t="shared" ref="BE50:BJ50" si="49">ROUND(AVERAGE((IF(BE48=-8888,0,BE48)),(IF(BE49=-8888,0,BE49))),2)</f>
        <v>0.75</v>
      </c>
      <c r="BF50" s="209">
        <f t="shared" si="49"/>
        <v>0.25</v>
      </c>
      <c r="BG50" s="209">
        <f t="shared" si="49"/>
        <v>2.12</v>
      </c>
      <c r="BH50" s="209">
        <f t="shared" si="49"/>
        <v>0.08</v>
      </c>
      <c r="BI50" s="209">
        <f t="shared" si="49"/>
        <v>0.92</v>
      </c>
      <c r="BJ50" s="209">
        <f t="shared" si="49"/>
        <v>0.56999999999999995</v>
      </c>
      <c r="BK50" s="211"/>
      <c r="BL50" s="211"/>
    </row>
    <row r="51" spans="1:64">
      <c r="A51" s="214"/>
      <c r="B51" s="222"/>
      <c r="C51" s="222"/>
      <c r="D51" s="222"/>
      <c r="E51" s="222"/>
      <c r="F51" s="222"/>
      <c r="G51" s="222"/>
      <c r="H51" s="222"/>
      <c r="I51" s="222"/>
      <c r="J51" s="222"/>
      <c r="K51" s="222"/>
      <c r="L51" s="222"/>
      <c r="M51" s="222"/>
      <c r="N51" s="222"/>
      <c r="O51" s="222"/>
      <c r="P51" s="223"/>
      <c r="Q51" s="222"/>
      <c r="R51" s="222"/>
      <c r="S51" s="222"/>
      <c r="T51" s="222"/>
      <c r="U51" s="214" t="s">
        <v>1015</v>
      </c>
      <c r="V51" s="214">
        <f t="shared" ref="V51:BC51" si="50">ROUND(STDEV((IF(V48=-8888,0,V48)),(IF(V49=-8888,0,V49))),3)</f>
        <v>1.2999999999999999E-2</v>
      </c>
      <c r="W51" s="214">
        <f t="shared" si="50"/>
        <v>0.01</v>
      </c>
      <c r="X51" s="214">
        <f t="shared" si="50"/>
        <v>4.0000000000000001E-3</v>
      </c>
      <c r="Y51" s="214">
        <f t="shared" si="50"/>
        <v>0</v>
      </c>
      <c r="Z51" s="214">
        <f t="shared" si="50"/>
        <v>0</v>
      </c>
      <c r="AA51" s="214">
        <f t="shared" si="50"/>
        <v>0</v>
      </c>
      <c r="AB51" s="214">
        <f t="shared" si="50"/>
        <v>0</v>
      </c>
      <c r="AC51" s="214">
        <f t="shared" si="50"/>
        <v>1E-3</v>
      </c>
      <c r="AD51" s="214">
        <f t="shared" si="50"/>
        <v>0</v>
      </c>
      <c r="AE51" s="214">
        <f t="shared" si="50"/>
        <v>4.0000000000000001E-3</v>
      </c>
      <c r="AF51" s="214">
        <f t="shared" si="50"/>
        <v>1E-3</v>
      </c>
      <c r="AG51" s="214">
        <f t="shared" si="50"/>
        <v>1E-3</v>
      </c>
      <c r="AH51" s="214">
        <f t="shared" si="50"/>
        <v>8.0000000000000002E-3</v>
      </c>
      <c r="AI51" s="214">
        <f t="shared" si="50"/>
        <v>0</v>
      </c>
      <c r="AJ51" s="214">
        <f t="shared" si="50"/>
        <v>4.0000000000000001E-3</v>
      </c>
      <c r="AK51" s="214">
        <f t="shared" si="50"/>
        <v>0.01</v>
      </c>
      <c r="AL51" s="214">
        <f t="shared" si="50"/>
        <v>0</v>
      </c>
      <c r="AM51" s="214">
        <f t="shared" si="50"/>
        <v>3.0000000000000001E-3</v>
      </c>
      <c r="AN51" s="214">
        <f t="shared" si="50"/>
        <v>1E-3</v>
      </c>
      <c r="AO51" s="214">
        <f t="shared" si="50"/>
        <v>1E-3</v>
      </c>
      <c r="AP51" s="214">
        <f t="shared" si="50"/>
        <v>0</v>
      </c>
      <c r="AQ51" s="214">
        <f t="shared" si="50"/>
        <v>0</v>
      </c>
      <c r="AR51" s="214">
        <f t="shared" si="50"/>
        <v>0</v>
      </c>
      <c r="AS51" s="214">
        <f t="shared" si="50"/>
        <v>0</v>
      </c>
      <c r="AT51" s="214">
        <f t="shared" si="50"/>
        <v>1E-3</v>
      </c>
      <c r="AU51" s="214">
        <f t="shared" si="50"/>
        <v>0</v>
      </c>
      <c r="AV51" s="214">
        <f t="shared" si="50"/>
        <v>2.7E-2</v>
      </c>
      <c r="AW51" s="214">
        <f t="shared" si="50"/>
        <v>1E-3</v>
      </c>
      <c r="AX51" s="214">
        <f t="shared" si="50"/>
        <v>4.0000000000000001E-3</v>
      </c>
      <c r="AY51" s="214">
        <f t="shared" si="50"/>
        <v>3.1E-2</v>
      </c>
      <c r="AZ51" s="214">
        <f t="shared" si="50"/>
        <v>6.0000000000000001E-3</v>
      </c>
      <c r="BA51" s="214">
        <f t="shared" si="50"/>
        <v>0.02</v>
      </c>
      <c r="BB51" s="214">
        <f t="shared" si="50"/>
        <v>3.3000000000000002E-2</v>
      </c>
      <c r="BC51" s="214">
        <f t="shared" si="50"/>
        <v>1.4999999999999999E-2</v>
      </c>
      <c r="BD51" s="213">
        <f>ROUND(STDEV((IF(BD48=-8888,0,BD48)),(IF(BD49=-8888,0,BD49))),2)</f>
        <v>0.01</v>
      </c>
      <c r="BE51" s="213">
        <f t="shared" ref="BE51:BJ51" si="51">ROUND(STDEV((IF(BE48=-8888,0,BE48)),(IF(BE49=-8888,0,BE49))),2)</f>
        <v>0</v>
      </c>
      <c r="BF51" s="213">
        <f t="shared" si="51"/>
        <v>0</v>
      </c>
      <c r="BG51" s="213">
        <f t="shared" si="51"/>
        <v>0.01</v>
      </c>
      <c r="BH51" s="213">
        <f t="shared" si="51"/>
        <v>0</v>
      </c>
      <c r="BI51" s="213">
        <f t="shared" si="51"/>
        <v>0</v>
      </c>
      <c r="BJ51" s="213">
        <f t="shared" si="51"/>
        <v>0</v>
      </c>
      <c r="BK51" s="215"/>
      <c r="BL51" s="215"/>
    </row>
    <row r="52" spans="1:64">
      <c r="A52" s="216"/>
      <c r="B52" s="224"/>
      <c r="C52" s="224"/>
      <c r="D52" s="224"/>
      <c r="E52" s="224"/>
      <c r="F52" s="224"/>
      <c r="G52" s="224"/>
      <c r="H52" s="224"/>
      <c r="I52" s="224"/>
      <c r="J52" s="224"/>
      <c r="K52" s="224"/>
      <c r="L52" s="224"/>
      <c r="M52" s="224"/>
      <c r="N52" s="224"/>
      <c r="O52" s="224"/>
      <c r="P52" s="225"/>
      <c r="Q52" s="224"/>
      <c r="R52" s="224"/>
      <c r="S52" s="224"/>
      <c r="T52" s="224"/>
      <c r="U52" s="217" t="s">
        <v>148</v>
      </c>
      <c r="V52" s="218">
        <f>IF((V50=0),"N/A",ROUND((V51/V50),4))</f>
        <v>4.4000000000000003E-3</v>
      </c>
      <c r="W52" s="218">
        <f>IF((W50=0),"N/A",ROUND((W51/W50),4))</f>
        <v>8.2600000000000007E-2</v>
      </c>
      <c r="X52" s="218">
        <f>IF((X50=0),"N/A",ROUND((X51/X50),4))</f>
        <v>9.2999999999999992E-3</v>
      </c>
      <c r="Y52" s="218">
        <f t="shared" ref="Y52:AI52" si="52">IF((Y50=0),"N/A",ROUND((Y51/Y50),4))</f>
        <v>0</v>
      </c>
      <c r="Z52" s="218">
        <f t="shared" si="52"/>
        <v>0</v>
      </c>
      <c r="AA52" s="218">
        <f t="shared" si="52"/>
        <v>0</v>
      </c>
      <c r="AB52" s="218">
        <f t="shared" si="52"/>
        <v>0</v>
      </c>
      <c r="AC52" s="218">
        <f t="shared" si="52"/>
        <v>4.8999999999999998E-3</v>
      </c>
      <c r="AD52" s="218">
        <f t="shared" si="52"/>
        <v>0</v>
      </c>
      <c r="AE52" s="218">
        <f t="shared" si="52"/>
        <v>3.5000000000000001E-3</v>
      </c>
      <c r="AF52" s="218">
        <f t="shared" si="52"/>
        <v>1.37E-2</v>
      </c>
      <c r="AG52" s="218">
        <f t="shared" si="52"/>
        <v>0.1</v>
      </c>
      <c r="AH52" s="218">
        <f t="shared" si="52"/>
        <v>3.2000000000000002E-3</v>
      </c>
      <c r="AI52" s="218" t="str">
        <f t="shared" si="52"/>
        <v>N/A</v>
      </c>
      <c r="AJ52" s="218">
        <f>IF((AJ50=0),"N/A",ROUND((AJ51/AJ50),4))</f>
        <v>8.0999999999999996E-3</v>
      </c>
      <c r="AK52" s="218">
        <f t="shared" ref="AK52:BI52" si="53">IF((AK50=0),"N/A",ROUND((AK51/AK50),4))</f>
        <v>8.2600000000000007E-2</v>
      </c>
      <c r="AL52" s="218" t="str">
        <f t="shared" si="53"/>
        <v>N/A</v>
      </c>
      <c r="AM52" s="218">
        <f t="shared" si="53"/>
        <v>7.6E-3</v>
      </c>
      <c r="AN52" s="218">
        <f t="shared" si="53"/>
        <v>2.86E-2</v>
      </c>
      <c r="AO52" s="218">
        <f t="shared" si="53"/>
        <v>0.16669999999999999</v>
      </c>
      <c r="AP52" s="218">
        <f t="shared" si="53"/>
        <v>0</v>
      </c>
      <c r="AQ52" s="218">
        <f t="shared" si="53"/>
        <v>0</v>
      </c>
      <c r="AR52" s="218">
        <f t="shared" si="53"/>
        <v>0</v>
      </c>
      <c r="AS52" s="218">
        <f t="shared" si="53"/>
        <v>0</v>
      </c>
      <c r="AT52" s="218">
        <f t="shared" si="53"/>
        <v>5.5599999999999997E-2</v>
      </c>
      <c r="AU52" s="218" t="str">
        <f t="shared" si="53"/>
        <v>N/A</v>
      </c>
      <c r="AV52" s="218">
        <f t="shared" si="53"/>
        <v>7.7000000000000002E-3</v>
      </c>
      <c r="AW52" s="218">
        <f t="shared" si="53"/>
        <v>2.3999999999999998E-3</v>
      </c>
      <c r="AX52" s="218">
        <f t="shared" si="53"/>
        <v>3.2000000000000002E-3</v>
      </c>
      <c r="AY52" s="218">
        <f t="shared" si="53"/>
        <v>6.4999999999999997E-3</v>
      </c>
      <c r="AZ52" s="218">
        <f t="shared" si="53"/>
        <v>3.5999999999999999E-3</v>
      </c>
      <c r="BA52" s="218">
        <f t="shared" si="53"/>
        <v>8.9999999999999993E-3</v>
      </c>
      <c r="BB52" s="218">
        <f t="shared" si="53"/>
        <v>6.4000000000000003E-3</v>
      </c>
      <c r="BC52" s="218">
        <f t="shared" si="53"/>
        <v>1.03E-2</v>
      </c>
      <c r="BD52" s="218">
        <f t="shared" si="53"/>
        <v>1.3299999999999999E-2</v>
      </c>
      <c r="BE52" s="218">
        <f t="shared" si="53"/>
        <v>0</v>
      </c>
      <c r="BF52" s="218">
        <f t="shared" si="53"/>
        <v>0</v>
      </c>
      <c r="BG52" s="218">
        <f t="shared" si="53"/>
        <v>4.7000000000000002E-3</v>
      </c>
      <c r="BH52" s="218">
        <f t="shared" si="53"/>
        <v>0</v>
      </c>
      <c r="BI52" s="218">
        <f t="shared" si="53"/>
        <v>0</v>
      </c>
      <c r="BJ52" s="218">
        <f>IF((BJ50=0),"N/A",ROUND((BJ51/BJ50),4))</f>
        <v>0</v>
      </c>
      <c r="BK52" s="219">
        <f>V52</f>
        <v>4.4000000000000003E-3</v>
      </c>
      <c r="BL52" s="219">
        <f>AVERAGE(V52:AG52)</f>
        <v>1.8200000000000004E-2</v>
      </c>
    </row>
  </sheetData>
  <conditionalFormatting sqref="V12:AH12">
    <cfRule type="cellIs" dxfId="52" priority="4" operator="greaterThan">
      <formula>0.1</formula>
    </cfRule>
  </conditionalFormatting>
  <conditionalFormatting sqref="V17:AI17">
    <cfRule type="cellIs" dxfId="51" priority="21" operator="greaterThan">
      <formula>0.1</formula>
    </cfRule>
  </conditionalFormatting>
  <conditionalFormatting sqref="V22:AI22">
    <cfRule type="cellIs" dxfId="50" priority="16" operator="greaterThan">
      <formula>0.1</formula>
    </cfRule>
  </conditionalFormatting>
  <conditionalFormatting sqref="V27:AI27 V32:AI32 V37:AI37 V42:AI42 V47:AI47 V52:AI52">
    <cfRule type="cellIs" dxfId="49" priority="10" operator="greaterThan">
      <formula>0.1</formula>
    </cfRule>
  </conditionalFormatting>
  <conditionalFormatting sqref="V22:BJ22 AJ12:AK12 AM12:AT12 V12:AH12 AV12:BJ12 V17:BJ17">
    <cfRule type="expression" dxfId="48" priority="13" stopIfTrue="1">
      <formula>ABS((V9-V8))&lt;0.0011</formula>
    </cfRule>
  </conditionalFormatting>
  <conditionalFormatting sqref="V27:BJ27 V32:BJ32 V37:BJ37 V42:BJ42 V47:BJ47 V52:BJ52">
    <cfRule type="expression" dxfId="47" priority="7" stopIfTrue="1">
      <formula>ABS((V24-V23))&lt;0.0011</formula>
    </cfRule>
  </conditionalFormatting>
  <conditionalFormatting sqref="AJ12 AR12:AS12">
    <cfRule type="cellIs" dxfId="46" priority="5" operator="greaterThan">
      <formula>0.15</formula>
    </cfRule>
  </conditionalFormatting>
  <conditionalFormatting sqref="AJ17 AR17:AS17">
    <cfRule type="cellIs" dxfId="45" priority="22" operator="greaterThan">
      <formula>0.15</formula>
    </cfRule>
  </conditionalFormatting>
  <conditionalFormatting sqref="AJ22 AR22:AS22">
    <cfRule type="cellIs" dxfId="44" priority="17" operator="greaterThan">
      <formula>0.15</formula>
    </cfRule>
  </conditionalFormatting>
  <conditionalFormatting sqref="AJ27 AR27:AS27 AJ32 AR32:AS32 AJ37 AR37:AS37 AJ42 AR42:AS42 AJ47 AR47:AS47 AJ52 AR52:AS52">
    <cfRule type="cellIs" dxfId="43" priority="11" operator="greaterThan">
      <formula>0.15</formula>
    </cfRule>
  </conditionalFormatting>
  <conditionalFormatting sqref="AK12 AM12:AQ12">
    <cfRule type="cellIs" dxfId="42" priority="3" operator="greaterThan">
      <formula>0.1</formula>
    </cfRule>
  </conditionalFormatting>
  <conditionalFormatting sqref="AK17:AQ17">
    <cfRule type="cellIs" dxfId="41" priority="20" operator="greaterThan">
      <formula>0.1</formula>
    </cfRule>
  </conditionalFormatting>
  <conditionalFormatting sqref="AK22:AQ22">
    <cfRule type="cellIs" dxfId="40" priority="15" operator="greaterThan">
      <formula>0.1</formula>
    </cfRule>
  </conditionalFormatting>
  <conditionalFormatting sqref="AK27:AQ27 AK32:AQ32 AK37:AQ37 AK42:AQ42 AK47:AQ47 AK52:AQ52">
    <cfRule type="cellIs" dxfId="39" priority="9" operator="greaterThan">
      <formula>0.1</formula>
    </cfRule>
  </conditionalFormatting>
  <conditionalFormatting sqref="AT12 AV12:BJ12">
    <cfRule type="cellIs" dxfId="38" priority="2" operator="greaterThan">
      <formula>0.1</formula>
    </cfRule>
  </conditionalFormatting>
  <conditionalFormatting sqref="AT17:BJ17">
    <cfRule type="cellIs" dxfId="37" priority="19" operator="greaterThan">
      <formula>0.1</formula>
    </cfRule>
  </conditionalFormatting>
  <conditionalFormatting sqref="AT22:BJ22">
    <cfRule type="cellIs" dxfId="36" priority="14" operator="greaterThan">
      <formula>0.1</formula>
    </cfRule>
  </conditionalFormatting>
  <conditionalFormatting sqref="AT27:BJ27 AT32:BJ32 AT37:BJ37 AT42:BJ42 AT47:BJ47 AT52:BJ52">
    <cfRule type="cellIs" dxfId="35" priority="8" operator="greaterThan">
      <formula>0.1</formula>
    </cfRule>
  </conditionalFormatting>
  <conditionalFormatting sqref="BJ22">
    <cfRule type="cellIs" dxfId="34" priority="12" operator="greaterThan">
      <formula>0.1</formula>
    </cfRule>
  </conditionalFormatting>
  <conditionalFormatting sqref="BJ27 BJ32 BJ37 BJ42 BJ47 BJ52">
    <cfRule type="cellIs" dxfId="33" priority="6" operator="greaterThan">
      <formula>0.1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BEC81-3A5F-4827-8BB2-3F64089BF30A}">
  <dimension ref="A1:BN107"/>
  <sheetViews>
    <sheetView workbookViewId="0"/>
  </sheetViews>
  <sheetFormatPr defaultRowHeight="12.75"/>
  <cols>
    <col min="2" max="2" width="11" bestFit="1" customWidth="1"/>
    <col min="3" max="3" width="9.5703125" bestFit="1" customWidth="1"/>
    <col min="7" max="7" width="13.42578125" customWidth="1"/>
    <col min="8" max="8" width="16" customWidth="1"/>
    <col min="11" max="11" width="16.7109375" bestFit="1" customWidth="1"/>
    <col min="21" max="21" width="13" customWidth="1"/>
  </cols>
  <sheetData>
    <row r="1" spans="1:66" s="246" customFormat="1" ht="18">
      <c r="A1" s="246" t="s">
        <v>148</v>
      </c>
      <c r="B1" s="247" t="s">
        <v>1016</v>
      </c>
      <c r="C1" s="248">
        <f>AVERAGE(BK12:BK107)</f>
        <v>3.6449999999999996E-2</v>
      </c>
      <c r="P1" s="249"/>
      <c r="BN1" s="250"/>
    </row>
    <row r="2" spans="1:66" s="246" customFormat="1" ht="18">
      <c r="B2" s="247" t="s">
        <v>1017</v>
      </c>
      <c r="C2" s="248">
        <f>AVERAGE(BL12:BL107)</f>
        <v>4.9904356060606059E-2</v>
      </c>
      <c r="P2" s="249"/>
      <c r="BN2" s="250"/>
    </row>
    <row r="3" spans="1:66" ht="18">
      <c r="B3" s="247" t="s">
        <v>1018</v>
      </c>
      <c r="C3" s="249">
        <f>COUNT(BK12:BK107)</f>
        <v>20</v>
      </c>
      <c r="P3" s="251"/>
      <c r="BN3" s="1"/>
    </row>
    <row r="5" spans="1:66" ht="18">
      <c r="A5" s="226"/>
      <c r="B5" s="227"/>
      <c r="C5" s="227"/>
      <c r="D5" s="227"/>
      <c r="E5" s="227"/>
      <c r="F5" s="227"/>
      <c r="G5" s="227"/>
      <c r="H5" s="227"/>
      <c r="I5" s="227"/>
      <c r="J5" s="227"/>
      <c r="K5" s="227"/>
      <c r="L5" s="227"/>
      <c r="M5" s="227"/>
      <c r="N5" s="227"/>
      <c r="O5" s="227"/>
      <c r="P5" s="228"/>
      <c r="Q5" s="227"/>
      <c r="R5" s="227"/>
      <c r="S5" s="227"/>
      <c r="T5" s="227"/>
      <c r="U5" s="227"/>
      <c r="V5" s="183" t="s">
        <v>29</v>
      </c>
      <c r="W5" s="184"/>
      <c r="X5" s="184"/>
      <c r="Y5" s="184"/>
      <c r="Z5" s="184"/>
      <c r="AA5" s="184"/>
      <c r="AB5" s="184"/>
      <c r="AC5" s="184"/>
      <c r="AD5" s="184"/>
      <c r="AE5" s="184"/>
      <c r="AF5" s="184"/>
      <c r="AG5" s="184"/>
      <c r="AH5" s="185" t="s">
        <v>30</v>
      </c>
      <c r="AI5" s="184"/>
      <c r="AJ5" s="184"/>
      <c r="AK5" s="184"/>
      <c r="AL5" s="184"/>
      <c r="AM5" s="184"/>
      <c r="AN5" s="184"/>
      <c r="AO5" s="186" t="s">
        <v>31</v>
      </c>
      <c r="AP5" s="184"/>
      <c r="AQ5" s="184"/>
      <c r="AR5" s="184"/>
      <c r="AS5" s="184"/>
      <c r="AT5" s="184"/>
      <c r="AU5" s="229" t="s">
        <v>32</v>
      </c>
      <c r="AV5" s="188" t="s">
        <v>34</v>
      </c>
      <c r="AW5" s="189"/>
      <c r="AX5" s="189"/>
      <c r="AY5" s="189"/>
      <c r="AZ5" s="189"/>
      <c r="BA5" s="189"/>
      <c r="BB5" s="189"/>
      <c r="BC5" s="189"/>
      <c r="BD5" s="190" t="s">
        <v>33</v>
      </c>
      <c r="BE5" s="189"/>
      <c r="BF5" s="189"/>
      <c r="BG5" s="189"/>
      <c r="BH5" s="189"/>
      <c r="BI5" s="189"/>
      <c r="BJ5" s="189"/>
      <c r="BK5" s="191" t="s">
        <v>148</v>
      </c>
      <c r="BL5" s="191" t="s">
        <v>148</v>
      </c>
    </row>
    <row r="6" spans="1:66" ht="15.75">
      <c r="A6" s="230"/>
      <c r="B6" s="231"/>
      <c r="C6" s="231"/>
      <c r="D6" s="231"/>
      <c r="E6" s="231"/>
      <c r="F6" s="231"/>
      <c r="G6" s="231"/>
      <c r="H6" s="231"/>
      <c r="I6" s="231"/>
      <c r="J6" s="231"/>
      <c r="K6" s="231"/>
      <c r="L6" s="231"/>
      <c r="M6" s="231"/>
      <c r="N6" s="231"/>
      <c r="O6" s="231"/>
      <c r="P6" s="232"/>
      <c r="Q6" s="231"/>
      <c r="R6" s="231"/>
      <c r="S6" s="231"/>
      <c r="T6" s="231"/>
      <c r="U6" s="231"/>
      <c r="V6" s="233" t="s">
        <v>205</v>
      </c>
      <c r="W6" s="233" t="s">
        <v>205</v>
      </c>
      <c r="X6" s="233" t="s">
        <v>205</v>
      </c>
      <c r="Y6" s="233" t="s">
        <v>205</v>
      </c>
      <c r="Z6" s="233" t="s">
        <v>205</v>
      </c>
      <c r="AA6" s="233" t="s">
        <v>205</v>
      </c>
      <c r="AB6" s="233" t="s">
        <v>205</v>
      </c>
      <c r="AC6" s="233" t="s">
        <v>205</v>
      </c>
      <c r="AD6" s="233" t="s">
        <v>205</v>
      </c>
      <c r="AE6" s="233" t="s">
        <v>205</v>
      </c>
      <c r="AF6" s="233" t="s">
        <v>205</v>
      </c>
      <c r="AG6" s="233" t="s">
        <v>205</v>
      </c>
      <c r="AH6" s="234" t="s">
        <v>205</v>
      </c>
      <c r="AI6" s="234" t="s">
        <v>205</v>
      </c>
      <c r="AJ6" s="234" t="s">
        <v>205</v>
      </c>
      <c r="AK6" s="234" t="s">
        <v>205</v>
      </c>
      <c r="AL6" s="234" t="s">
        <v>205</v>
      </c>
      <c r="AM6" s="234" t="s">
        <v>205</v>
      </c>
      <c r="AN6" s="234" t="s">
        <v>205</v>
      </c>
      <c r="AO6" s="235" t="s">
        <v>205</v>
      </c>
      <c r="AP6" s="235" t="s">
        <v>205</v>
      </c>
      <c r="AQ6" s="235" t="s">
        <v>205</v>
      </c>
      <c r="AR6" s="235" t="s">
        <v>205</v>
      </c>
      <c r="AS6" s="236" t="s">
        <v>205</v>
      </c>
      <c r="AT6" s="236" t="s">
        <v>205</v>
      </c>
      <c r="AU6" s="237" t="s">
        <v>205</v>
      </c>
      <c r="AV6" s="238"/>
      <c r="AW6" s="239"/>
      <c r="AX6" s="239"/>
      <c r="AY6" s="239"/>
      <c r="AZ6" s="239"/>
      <c r="BA6" s="239"/>
      <c r="BB6" s="239"/>
      <c r="BC6" s="239"/>
      <c r="BD6" s="240"/>
      <c r="BE6" s="241"/>
      <c r="BF6" s="241"/>
      <c r="BG6" s="241"/>
      <c r="BH6" s="241"/>
      <c r="BI6" s="241"/>
      <c r="BJ6" s="241"/>
      <c r="BK6" s="242"/>
      <c r="BL6" s="242"/>
    </row>
    <row r="7" spans="1:66" ht="51">
      <c r="A7" s="82" t="s">
        <v>193</v>
      </c>
      <c r="B7" s="82" t="s">
        <v>168</v>
      </c>
      <c r="C7" s="82" t="s">
        <v>228</v>
      </c>
      <c r="D7" s="82" t="s">
        <v>229</v>
      </c>
      <c r="E7" s="82" t="s">
        <v>230</v>
      </c>
      <c r="F7" s="82" t="s">
        <v>231</v>
      </c>
      <c r="G7" s="82" t="s">
        <v>232</v>
      </c>
      <c r="H7" s="82" t="s">
        <v>233</v>
      </c>
      <c r="I7" s="82" t="s">
        <v>234</v>
      </c>
      <c r="J7" s="82" t="s">
        <v>235</v>
      </c>
      <c r="K7" s="82" t="s">
        <v>236</v>
      </c>
      <c r="L7" s="82" t="s">
        <v>237</v>
      </c>
      <c r="M7" s="82" t="s">
        <v>238</v>
      </c>
      <c r="N7" s="82" t="s">
        <v>239</v>
      </c>
      <c r="O7" s="82" t="s">
        <v>240</v>
      </c>
      <c r="P7" s="82" t="s">
        <v>241</v>
      </c>
      <c r="Q7" s="82" t="s">
        <v>242</v>
      </c>
      <c r="R7" s="82" t="s">
        <v>243</v>
      </c>
      <c r="S7" s="82" t="s">
        <v>244</v>
      </c>
      <c r="T7" s="82" t="s">
        <v>245</v>
      </c>
      <c r="U7" s="82" t="s">
        <v>1013</v>
      </c>
      <c r="V7" s="83" t="s">
        <v>89</v>
      </c>
      <c r="W7" s="83" t="s">
        <v>91</v>
      </c>
      <c r="X7" s="83" t="s">
        <v>90</v>
      </c>
      <c r="Y7" s="83" t="s">
        <v>206</v>
      </c>
      <c r="Z7" s="83" t="s">
        <v>36</v>
      </c>
      <c r="AA7" s="83" t="s">
        <v>37</v>
      </c>
      <c r="AB7" s="83" t="s">
        <v>13</v>
      </c>
      <c r="AC7" s="83" t="s">
        <v>12</v>
      </c>
      <c r="AD7" s="83" t="s">
        <v>14</v>
      </c>
      <c r="AE7" s="83" t="s">
        <v>5</v>
      </c>
      <c r="AF7" s="83" t="s">
        <v>4</v>
      </c>
      <c r="AG7" s="83" t="s">
        <v>15</v>
      </c>
      <c r="AH7" s="84" t="s">
        <v>60</v>
      </c>
      <c r="AI7" s="84" t="s">
        <v>54</v>
      </c>
      <c r="AJ7" s="84" t="s">
        <v>47</v>
      </c>
      <c r="AK7" s="84" t="s">
        <v>207</v>
      </c>
      <c r="AL7" s="84" t="s">
        <v>55</v>
      </c>
      <c r="AM7" s="84" t="s">
        <v>1012</v>
      </c>
      <c r="AN7" s="84" t="s">
        <v>46</v>
      </c>
      <c r="AO7" s="85" t="s">
        <v>16</v>
      </c>
      <c r="AP7" s="85" t="s">
        <v>8</v>
      </c>
      <c r="AQ7" s="85" t="s">
        <v>10</v>
      </c>
      <c r="AR7" s="85" t="s">
        <v>65</v>
      </c>
      <c r="AS7" s="85" t="s">
        <v>64</v>
      </c>
      <c r="AT7" s="85" t="s">
        <v>9</v>
      </c>
      <c r="AU7" s="86" t="s">
        <v>58</v>
      </c>
      <c r="AV7" s="201" t="s">
        <v>199</v>
      </c>
      <c r="AW7" s="201" t="s">
        <v>70</v>
      </c>
      <c r="AX7" s="201" t="s">
        <v>74</v>
      </c>
      <c r="AY7" s="201" t="s">
        <v>77</v>
      </c>
      <c r="AZ7" s="201" t="s">
        <v>198</v>
      </c>
      <c r="BA7" s="201" t="s">
        <v>203</v>
      </c>
      <c r="BB7" s="201" t="s">
        <v>202</v>
      </c>
      <c r="BC7" s="201" t="s">
        <v>52</v>
      </c>
      <c r="BD7" s="202" t="s">
        <v>204</v>
      </c>
      <c r="BE7" s="202" t="s">
        <v>196</v>
      </c>
      <c r="BF7" s="202" t="s">
        <v>194</v>
      </c>
      <c r="BG7" s="202" t="s">
        <v>200</v>
      </c>
      <c r="BH7" s="202" t="s">
        <v>195</v>
      </c>
      <c r="BI7" s="202" t="s">
        <v>197</v>
      </c>
      <c r="BJ7" s="202" t="s">
        <v>201</v>
      </c>
      <c r="BK7" s="203" t="s">
        <v>35</v>
      </c>
      <c r="BL7" s="191" t="s">
        <v>1014</v>
      </c>
    </row>
    <row r="8" spans="1:66">
      <c r="A8" s="243" t="s">
        <v>276</v>
      </c>
      <c r="B8" s="165" t="s">
        <v>511</v>
      </c>
      <c r="C8" s="165" t="s">
        <v>530</v>
      </c>
      <c r="D8" s="165" t="s">
        <v>513</v>
      </c>
      <c r="E8" s="165" t="s">
        <v>173</v>
      </c>
      <c r="F8" s="165">
        <v>547</v>
      </c>
      <c r="G8" s="165">
        <v>6</v>
      </c>
      <c r="H8" s="165">
        <v>10</v>
      </c>
      <c r="I8" s="165">
        <v>55.3</v>
      </c>
      <c r="J8" s="165">
        <v>124</v>
      </c>
      <c r="K8" s="166" t="s">
        <v>514</v>
      </c>
      <c r="L8" s="165">
        <v>2024</v>
      </c>
      <c r="M8" s="165" t="s">
        <v>171</v>
      </c>
      <c r="N8" s="165">
        <v>10</v>
      </c>
      <c r="O8" s="181">
        <v>41</v>
      </c>
      <c r="P8" s="165" t="s">
        <v>531</v>
      </c>
      <c r="Q8" s="165">
        <v>-70.884</v>
      </c>
      <c r="R8" s="165">
        <v>40.256999999999998</v>
      </c>
      <c r="S8" s="165" t="s">
        <v>172</v>
      </c>
      <c r="T8" s="165">
        <v>25</v>
      </c>
      <c r="U8" s="166" t="s">
        <v>516</v>
      </c>
      <c r="V8" s="244">
        <v>0.63100000000000001</v>
      </c>
      <c r="W8" s="244">
        <v>0.09</v>
      </c>
      <c r="X8" s="244">
        <v>0.121</v>
      </c>
      <c r="Y8" s="244">
        <v>0.03</v>
      </c>
      <c r="Z8" s="244">
        <v>1.4E-2</v>
      </c>
      <c r="AA8" s="244">
        <v>3.5999999999999997E-2</v>
      </c>
      <c r="AB8" s="244">
        <v>3.5000000000000003E-2</v>
      </c>
      <c r="AC8" s="244">
        <v>2.1999999999999999E-2</v>
      </c>
      <c r="AD8" s="244">
        <v>2E-3</v>
      </c>
      <c r="AE8" s="244">
        <v>0.14199999999999999</v>
      </c>
      <c r="AF8" s="244">
        <v>2.9000000000000001E-2</v>
      </c>
      <c r="AG8" s="244">
        <v>8.9999999999999993E-3</v>
      </c>
      <c r="AH8" s="244">
        <v>0.624</v>
      </c>
      <c r="AI8" s="244">
        <v>-8888</v>
      </c>
      <c r="AJ8" s="244">
        <v>7.0000000000000001E-3</v>
      </c>
      <c r="AK8" s="244">
        <v>0.09</v>
      </c>
      <c r="AL8" s="244">
        <v>-8888</v>
      </c>
      <c r="AM8" s="244">
        <v>7.3999999999999996E-2</v>
      </c>
      <c r="AN8" s="244">
        <v>4.7E-2</v>
      </c>
      <c r="AO8" s="244">
        <v>2E-3</v>
      </c>
      <c r="AP8" s="244">
        <v>0.01</v>
      </c>
      <c r="AQ8" s="244">
        <v>7.0000000000000001E-3</v>
      </c>
      <c r="AR8" s="244">
        <v>7.0000000000000001E-3</v>
      </c>
      <c r="AS8" s="244">
        <v>1.6E-2</v>
      </c>
      <c r="AT8" s="244">
        <v>3.3000000000000002E-2</v>
      </c>
      <c r="AU8" s="244">
        <v>-8888</v>
      </c>
      <c r="AV8" s="244">
        <v>0.84199999999999997</v>
      </c>
      <c r="AW8" s="244">
        <v>9.8000000000000004E-2</v>
      </c>
      <c r="AX8" s="244">
        <v>0.221</v>
      </c>
      <c r="AY8" s="244">
        <v>1.0629999999999999</v>
      </c>
      <c r="AZ8" s="244">
        <v>0.31900000000000001</v>
      </c>
      <c r="BA8" s="244">
        <v>0.53</v>
      </c>
      <c r="BB8" s="244">
        <v>1.161</v>
      </c>
      <c r="BC8" s="244">
        <v>0.35499999999999998</v>
      </c>
      <c r="BD8" s="245">
        <v>0.84</v>
      </c>
      <c r="BE8" s="245">
        <v>0.69</v>
      </c>
      <c r="BF8" s="245">
        <v>0.31</v>
      </c>
      <c r="BG8" s="245">
        <v>2.64</v>
      </c>
      <c r="BH8" s="245">
        <v>0.08</v>
      </c>
      <c r="BI8" s="245">
        <v>0.92</v>
      </c>
      <c r="BJ8" s="245">
        <v>0.54</v>
      </c>
      <c r="BK8" s="242"/>
      <c r="BL8" s="242"/>
    </row>
    <row r="9" spans="1:66">
      <c r="A9" s="243" t="s">
        <v>277</v>
      </c>
      <c r="B9" s="165" t="s">
        <v>511</v>
      </c>
      <c r="C9" s="165" t="s">
        <v>532</v>
      </c>
      <c r="D9" s="165" t="s">
        <v>513</v>
      </c>
      <c r="E9" s="165" t="s">
        <v>173</v>
      </c>
      <c r="F9" s="165">
        <v>547</v>
      </c>
      <c r="G9" s="165">
        <v>6</v>
      </c>
      <c r="H9" s="165">
        <v>10</v>
      </c>
      <c r="I9" s="165">
        <v>55.3</v>
      </c>
      <c r="J9" s="165">
        <v>124</v>
      </c>
      <c r="K9" s="166" t="s">
        <v>514</v>
      </c>
      <c r="L9" s="165">
        <v>2024</v>
      </c>
      <c r="M9" s="165" t="s">
        <v>171</v>
      </c>
      <c r="N9" s="165">
        <v>10</v>
      </c>
      <c r="O9" s="181">
        <v>41</v>
      </c>
      <c r="P9" s="165" t="s">
        <v>531</v>
      </c>
      <c r="Q9" s="165">
        <v>-70.884</v>
      </c>
      <c r="R9" s="165">
        <v>40.256999999999998</v>
      </c>
      <c r="S9" s="165" t="s">
        <v>172</v>
      </c>
      <c r="T9" s="165">
        <v>25</v>
      </c>
      <c r="U9" s="166" t="s">
        <v>516</v>
      </c>
      <c r="V9" s="244">
        <v>0.62</v>
      </c>
      <c r="W9" s="244">
        <v>9.1999999999999998E-2</v>
      </c>
      <c r="X9" s="244">
        <v>0.11899999999999999</v>
      </c>
      <c r="Y9" s="244">
        <v>0.03</v>
      </c>
      <c r="Z9" s="244">
        <v>1.4E-2</v>
      </c>
      <c r="AA9" s="244">
        <v>3.5000000000000003E-2</v>
      </c>
      <c r="AB9" s="244">
        <v>3.3000000000000002E-2</v>
      </c>
      <c r="AC9" s="244">
        <v>0.02</v>
      </c>
      <c r="AD9" s="244">
        <v>2E-3</v>
      </c>
      <c r="AE9" s="244">
        <v>0.14499999999999999</v>
      </c>
      <c r="AF9" s="244">
        <v>2.4E-2</v>
      </c>
      <c r="AG9" s="244">
        <v>8.9999999999999993E-3</v>
      </c>
      <c r="AH9" s="244">
        <v>0.61499999999999999</v>
      </c>
      <c r="AI9" s="244">
        <v>-8888</v>
      </c>
      <c r="AJ9" s="244">
        <v>5.0000000000000001E-3</v>
      </c>
      <c r="AK9" s="244">
        <v>9.1999999999999998E-2</v>
      </c>
      <c r="AL9" s="244">
        <v>-8888</v>
      </c>
      <c r="AM9" s="244">
        <v>7.1999999999999995E-2</v>
      </c>
      <c r="AN9" s="244">
        <v>4.7E-2</v>
      </c>
      <c r="AO9" s="244">
        <v>1E-3</v>
      </c>
      <c r="AP9" s="244">
        <v>1.0999999999999999E-2</v>
      </c>
      <c r="AQ9" s="244">
        <v>7.0000000000000001E-3</v>
      </c>
      <c r="AR9" s="244">
        <v>7.0000000000000001E-3</v>
      </c>
      <c r="AS9" s="244">
        <v>1.7000000000000001E-2</v>
      </c>
      <c r="AT9" s="244">
        <v>3.3000000000000002E-2</v>
      </c>
      <c r="AU9" s="244">
        <v>-8888</v>
      </c>
      <c r="AV9" s="244">
        <v>0.83099999999999996</v>
      </c>
      <c r="AW9" s="244">
        <v>9.4E-2</v>
      </c>
      <c r="AX9" s="244">
        <v>0.218</v>
      </c>
      <c r="AY9" s="244">
        <v>1.0489999999999999</v>
      </c>
      <c r="AZ9" s="244">
        <v>0.312</v>
      </c>
      <c r="BA9" s="244">
        <v>0.52300000000000002</v>
      </c>
      <c r="BB9" s="244">
        <v>1.143</v>
      </c>
      <c r="BC9" s="244">
        <v>0.35199999999999998</v>
      </c>
      <c r="BD9" s="245">
        <v>0.84</v>
      </c>
      <c r="BE9" s="245">
        <v>0.7</v>
      </c>
      <c r="BF9" s="245">
        <v>0.3</v>
      </c>
      <c r="BG9" s="245">
        <v>2.66</v>
      </c>
      <c r="BH9" s="245">
        <v>0.08</v>
      </c>
      <c r="BI9" s="245">
        <v>0.92</v>
      </c>
      <c r="BJ9" s="245">
        <v>0.54</v>
      </c>
      <c r="BK9" s="242"/>
      <c r="BL9" s="242"/>
    </row>
    <row r="10" spans="1:66">
      <c r="A10" s="210"/>
      <c r="B10" s="220"/>
      <c r="C10" s="220"/>
      <c r="D10" s="220"/>
      <c r="E10" s="220"/>
      <c r="F10" s="220"/>
      <c r="G10" s="220"/>
      <c r="H10" s="220"/>
      <c r="I10" s="220"/>
      <c r="J10" s="220"/>
      <c r="K10" s="220"/>
      <c r="L10" s="220"/>
      <c r="M10" s="220"/>
      <c r="N10" s="220"/>
      <c r="O10" s="220"/>
      <c r="P10" s="221"/>
      <c r="Q10" s="220"/>
      <c r="R10" s="220"/>
      <c r="S10" s="220"/>
      <c r="T10" s="220"/>
      <c r="U10" s="210" t="s">
        <v>22</v>
      </c>
      <c r="V10" s="210">
        <f t="shared" ref="V10:BC10" si="0">ROUND(AVERAGE((IF(V8=-8888,0,V8)),(IF(V9=-8888,0,V9))),3)</f>
        <v>0.626</v>
      </c>
      <c r="W10" s="210">
        <f t="shared" si="0"/>
        <v>9.0999999999999998E-2</v>
      </c>
      <c r="X10" s="210">
        <f t="shared" si="0"/>
        <v>0.12</v>
      </c>
      <c r="Y10" s="210">
        <f t="shared" si="0"/>
        <v>0.03</v>
      </c>
      <c r="Z10" s="210">
        <f t="shared" si="0"/>
        <v>1.4E-2</v>
      </c>
      <c r="AA10" s="210">
        <f t="shared" si="0"/>
        <v>3.5999999999999997E-2</v>
      </c>
      <c r="AB10" s="210">
        <f t="shared" si="0"/>
        <v>3.4000000000000002E-2</v>
      </c>
      <c r="AC10" s="210">
        <f t="shared" si="0"/>
        <v>2.1000000000000001E-2</v>
      </c>
      <c r="AD10" s="210">
        <f t="shared" si="0"/>
        <v>2E-3</v>
      </c>
      <c r="AE10" s="210">
        <f t="shared" si="0"/>
        <v>0.14399999999999999</v>
      </c>
      <c r="AF10" s="210">
        <f t="shared" si="0"/>
        <v>2.7E-2</v>
      </c>
      <c r="AG10" s="210">
        <f t="shared" si="0"/>
        <v>8.9999999999999993E-3</v>
      </c>
      <c r="AH10" s="210">
        <f t="shared" si="0"/>
        <v>0.62</v>
      </c>
      <c r="AI10" s="210">
        <f t="shared" si="0"/>
        <v>0</v>
      </c>
      <c r="AJ10" s="210">
        <f t="shared" si="0"/>
        <v>6.0000000000000001E-3</v>
      </c>
      <c r="AK10" s="210">
        <f t="shared" si="0"/>
        <v>9.0999999999999998E-2</v>
      </c>
      <c r="AL10" s="210">
        <f t="shared" si="0"/>
        <v>0</v>
      </c>
      <c r="AM10" s="210">
        <f t="shared" si="0"/>
        <v>7.2999999999999995E-2</v>
      </c>
      <c r="AN10" s="210">
        <f t="shared" si="0"/>
        <v>4.7E-2</v>
      </c>
      <c r="AO10" s="210">
        <f t="shared" si="0"/>
        <v>2E-3</v>
      </c>
      <c r="AP10" s="210">
        <f t="shared" si="0"/>
        <v>1.0999999999999999E-2</v>
      </c>
      <c r="AQ10" s="210">
        <f t="shared" si="0"/>
        <v>7.0000000000000001E-3</v>
      </c>
      <c r="AR10" s="210">
        <f t="shared" si="0"/>
        <v>7.0000000000000001E-3</v>
      </c>
      <c r="AS10" s="210">
        <f t="shared" si="0"/>
        <v>1.7000000000000001E-2</v>
      </c>
      <c r="AT10" s="210">
        <f t="shared" si="0"/>
        <v>3.3000000000000002E-2</v>
      </c>
      <c r="AU10" s="210">
        <f t="shared" si="0"/>
        <v>0</v>
      </c>
      <c r="AV10" s="210">
        <f t="shared" si="0"/>
        <v>0.83699999999999997</v>
      </c>
      <c r="AW10" s="210">
        <f t="shared" si="0"/>
        <v>9.6000000000000002E-2</v>
      </c>
      <c r="AX10" s="210">
        <f t="shared" si="0"/>
        <v>0.22</v>
      </c>
      <c r="AY10" s="210">
        <f t="shared" si="0"/>
        <v>1.056</v>
      </c>
      <c r="AZ10" s="210">
        <f t="shared" si="0"/>
        <v>0.316</v>
      </c>
      <c r="BA10" s="210">
        <f t="shared" si="0"/>
        <v>0.52700000000000002</v>
      </c>
      <c r="BB10" s="210">
        <f t="shared" si="0"/>
        <v>1.1519999999999999</v>
      </c>
      <c r="BC10" s="210">
        <f t="shared" si="0"/>
        <v>0.35399999999999998</v>
      </c>
      <c r="BD10" s="209">
        <f>ROUND(AVERAGE((IF(BD8=-8888,0,BD8)),(IF(BD9=-8888,0,BD9))),2)</f>
        <v>0.84</v>
      </c>
      <c r="BE10" s="209">
        <f t="shared" ref="BE10:BJ10" si="1">ROUND(AVERAGE((IF(BE8=-8888,0,BE8)),(IF(BE9=-8888,0,BE9))),2)</f>
        <v>0.7</v>
      </c>
      <c r="BF10" s="209">
        <f t="shared" si="1"/>
        <v>0.31</v>
      </c>
      <c r="BG10" s="209">
        <f t="shared" si="1"/>
        <v>2.65</v>
      </c>
      <c r="BH10" s="209">
        <f t="shared" si="1"/>
        <v>0.08</v>
      </c>
      <c r="BI10" s="209">
        <f t="shared" si="1"/>
        <v>0.92</v>
      </c>
      <c r="BJ10" s="209">
        <f t="shared" si="1"/>
        <v>0.54</v>
      </c>
      <c r="BK10" s="211"/>
      <c r="BL10" s="211"/>
    </row>
    <row r="11" spans="1:66">
      <c r="A11" s="214"/>
      <c r="B11" s="222"/>
      <c r="C11" s="222"/>
      <c r="D11" s="222"/>
      <c r="E11" s="222"/>
      <c r="F11" s="222"/>
      <c r="G11" s="222"/>
      <c r="H11" s="222"/>
      <c r="I11" s="222"/>
      <c r="J11" s="222"/>
      <c r="K11" s="222"/>
      <c r="L11" s="222"/>
      <c r="M11" s="222"/>
      <c r="N11" s="222"/>
      <c r="O11" s="222"/>
      <c r="P11" s="223"/>
      <c r="Q11" s="222"/>
      <c r="R11" s="222"/>
      <c r="S11" s="222"/>
      <c r="T11" s="222"/>
      <c r="U11" s="214" t="s">
        <v>1015</v>
      </c>
      <c r="V11" s="214">
        <f t="shared" ref="V11:BC11" si="2">ROUND(STDEV((IF(V8=-8888,0,V8)),(IF(V9=-8888,0,V9))),3)</f>
        <v>8.0000000000000002E-3</v>
      </c>
      <c r="W11" s="214">
        <f t="shared" si="2"/>
        <v>1E-3</v>
      </c>
      <c r="X11" s="214">
        <f t="shared" si="2"/>
        <v>1E-3</v>
      </c>
      <c r="Y11" s="214">
        <f t="shared" si="2"/>
        <v>0</v>
      </c>
      <c r="Z11" s="214">
        <f t="shared" si="2"/>
        <v>0</v>
      </c>
      <c r="AA11" s="214">
        <f t="shared" si="2"/>
        <v>1E-3</v>
      </c>
      <c r="AB11" s="214">
        <f t="shared" si="2"/>
        <v>1E-3</v>
      </c>
      <c r="AC11" s="214">
        <f t="shared" si="2"/>
        <v>1E-3</v>
      </c>
      <c r="AD11" s="214">
        <f t="shared" si="2"/>
        <v>0</v>
      </c>
      <c r="AE11" s="214">
        <f t="shared" si="2"/>
        <v>2E-3</v>
      </c>
      <c r="AF11" s="214">
        <f t="shared" si="2"/>
        <v>4.0000000000000001E-3</v>
      </c>
      <c r="AG11" s="214">
        <f t="shared" si="2"/>
        <v>0</v>
      </c>
      <c r="AH11" s="214">
        <f t="shared" si="2"/>
        <v>6.0000000000000001E-3</v>
      </c>
      <c r="AI11" s="214">
        <f t="shared" si="2"/>
        <v>0</v>
      </c>
      <c r="AJ11" s="214">
        <f t="shared" si="2"/>
        <v>1E-3</v>
      </c>
      <c r="AK11" s="214">
        <f t="shared" si="2"/>
        <v>1E-3</v>
      </c>
      <c r="AL11" s="214">
        <f t="shared" si="2"/>
        <v>0</v>
      </c>
      <c r="AM11" s="214">
        <f t="shared" si="2"/>
        <v>1E-3</v>
      </c>
      <c r="AN11" s="214">
        <f t="shared" si="2"/>
        <v>0</v>
      </c>
      <c r="AO11" s="214">
        <f t="shared" si="2"/>
        <v>1E-3</v>
      </c>
      <c r="AP11" s="214">
        <f t="shared" si="2"/>
        <v>1E-3</v>
      </c>
      <c r="AQ11" s="214">
        <f t="shared" si="2"/>
        <v>0</v>
      </c>
      <c r="AR11" s="214">
        <f t="shared" si="2"/>
        <v>0</v>
      </c>
      <c r="AS11" s="214">
        <f t="shared" si="2"/>
        <v>1E-3</v>
      </c>
      <c r="AT11" s="214">
        <f t="shared" si="2"/>
        <v>0</v>
      </c>
      <c r="AU11" s="214">
        <f t="shared" si="2"/>
        <v>0</v>
      </c>
      <c r="AV11" s="214">
        <f t="shared" si="2"/>
        <v>8.0000000000000002E-3</v>
      </c>
      <c r="AW11" s="214">
        <f t="shared" si="2"/>
        <v>3.0000000000000001E-3</v>
      </c>
      <c r="AX11" s="214">
        <f t="shared" si="2"/>
        <v>2E-3</v>
      </c>
      <c r="AY11" s="214">
        <f t="shared" si="2"/>
        <v>0.01</v>
      </c>
      <c r="AZ11" s="214">
        <f t="shared" si="2"/>
        <v>5.0000000000000001E-3</v>
      </c>
      <c r="BA11" s="214">
        <f t="shared" si="2"/>
        <v>5.0000000000000001E-3</v>
      </c>
      <c r="BB11" s="214">
        <f t="shared" si="2"/>
        <v>1.2999999999999999E-2</v>
      </c>
      <c r="BC11" s="214">
        <f t="shared" si="2"/>
        <v>2E-3</v>
      </c>
      <c r="BD11" s="213">
        <f>ROUND(STDEV((IF(BD8=-8888,0,BD8)),(IF(BD9=-8888,0,BD9))),2)</f>
        <v>0</v>
      </c>
      <c r="BE11" s="213">
        <f t="shared" ref="BE11:BJ11" si="3">ROUND(STDEV((IF(BE8=-8888,0,BE8)),(IF(BE9=-8888,0,BE9))),2)</f>
        <v>0.01</v>
      </c>
      <c r="BF11" s="213">
        <f t="shared" si="3"/>
        <v>0.01</v>
      </c>
      <c r="BG11" s="213">
        <f t="shared" si="3"/>
        <v>0.01</v>
      </c>
      <c r="BH11" s="213">
        <f t="shared" si="3"/>
        <v>0</v>
      </c>
      <c r="BI11" s="213">
        <f t="shared" si="3"/>
        <v>0</v>
      </c>
      <c r="BJ11" s="213">
        <f t="shared" si="3"/>
        <v>0</v>
      </c>
      <c r="BK11" s="215"/>
      <c r="BL11" s="215"/>
    </row>
    <row r="12" spans="1:66">
      <c r="A12" s="216"/>
      <c r="B12" s="224"/>
      <c r="C12" s="224"/>
      <c r="D12" s="224"/>
      <c r="E12" s="224"/>
      <c r="F12" s="224"/>
      <c r="G12" s="224"/>
      <c r="H12" s="224"/>
      <c r="I12" s="224"/>
      <c r="J12" s="224"/>
      <c r="K12" s="224"/>
      <c r="L12" s="224"/>
      <c r="M12" s="224"/>
      <c r="N12" s="224"/>
      <c r="O12" s="224"/>
      <c r="P12" s="225"/>
      <c r="Q12" s="224"/>
      <c r="R12" s="224"/>
      <c r="S12" s="224"/>
      <c r="T12" s="224"/>
      <c r="U12" s="217" t="s">
        <v>148</v>
      </c>
      <c r="V12" s="218">
        <f>IF((V10=0),"N/A",ROUND((V11/V10),4))</f>
        <v>1.2800000000000001E-2</v>
      </c>
      <c r="W12" s="218">
        <f t="shared" ref="W12:BJ12" si="4">IF((W10=0),"N/A",ROUND((W11/W10),4))</f>
        <v>1.0999999999999999E-2</v>
      </c>
      <c r="X12" s="218">
        <f t="shared" si="4"/>
        <v>8.3000000000000001E-3</v>
      </c>
      <c r="Y12" s="218">
        <f t="shared" si="4"/>
        <v>0</v>
      </c>
      <c r="Z12" s="218">
        <f t="shared" si="4"/>
        <v>0</v>
      </c>
      <c r="AA12" s="218">
        <f t="shared" si="4"/>
        <v>2.7799999999999998E-2</v>
      </c>
      <c r="AB12" s="218">
        <f t="shared" si="4"/>
        <v>2.9399999999999999E-2</v>
      </c>
      <c r="AC12" s="218">
        <f t="shared" si="4"/>
        <v>4.7600000000000003E-2</v>
      </c>
      <c r="AD12" s="218">
        <f t="shared" si="4"/>
        <v>0</v>
      </c>
      <c r="AE12" s="218">
        <f t="shared" si="4"/>
        <v>1.3899999999999999E-2</v>
      </c>
      <c r="AF12" s="218">
        <f t="shared" si="4"/>
        <v>0.14810000000000001</v>
      </c>
      <c r="AG12" s="218">
        <f t="shared" si="4"/>
        <v>0</v>
      </c>
      <c r="AH12" s="218">
        <f t="shared" si="4"/>
        <v>9.7000000000000003E-3</v>
      </c>
      <c r="AI12" s="218" t="str">
        <f t="shared" si="4"/>
        <v>N/A</v>
      </c>
      <c r="AJ12" s="218">
        <f t="shared" si="4"/>
        <v>0.16669999999999999</v>
      </c>
      <c r="AK12" s="218">
        <f t="shared" si="4"/>
        <v>1.0999999999999999E-2</v>
      </c>
      <c r="AL12" s="218" t="str">
        <f t="shared" si="4"/>
        <v>N/A</v>
      </c>
      <c r="AM12" s="218">
        <f t="shared" si="4"/>
        <v>1.37E-2</v>
      </c>
      <c r="AN12" s="218">
        <f t="shared" si="4"/>
        <v>0</v>
      </c>
      <c r="AO12" s="218">
        <f t="shared" si="4"/>
        <v>0.5</v>
      </c>
      <c r="AP12" s="218">
        <f t="shared" si="4"/>
        <v>9.0899999999999995E-2</v>
      </c>
      <c r="AQ12" s="218">
        <f t="shared" si="4"/>
        <v>0</v>
      </c>
      <c r="AR12" s="218">
        <f t="shared" si="4"/>
        <v>0</v>
      </c>
      <c r="AS12" s="218">
        <f t="shared" si="4"/>
        <v>5.8799999999999998E-2</v>
      </c>
      <c r="AT12" s="218">
        <f t="shared" si="4"/>
        <v>0</v>
      </c>
      <c r="AU12" s="218" t="str">
        <f t="shared" si="4"/>
        <v>N/A</v>
      </c>
      <c r="AV12" s="218">
        <f t="shared" si="4"/>
        <v>9.5999999999999992E-3</v>
      </c>
      <c r="AW12" s="218">
        <f t="shared" si="4"/>
        <v>3.1300000000000001E-2</v>
      </c>
      <c r="AX12" s="218">
        <f t="shared" si="4"/>
        <v>9.1000000000000004E-3</v>
      </c>
      <c r="AY12" s="218">
        <f t="shared" si="4"/>
        <v>9.4999999999999998E-3</v>
      </c>
      <c r="AZ12" s="218">
        <f t="shared" si="4"/>
        <v>1.5800000000000002E-2</v>
      </c>
      <c r="BA12" s="218">
        <f t="shared" si="4"/>
        <v>9.4999999999999998E-3</v>
      </c>
      <c r="BB12" s="218">
        <f t="shared" si="4"/>
        <v>1.1299999999999999E-2</v>
      </c>
      <c r="BC12" s="218">
        <f t="shared" si="4"/>
        <v>5.5999999999999999E-3</v>
      </c>
      <c r="BD12" s="218">
        <f t="shared" si="4"/>
        <v>0</v>
      </c>
      <c r="BE12" s="218">
        <f t="shared" si="4"/>
        <v>1.43E-2</v>
      </c>
      <c r="BF12" s="218">
        <f t="shared" si="4"/>
        <v>3.2300000000000002E-2</v>
      </c>
      <c r="BG12" s="218">
        <f t="shared" si="4"/>
        <v>3.8E-3</v>
      </c>
      <c r="BH12" s="218">
        <f t="shared" si="4"/>
        <v>0</v>
      </c>
      <c r="BI12" s="218">
        <f t="shared" si="4"/>
        <v>0</v>
      </c>
      <c r="BJ12" s="218">
        <f t="shared" si="4"/>
        <v>0</v>
      </c>
      <c r="BK12" s="219">
        <f>V12</f>
        <v>1.2800000000000001E-2</v>
      </c>
      <c r="BL12" s="219">
        <f>AVERAGE(V12:AG12)</f>
        <v>2.4908333333333338E-2</v>
      </c>
    </row>
    <row r="13" spans="1:66">
      <c r="A13" s="243" t="s">
        <v>290</v>
      </c>
      <c r="B13" s="165" t="s">
        <v>511</v>
      </c>
      <c r="C13" s="165" t="s">
        <v>555</v>
      </c>
      <c r="D13" s="165" t="s">
        <v>513</v>
      </c>
      <c r="E13" s="165" t="s">
        <v>173</v>
      </c>
      <c r="F13" s="165">
        <v>548</v>
      </c>
      <c r="G13" s="165">
        <v>12</v>
      </c>
      <c r="H13" s="165">
        <v>19</v>
      </c>
      <c r="I13" s="165">
        <v>3.1</v>
      </c>
      <c r="J13" s="165">
        <v>140</v>
      </c>
      <c r="K13" s="166" t="s">
        <v>514</v>
      </c>
      <c r="L13" s="165">
        <v>2024</v>
      </c>
      <c r="M13" s="165" t="s">
        <v>171</v>
      </c>
      <c r="N13" s="165">
        <v>12</v>
      </c>
      <c r="O13" s="181">
        <v>43</v>
      </c>
      <c r="P13" s="165" t="s">
        <v>556</v>
      </c>
      <c r="Q13" s="165">
        <v>-70.899000000000001</v>
      </c>
      <c r="R13" s="165">
        <v>40.158000000000001</v>
      </c>
      <c r="S13" s="165" t="s">
        <v>172</v>
      </c>
      <c r="T13" s="165">
        <v>25</v>
      </c>
      <c r="U13" s="166" t="s">
        <v>516</v>
      </c>
      <c r="V13" s="244">
        <v>0.78700000000000003</v>
      </c>
      <c r="W13" s="244">
        <v>0.107</v>
      </c>
      <c r="X13" s="244">
        <v>0.13900000000000001</v>
      </c>
      <c r="Y13" s="244">
        <v>3.7999999999999999E-2</v>
      </c>
      <c r="Z13" s="244">
        <v>0.02</v>
      </c>
      <c r="AA13" s="244">
        <v>0.04</v>
      </c>
      <c r="AB13" s="244">
        <v>0.05</v>
      </c>
      <c r="AC13" s="244">
        <v>4.3999999999999997E-2</v>
      </c>
      <c r="AD13" s="244">
        <v>5.0000000000000001E-3</v>
      </c>
      <c r="AE13" s="244">
        <v>0.17399999999999999</v>
      </c>
      <c r="AF13" s="244">
        <v>3.4000000000000002E-2</v>
      </c>
      <c r="AG13" s="244">
        <v>1.0999999999999999E-2</v>
      </c>
      <c r="AH13" s="244">
        <v>0.77600000000000002</v>
      </c>
      <c r="AI13" s="244">
        <v>-8888</v>
      </c>
      <c r="AJ13" s="244">
        <v>1.0999999999999999E-2</v>
      </c>
      <c r="AK13" s="244">
        <v>0.107</v>
      </c>
      <c r="AL13" s="244">
        <v>-8888</v>
      </c>
      <c r="AM13" s="244">
        <v>9.0999999999999998E-2</v>
      </c>
      <c r="AN13" s="244">
        <v>4.8000000000000001E-2</v>
      </c>
      <c r="AO13" s="244">
        <v>3.0000000000000001E-3</v>
      </c>
      <c r="AP13" s="244">
        <v>1.2999999999999999E-2</v>
      </c>
      <c r="AQ13" s="244">
        <v>1.4E-2</v>
      </c>
      <c r="AR13" s="244">
        <v>8.9999999999999993E-3</v>
      </c>
      <c r="AS13" s="244">
        <v>1.2E-2</v>
      </c>
      <c r="AT13" s="244">
        <v>3.5000000000000003E-2</v>
      </c>
      <c r="AU13" s="244">
        <v>-8888</v>
      </c>
      <c r="AV13" s="244">
        <v>1.0329999999999999</v>
      </c>
      <c r="AW13" s="244">
        <v>0.14799999999999999</v>
      </c>
      <c r="AX13" s="244">
        <v>0.26800000000000002</v>
      </c>
      <c r="AY13" s="244">
        <v>1.3009999999999999</v>
      </c>
      <c r="AZ13" s="244">
        <v>0.41600000000000004</v>
      </c>
      <c r="BA13" s="244">
        <v>0.66200000000000003</v>
      </c>
      <c r="BB13" s="244">
        <v>1.4490000000000001</v>
      </c>
      <c r="BC13" s="244">
        <v>0.43600000000000005</v>
      </c>
      <c r="BD13" s="245">
        <v>0.84</v>
      </c>
      <c r="BE13" s="245">
        <v>0.64</v>
      </c>
      <c r="BF13" s="245">
        <v>0.36</v>
      </c>
      <c r="BG13" s="245">
        <v>2.48</v>
      </c>
      <c r="BH13" s="245">
        <v>0.1</v>
      </c>
      <c r="BI13" s="245">
        <v>0.9</v>
      </c>
      <c r="BJ13" s="245">
        <v>0.54</v>
      </c>
      <c r="BK13" s="242"/>
      <c r="BL13" s="242"/>
    </row>
    <row r="14" spans="1:66">
      <c r="A14" s="243" t="s">
        <v>291</v>
      </c>
      <c r="B14" s="165" t="s">
        <v>511</v>
      </c>
      <c r="C14" s="165" t="s">
        <v>557</v>
      </c>
      <c r="D14" s="165" t="s">
        <v>513</v>
      </c>
      <c r="E14" s="165" t="s">
        <v>173</v>
      </c>
      <c r="F14" s="165">
        <v>548</v>
      </c>
      <c r="G14" s="165">
        <v>12</v>
      </c>
      <c r="H14" s="165">
        <v>19</v>
      </c>
      <c r="I14" s="165">
        <v>3.1</v>
      </c>
      <c r="J14" s="165">
        <v>140</v>
      </c>
      <c r="K14" s="166" t="s">
        <v>514</v>
      </c>
      <c r="L14" s="165">
        <v>2024</v>
      </c>
      <c r="M14" s="165" t="s">
        <v>171</v>
      </c>
      <c r="N14" s="165">
        <v>12</v>
      </c>
      <c r="O14" s="181">
        <v>43</v>
      </c>
      <c r="P14" s="165" t="s">
        <v>556</v>
      </c>
      <c r="Q14" s="165">
        <v>-70.899000000000001</v>
      </c>
      <c r="R14" s="165">
        <v>40.158000000000001</v>
      </c>
      <c r="S14" s="165" t="s">
        <v>172</v>
      </c>
      <c r="T14" s="165">
        <v>25</v>
      </c>
      <c r="U14" s="166" t="s">
        <v>516</v>
      </c>
      <c r="V14" s="244">
        <v>0.78900000000000003</v>
      </c>
      <c r="W14" s="244">
        <v>0.104</v>
      </c>
      <c r="X14" s="244">
        <v>0.13900000000000001</v>
      </c>
      <c r="Y14" s="244">
        <v>3.7999999999999999E-2</v>
      </c>
      <c r="Z14" s="244">
        <v>1.7999999999999999E-2</v>
      </c>
      <c r="AA14" s="244">
        <v>4.3999999999999997E-2</v>
      </c>
      <c r="AB14" s="244">
        <v>5.2999999999999999E-2</v>
      </c>
      <c r="AC14" s="244">
        <v>4.2999999999999997E-2</v>
      </c>
      <c r="AD14" s="244">
        <v>5.0000000000000001E-3</v>
      </c>
      <c r="AE14" s="244">
        <v>0.16400000000000001</v>
      </c>
      <c r="AF14" s="244">
        <v>3.5999999999999997E-2</v>
      </c>
      <c r="AG14" s="244">
        <v>1.2E-2</v>
      </c>
      <c r="AH14" s="244">
        <v>0.77800000000000002</v>
      </c>
      <c r="AI14" s="244">
        <v>-8888</v>
      </c>
      <c r="AJ14" s="244">
        <v>1.0999999999999999E-2</v>
      </c>
      <c r="AK14" s="244">
        <v>0.104</v>
      </c>
      <c r="AL14" s="244">
        <v>-8888</v>
      </c>
      <c r="AM14" s="244">
        <v>0.09</v>
      </c>
      <c r="AN14" s="244">
        <v>4.9000000000000002E-2</v>
      </c>
      <c r="AO14" s="244">
        <v>3.0000000000000001E-3</v>
      </c>
      <c r="AP14" s="244">
        <v>1.2E-2</v>
      </c>
      <c r="AQ14" s="244">
        <v>1.2999999999999999E-2</v>
      </c>
      <c r="AR14" s="244">
        <v>8.9999999999999993E-3</v>
      </c>
      <c r="AS14" s="244">
        <v>1.2999999999999999E-2</v>
      </c>
      <c r="AT14" s="244">
        <v>3.4000000000000002E-2</v>
      </c>
      <c r="AU14" s="244">
        <v>-8888</v>
      </c>
      <c r="AV14" s="244">
        <v>1.032</v>
      </c>
      <c r="AW14" s="244">
        <v>0.151</v>
      </c>
      <c r="AX14" s="244">
        <v>0.26199999999999996</v>
      </c>
      <c r="AY14" s="244">
        <v>1.294</v>
      </c>
      <c r="AZ14" s="244">
        <v>0.41299999999999992</v>
      </c>
      <c r="BA14" s="244">
        <v>0.65599999999999992</v>
      </c>
      <c r="BB14" s="244">
        <v>1.4449999999999998</v>
      </c>
      <c r="BC14" s="244">
        <v>0.43099999999999994</v>
      </c>
      <c r="BD14" s="245">
        <v>0.83</v>
      </c>
      <c r="BE14" s="245">
        <v>0.63</v>
      </c>
      <c r="BF14" s="245">
        <v>0.37</v>
      </c>
      <c r="BG14" s="245">
        <v>2.5</v>
      </c>
      <c r="BH14" s="245">
        <v>0.1</v>
      </c>
      <c r="BI14" s="245">
        <v>0.9</v>
      </c>
      <c r="BJ14" s="245">
        <v>0.55000000000000004</v>
      </c>
      <c r="BK14" s="242"/>
      <c r="BL14" s="242"/>
    </row>
    <row r="15" spans="1:66">
      <c r="A15" s="210"/>
      <c r="B15" s="220"/>
      <c r="C15" s="220"/>
      <c r="D15" s="220"/>
      <c r="E15" s="220"/>
      <c r="F15" s="220"/>
      <c r="G15" s="220"/>
      <c r="H15" s="220"/>
      <c r="I15" s="220"/>
      <c r="J15" s="220"/>
      <c r="K15" s="220"/>
      <c r="L15" s="220"/>
      <c r="M15" s="220"/>
      <c r="N15" s="220"/>
      <c r="O15" s="220"/>
      <c r="P15" s="221"/>
      <c r="Q15" s="220"/>
      <c r="R15" s="220"/>
      <c r="S15" s="220"/>
      <c r="T15" s="220"/>
      <c r="U15" s="210" t="s">
        <v>22</v>
      </c>
      <c r="V15" s="210">
        <f t="shared" ref="V15:BC15" si="5">ROUND(AVERAGE((IF(V13=-8888,0,V13)),(IF(V14=-8888,0,V14))),3)</f>
        <v>0.78800000000000003</v>
      </c>
      <c r="W15" s="210">
        <f t="shared" si="5"/>
        <v>0.106</v>
      </c>
      <c r="X15" s="210">
        <f t="shared" si="5"/>
        <v>0.13900000000000001</v>
      </c>
      <c r="Y15" s="210">
        <f t="shared" si="5"/>
        <v>3.7999999999999999E-2</v>
      </c>
      <c r="Z15" s="210">
        <f t="shared" si="5"/>
        <v>1.9E-2</v>
      </c>
      <c r="AA15" s="210">
        <f t="shared" si="5"/>
        <v>4.2000000000000003E-2</v>
      </c>
      <c r="AB15" s="210">
        <f t="shared" si="5"/>
        <v>5.1999999999999998E-2</v>
      </c>
      <c r="AC15" s="210">
        <f t="shared" si="5"/>
        <v>4.3999999999999997E-2</v>
      </c>
      <c r="AD15" s="210">
        <f t="shared" si="5"/>
        <v>5.0000000000000001E-3</v>
      </c>
      <c r="AE15" s="210">
        <f t="shared" si="5"/>
        <v>0.16900000000000001</v>
      </c>
      <c r="AF15" s="210">
        <f t="shared" si="5"/>
        <v>3.5000000000000003E-2</v>
      </c>
      <c r="AG15" s="210">
        <f t="shared" si="5"/>
        <v>1.2E-2</v>
      </c>
      <c r="AH15" s="210">
        <f t="shared" si="5"/>
        <v>0.77700000000000002</v>
      </c>
      <c r="AI15" s="210">
        <f t="shared" si="5"/>
        <v>0</v>
      </c>
      <c r="AJ15" s="210">
        <f t="shared" si="5"/>
        <v>1.0999999999999999E-2</v>
      </c>
      <c r="AK15" s="210">
        <f t="shared" si="5"/>
        <v>0.106</v>
      </c>
      <c r="AL15" s="210">
        <f t="shared" si="5"/>
        <v>0</v>
      </c>
      <c r="AM15" s="210">
        <f t="shared" si="5"/>
        <v>9.0999999999999998E-2</v>
      </c>
      <c r="AN15" s="210">
        <f t="shared" si="5"/>
        <v>4.9000000000000002E-2</v>
      </c>
      <c r="AO15" s="210">
        <f t="shared" si="5"/>
        <v>3.0000000000000001E-3</v>
      </c>
      <c r="AP15" s="210">
        <f t="shared" si="5"/>
        <v>1.2999999999999999E-2</v>
      </c>
      <c r="AQ15" s="210">
        <f t="shared" si="5"/>
        <v>1.4E-2</v>
      </c>
      <c r="AR15" s="210">
        <f t="shared" si="5"/>
        <v>8.9999999999999993E-3</v>
      </c>
      <c r="AS15" s="210">
        <f t="shared" si="5"/>
        <v>1.2999999999999999E-2</v>
      </c>
      <c r="AT15" s="210">
        <f t="shared" si="5"/>
        <v>3.5000000000000003E-2</v>
      </c>
      <c r="AU15" s="210">
        <f t="shared" si="5"/>
        <v>0</v>
      </c>
      <c r="AV15" s="210">
        <f t="shared" si="5"/>
        <v>1.0329999999999999</v>
      </c>
      <c r="AW15" s="210">
        <f t="shared" si="5"/>
        <v>0.15</v>
      </c>
      <c r="AX15" s="210">
        <f t="shared" si="5"/>
        <v>0.26500000000000001</v>
      </c>
      <c r="AY15" s="210">
        <f t="shared" si="5"/>
        <v>1.298</v>
      </c>
      <c r="AZ15" s="210">
        <f t="shared" si="5"/>
        <v>0.41499999999999998</v>
      </c>
      <c r="BA15" s="210">
        <f t="shared" si="5"/>
        <v>0.65900000000000003</v>
      </c>
      <c r="BB15" s="210">
        <f t="shared" si="5"/>
        <v>1.4470000000000001</v>
      </c>
      <c r="BC15" s="210">
        <f t="shared" si="5"/>
        <v>0.434</v>
      </c>
      <c r="BD15" s="209">
        <f>ROUND(AVERAGE((IF(BD13=-8888,0,BD13)),(IF(BD14=-8888,0,BD14))),2)</f>
        <v>0.84</v>
      </c>
      <c r="BE15" s="209">
        <f t="shared" ref="BE15:BJ15" si="6">ROUND(AVERAGE((IF(BE13=-8888,0,BE13)),(IF(BE14=-8888,0,BE14))),2)</f>
        <v>0.64</v>
      </c>
      <c r="BF15" s="209">
        <f t="shared" si="6"/>
        <v>0.37</v>
      </c>
      <c r="BG15" s="209">
        <f t="shared" si="6"/>
        <v>2.4900000000000002</v>
      </c>
      <c r="BH15" s="209">
        <f t="shared" si="6"/>
        <v>0.1</v>
      </c>
      <c r="BI15" s="209">
        <f t="shared" si="6"/>
        <v>0.9</v>
      </c>
      <c r="BJ15" s="209">
        <f t="shared" si="6"/>
        <v>0.55000000000000004</v>
      </c>
      <c r="BK15" s="211"/>
      <c r="BL15" s="211"/>
    </row>
    <row r="16" spans="1:66">
      <c r="A16" s="214"/>
      <c r="B16" s="222"/>
      <c r="C16" s="222"/>
      <c r="D16" s="222"/>
      <c r="E16" s="222"/>
      <c r="F16" s="222"/>
      <c r="G16" s="222"/>
      <c r="H16" s="222"/>
      <c r="I16" s="222"/>
      <c r="J16" s="222"/>
      <c r="K16" s="222"/>
      <c r="L16" s="222"/>
      <c r="M16" s="222"/>
      <c r="N16" s="222"/>
      <c r="O16" s="222"/>
      <c r="P16" s="223"/>
      <c r="Q16" s="222"/>
      <c r="R16" s="222"/>
      <c r="S16" s="222"/>
      <c r="T16" s="222"/>
      <c r="U16" s="214" t="s">
        <v>1015</v>
      </c>
      <c r="V16" s="214">
        <f t="shared" ref="V16:BC16" si="7">ROUND(STDEV((IF(V13=-8888,0,V13)),(IF(V14=-8888,0,V14))),3)</f>
        <v>1E-3</v>
      </c>
      <c r="W16" s="214">
        <f t="shared" si="7"/>
        <v>2E-3</v>
      </c>
      <c r="X16" s="214">
        <f t="shared" si="7"/>
        <v>0</v>
      </c>
      <c r="Y16" s="214">
        <f t="shared" si="7"/>
        <v>0</v>
      </c>
      <c r="Z16" s="214">
        <f t="shared" si="7"/>
        <v>1E-3</v>
      </c>
      <c r="AA16" s="214">
        <f t="shared" si="7"/>
        <v>3.0000000000000001E-3</v>
      </c>
      <c r="AB16" s="214">
        <f t="shared" si="7"/>
        <v>2E-3</v>
      </c>
      <c r="AC16" s="214">
        <f t="shared" si="7"/>
        <v>1E-3</v>
      </c>
      <c r="AD16" s="214">
        <f t="shared" si="7"/>
        <v>0</v>
      </c>
      <c r="AE16" s="214">
        <f t="shared" si="7"/>
        <v>7.0000000000000001E-3</v>
      </c>
      <c r="AF16" s="214">
        <f t="shared" si="7"/>
        <v>1E-3</v>
      </c>
      <c r="AG16" s="214">
        <f t="shared" si="7"/>
        <v>1E-3</v>
      </c>
      <c r="AH16" s="214">
        <f t="shared" si="7"/>
        <v>1E-3</v>
      </c>
      <c r="AI16" s="214">
        <f t="shared" si="7"/>
        <v>0</v>
      </c>
      <c r="AJ16" s="214">
        <f t="shared" si="7"/>
        <v>0</v>
      </c>
      <c r="AK16" s="214">
        <f t="shared" si="7"/>
        <v>2E-3</v>
      </c>
      <c r="AL16" s="214">
        <f t="shared" si="7"/>
        <v>0</v>
      </c>
      <c r="AM16" s="214">
        <f t="shared" si="7"/>
        <v>1E-3</v>
      </c>
      <c r="AN16" s="214">
        <f t="shared" si="7"/>
        <v>1E-3</v>
      </c>
      <c r="AO16" s="214">
        <f t="shared" si="7"/>
        <v>0</v>
      </c>
      <c r="AP16" s="214">
        <f t="shared" si="7"/>
        <v>1E-3</v>
      </c>
      <c r="AQ16" s="214">
        <f t="shared" si="7"/>
        <v>1E-3</v>
      </c>
      <c r="AR16" s="214">
        <f t="shared" si="7"/>
        <v>0</v>
      </c>
      <c r="AS16" s="214">
        <f t="shared" si="7"/>
        <v>1E-3</v>
      </c>
      <c r="AT16" s="214">
        <f t="shared" si="7"/>
        <v>1E-3</v>
      </c>
      <c r="AU16" s="214">
        <f t="shared" si="7"/>
        <v>0</v>
      </c>
      <c r="AV16" s="214">
        <f t="shared" si="7"/>
        <v>1E-3</v>
      </c>
      <c r="AW16" s="214">
        <f t="shared" si="7"/>
        <v>2E-3</v>
      </c>
      <c r="AX16" s="214">
        <f t="shared" si="7"/>
        <v>4.0000000000000001E-3</v>
      </c>
      <c r="AY16" s="214">
        <f t="shared" si="7"/>
        <v>5.0000000000000001E-3</v>
      </c>
      <c r="AZ16" s="214">
        <f t="shared" si="7"/>
        <v>2E-3</v>
      </c>
      <c r="BA16" s="214">
        <f t="shared" si="7"/>
        <v>4.0000000000000001E-3</v>
      </c>
      <c r="BB16" s="214">
        <f t="shared" si="7"/>
        <v>3.0000000000000001E-3</v>
      </c>
      <c r="BC16" s="214">
        <f t="shared" si="7"/>
        <v>4.0000000000000001E-3</v>
      </c>
      <c r="BD16" s="213">
        <f>ROUND(STDEV((IF(BD13=-8888,0,BD13)),(IF(BD14=-8888,0,BD14))),2)</f>
        <v>0.01</v>
      </c>
      <c r="BE16" s="213">
        <f t="shared" ref="BE16:BJ16" si="8">ROUND(STDEV((IF(BE13=-8888,0,BE13)),(IF(BE14=-8888,0,BE14))),2)</f>
        <v>0.01</v>
      </c>
      <c r="BF16" s="213">
        <f t="shared" si="8"/>
        <v>0.01</v>
      </c>
      <c r="BG16" s="213">
        <f t="shared" si="8"/>
        <v>0.01</v>
      </c>
      <c r="BH16" s="213">
        <f t="shared" si="8"/>
        <v>0</v>
      </c>
      <c r="BI16" s="213">
        <f t="shared" si="8"/>
        <v>0</v>
      </c>
      <c r="BJ16" s="213">
        <f t="shared" si="8"/>
        <v>0.01</v>
      </c>
      <c r="BK16" s="215"/>
      <c r="BL16" s="215"/>
    </row>
    <row r="17" spans="1:64">
      <c r="A17" s="216"/>
      <c r="B17" s="224"/>
      <c r="C17" s="224"/>
      <c r="D17" s="224"/>
      <c r="E17" s="224"/>
      <c r="F17" s="224"/>
      <c r="G17" s="224"/>
      <c r="H17" s="224"/>
      <c r="I17" s="224"/>
      <c r="J17" s="224"/>
      <c r="K17" s="224"/>
      <c r="L17" s="224"/>
      <c r="M17" s="224"/>
      <c r="N17" s="224"/>
      <c r="O17" s="224"/>
      <c r="P17" s="225"/>
      <c r="Q17" s="224"/>
      <c r="R17" s="224"/>
      <c r="S17" s="224"/>
      <c r="T17" s="224"/>
      <c r="U17" s="217" t="s">
        <v>148</v>
      </c>
      <c r="V17" s="218">
        <f>IF((V15=0),"N/A",ROUND((V16/V15),4))</f>
        <v>1.2999999999999999E-3</v>
      </c>
      <c r="W17" s="218">
        <f t="shared" ref="W17:BJ17" si="9">IF((W15=0),"N/A",ROUND((W16/W15),4))</f>
        <v>1.89E-2</v>
      </c>
      <c r="X17" s="218">
        <f t="shared" si="9"/>
        <v>0</v>
      </c>
      <c r="Y17" s="218">
        <f t="shared" si="9"/>
        <v>0</v>
      </c>
      <c r="Z17" s="218">
        <f t="shared" si="9"/>
        <v>5.2600000000000001E-2</v>
      </c>
      <c r="AA17" s="218">
        <f t="shared" si="9"/>
        <v>7.1400000000000005E-2</v>
      </c>
      <c r="AB17" s="218">
        <f t="shared" si="9"/>
        <v>3.85E-2</v>
      </c>
      <c r="AC17" s="218">
        <f t="shared" si="9"/>
        <v>2.2700000000000001E-2</v>
      </c>
      <c r="AD17" s="218">
        <f t="shared" si="9"/>
        <v>0</v>
      </c>
      <c r="AE17" s="218">
        <f t="shared" si="9"/>
        <v>4.1399999999999999E-2</v>
      </c>
      <c r="AF17" s="218">
        <f t="shared" si="9"/>
        <v>2.86E-2</v>
      </c>
      <c r="AG17" s="218">
        <f t="shared" si="9"/>
        <v>8.3299999999999999E-2</v>
      </c>
      <c r="AH17" s="218">
        <f t="shared" si="9"/>
        <v>1.2999999999999999E-3</v>
      </c>
      <c r="AI17" s="218" t="str">
        <f t="shared" si="9"/>
        <v>N/A</v>
      </c>
      <c r="AJ17" s="218">
        <f t="shared" si="9"/>
        <v>0</v>
      </c>
      <c r="AK17" s="218">
        <f t="shared" si="9"/>
        <v>1.89E-2</v>
      </c>
      <c r="AL17" s="218" t="str">
        <f t="shared" si="9"/>
        <v>N/A</v>
      </c>
      <c r="AM17" s="218">
        <f t="shared" si="9"/>
        <v>1.0999999999999999E-2</v>
      </c>
      <c r="AN17" s="218">
        <f t="shared" si="9"/>
        <v>2.0400000000000001E-2</v>
      </c>
      <c r="AO17" s="218">
        <f t="shared" si="9"/>
        <v>0</v>
      </c>
      <c r="AP17" s="218">
        <f t="shared" si="9"/>
        <v>7.6899999999999996E-2</v>
      </c>
      <c r="AQ17" s="218">
        <f t="shared" si="9"/>
        <v>7.1400000000000005E-2</v>
      </c>
      <c r="AR17" s="218">
        <f t="shared" si="9"/>
        <v>0</v>
      </c>
      <c r="AS17" s="218">
        <f t="shared" si="9"/>
        <v>7.6899999999999996E-2</v>
      </c>
      <c r="AT17" s="218">
        <f t="shared" si="9"/>
        <v>2.86E-2</v>
      </c>
      <c r="AU17" s="218" t="str">
        <f t="shared" si="9"/>
        <v>N/A</v>
      </c>
      <c r="AV17" s="218">
        <f t="shared" si="9"/>
        <v>1E-3</v>
      </c>
      <c r="AW17" s="218">
        <f t="shared" si="9"/>
        <v>1.3299999999999999E-2</v>
      </c>
      <c r="AX17" s="218">
        <f t="shared" si="9"/>
        <v>1.5100000000000001E-2</v>
      </c>
      <c r="AY17" s="218">
        <f t="shared" si="9"/>
        <v>3.8999999999999998E-3</v>
      </c>
      <c r="AZ17" s="218">
        <f t="shared" si="9"/>
        <v>4.7999999999999996E-3</v>
      </c>
      <c r="BA17" s="218">
        <f t="shared" si="9"/>
        <v>6.1000000000000004E-3</v>
      </c>
      <c r="BB17" s="218">
        <f t="shared" si="9"/>
        <v>2.0999999999999999E-3</v>
      </c>
      <c r="BC17" s="218">
        <f t="shared" si="9"/>
        <v>9.1999999999999998E-3</v>
      </c>
      <c r="BD17" s="218">
        <f t="shared" si="9"/>
        <v>1.1900000000000001E-2</v>
      </c>
      <c r="BE17" s="218">
        <f t="shared" si="9"/>
        <v>1.5599999999999999E-2</v>
      </c>
      <c r="BF17" s="218">
        <f t="shared" si="9"/>
        <v>2.7E-2</v>
      </c>
      <c r="BG17" s="218">
        <f t="shared" si="9"/>
        <v>4.0000000000000001E-3</v>
      </c>
      <c r="BH17" s="218">
        <f t="shared" si="9"/>
        <v>0</v>
      </c>
      <c r="BI17" s="218">
        <f t="shared" si="9"/>
        <v>0</v>
      </c>
      <c r="BJ17" s="218">
        <f t="shared" si="9"/>
        <v>1.8200000000000001E-2</v>
      </c>
      <c r="BK17" s="219">
        <f>V17</f>
        <v>1.2999999999999999E-3</v>
      </c>
      <c r="BL17" s="219">
        <f>AVERAGE(V17:AG17)</f>
        <v>2.9891666666666664E-2</v>
      </c>
    </row>
    <row r="18" spans="1:64">
      <c r="A18" s="243" t="s">
        <v>298</v>
      </c>
      <c r="B18" s="165" t="s">
        <v>511</v>
      </c>
      <c r="C18" s="165" t="s">
        <v>570</v>
      </c>
      <c r="D18" s="165" t="s">
        <v>513</v>
      </c>
      <c r="E18" s="165" t="s">
        <v>173</v>
      </c>
      <c r="F18" s="165">
        <v>548</v>
      </c>
      <c r="G18" s="165">
        <v>17</v>
      </c>
      <c r="H18" s="165">
        <v>13</v>
      </c>
      <c r="I18" s="165">
        <v>3.1</v>
      </c>
      <c r="J18" s="165">
        <v>41</v>
      </c>
      <c r="K18" s="166" t="s">
        <v>514</v>
      </c>
      <c r="L18" s="165">
        <v>2024</v>
      </c>
      <c r="M18" s="165" t="s">
        <v>171</v>
      </c>
      <c r="N18" s="165">
        <v>13</v>
      </c>
      <c r="O18" s="181">
        <v>44</v>
      </c>
      <c r="P18" s="165" t="s">
        <v>571</v>
      </c>
      <c r="Q18" s="165">
        <v>-70.887</v>
      </c>
      <c r="R18" s="165">
        <v>41.027999999999999</v>
      </c>
      <c r="S18" s="165" t="s">
        <v>172</v>
      </c>
      <c r="T18" s="165">
        <v>25</v>
      </c>
      <c r="U18" s="166" t="s">
        <v>516</v>
      </c>
      <c r="V18" s="244">
        <v>1.8560000000000001</v>
      </c>
      <c r="W18" s="244">
        <v>5.5E-2</v>
      </c>
      <c r="X18" s="244">
        <v>0.27400000000000002</v>
      </c>
      <c r="Y18" s="244">
        <v>6.0999999999999999E-2</v>
      </c>
      <c r="Z18" s="244">
        <v>8.0000000000000002E-3</v>
      </c>
      <c r="AA18" s="244">
        <v>7.0000000000000001E-3</v>
      </c>
      <c r="AB18" s="244">
        <v>0.02</v>
      </c>
      <c r="AC18" s="244">
        <v>0.12</v>
      </c>
      <c r="AD18" s="244">
        <v>3.7999999999999999E-2</v>
      </c>
      <c r="AE18" s="244">
        <v>0.72599999999999998</v>
      </c>
      <c r="AF18" s="244">
        <v>6.4000000000000001E-2</v>
      </c>
      <c r="AG18" s="244">
        <v>1.0999999999999999E-2</v>
      </c>
      <c r="AH18" s="244">
        <v>1.7390000000000001</v>
      </c>
      <c r="AI18" s="244">
        <v>-8888</v>
      </c>
      <c r="AJ18" s="244">
        <v>0.11700000000000001</v>
      </c>
      <c r="AK18" s="244">
        <v>5.5E-2</v>
      </c>
      <c r="AL18" s="244">
        <v>-8888</v>
      </c>
      <c r="AM18" s="244">
        <v>0.24399999999999999</v>
      </c>
      <c r="AN18" s="244">
        <v>0.03</v>
      </c>
      <c r="AO18" s="244">
        <v>4.0000000000000001E-3</v>
      </c>
      <c r="AP18" s="244">
        <v>8.0000000000000002E-3</v>
      </c>
      <c r="AQ18" s="244">
        <v>0.01</v>
      </c>
      <c r="AR18" s="244">
        <v>1.7999999999999999E-2</v>
      </c>
      <c r="AS18" s="244">
        <v>5.2999999999999999E-2</v>
      </c>
      <c r="AT18" s="244">
        <v>1.7999999999999999E-2</v>
      </c>
      <c r="AU18" s="244">
        <v>-8888</v>
      </c>
      <c r="AV18" s="244">
        <v>2.1850000000000001</v>
      </c>
      <c r="AW18" s="244">
        <v>0.25</v>
      </c>
      <c r="AX18" s="244">
        <v>0.80499999999999994</v>
      </c>
      <c r="AY18" s="244">
        <v>2.99</v>
      </c>
      <c r="AZ18" s="244">
        <v>1.0549999999999999</v>
      </c>
      <c r="BA18" s="244">
        <v>1.3839999999999999</v>
      </c>
      <c r="BB18" s="244">
        <v>3.24</v>
      </c>
      <c r="BC18" s="244">
        <v>0.8909999999999999</v>
      </c>
      <c r="BD18" s="245">
        <v>0.75</v>
      </c>
      <c r="BE18" s="245">
        <v>0.76</v>
      </c>
      <c r="BF18" s="245">
        <v>0.24</v>
      </c>
      <c r="BG18" s="245">
        <v>2.0699999999999998</v>
      </c>
      <c r="BH18" s="245">
        <v>0.08</v>
      </c>
      <c r="BI18" s="245">
        <v>0.92</v>
      </c>
      <c r="BJ18" s="245">
        <v>0.56999999999999995</v>
      </c>
      <c r="BK18" s="242"/>
      <c r="BL18" s="242"/>
    </row>
    <row r="19" spans="1:64">
      <c r="A19" s="243" t="s">
        <v>299</v>
      </c>
      <c r="B19" s="165" t="s">
        <v>511</v>
      </c>
      <c r="C19" s="165" t="s">
        <v>572</v>
      </c>
      <c r="D19" s="165" t="s">
        <v>513</v>
      </c>
      <c r="E19" s="165" t="s">
        <v>173</v>
      </c>
      <c r="F19" s="165">
        <v>548</v>
      </c>
      <c r="G19" s="165">
        <v>17</v>
      </c>
      <c r="H19" s="165">
        <v>13</v>
      </c>
      <c r="I19" s="165">
        <v>3.1</v>
      </c>
      <c r="J19" s="165">
        <v>41</v>
      </c>
      <c r="K19" s="166" t="s">
        <v>514</v>
      </c>
      <c r="L19" s="165">
        <v>2024</v>
      </c>
      <c r="M19" s="165" t="s">
        <v>171</v>
      </c>
      <c r="N19" s="165">
        <v>13</v>
      </c>
      <c r="O19" s="181">
        <v>44</v>
      </c>
      <c r="P19" s="165" t="s">
        <v>571</v>
      </c>
      <c r="Q19" s="165">
        <v>-70.887</v>
      </c>
      <c r="R19" s="165">
        <v>41.027999999999999</v>
      </c>
      <c r="S19" s="165" t="s">
        <v>172</v>
      </c>
      <c r="T19" s="165">
        <v>25</v>
      </c>
      <c r="U19" s="166" t="s">
        <v>516</v>
      </c>
      <c r="V19" s="244">
        <v>1.8109999999999999</v>
      </c>
      <c r="W19" s="244">
        <v>5.5E-2</v>
      </c>
      <c r="X19" s="244">
        <v>0.27</v>
      </c>
      <c r="Y19" s="244">
        <v>6.0999999999999999E-2</v>
      </c>
      <c r="Z19" s="244">
        <v>0.01</v>
      </c>
      <c r="AA19" s="244">
        <v>7.0000000000000001E-3</v>
      </c>
      <c r="AB19" s="244">
        <v>2.1999999999999999E-2</v>
      </c>
      <c r="AC19" s="244">
        <v>0.11899999999999999</v>
      </c>
      <c r="AD19" s="244">
        <v>3.4000000000000002E-2</v>
      </c>
      <c r="AE19" s="244">
        <v>0.70299999999999996</v>
      </c>
      <c r="AF19" s="244">
        <v>7.0999999999999994E-2</v>
      </c>
      <c r="AG19" s="244">
        <v>1.0999999999999999E-2</v>
      </c>
      <c r="AH19" s="244">
        <v>1.6839999999999999</v>
      </c>
      <c r="AI19" s="244">
        <v>-8888</v>
      </c>
      <c r="AJ19" s="244">
        <v>0.127</v>
      </c>
      <c r="AK19" s="244">
        <v>5.5E-2</v>
      </c>
      <c r="AL19" s="244">
        <v>-8888</v>
      </c>
      <c r="AM19" s="244">
        <v>0.24099999999999999</v>
      </c>
      <c r="AN19" s="244">
        <v>2.9000000000000001E-2</v>
      </c>
      <c r="AO19" s="244">
        <v>4.0000000000000001E-3</v>
      </c>
      <c r="AP19" s="244">
        <v>8.0000000000000002E-3</v>
      </c>
      <c r="AQ19" s="244">
        <v>1.0999999999999999E-2</v>
      </c>
      <c r="AR19" s="244">
        <v>1.7999999999999999E-2</v>
      </c>
      <c r="AS19" s="244">
        <v>6.4000000000000001E-2</v>
      </c>
      <c r="AT19" s="244">
        <v>1.7999999999999999E-2</v>
      </c>
      <c r="AU19" s="244">
        <v>-8888</v>
      </c>
      <c r="AV19" s="244">
        <v>2.1360000000000001</v>
      </c>
      <c r="AW19" s="244">
        <v>0.247</v>
      </c>
      <c r="AX19" s="244">
        <v>0.79099999999999993</v>
      </c>
      <c r="AY19" s="244">
        <v>2.927</v>
      </c>
      <c r="AZ19" s="244">
        <v>1.0379999999999998</v>
      </c>
      <c r="BA19" s="244">
        <v>1.3629999999999998</v>
      </c>
      <c r="BB19" s="244">
        <v>3.1739999999999995</v>
      </c>
      <c r="BC19" s="244">
        <v>0.87899999999999989</v>
      </c>
      <c r="BD19" s="245">
        <v>0.75</v>
      </c>
      <c r="BE19" s="245">
        <v>0.76</v>
      </c>
      <c r="BF19" s="245">
        <v>0.24</v>
      </c>
      <c r="BG19" s="245">
        <v>2.06</v>
      </c>
      <c r="BH19" s="245">
        <v>0.08</v>
      </c>
      <c r="BI19" s="245">
        <v>0.92</v>
      </c>
      <c r="BJ19" s="245">
        <v>0.56999999999999995</v>
      </c>
      <c r="BK19" s="242"/>
      <c r="BL19" s="242"/>
    </row>
    <row r="20" spans="1:64">
      <c r="A20" s="210"/>
      <c r="B20" s="220"/>
      <c r="C20" s="220"/>
      <c r="D20" s="220"/>
      <c r="E20" s="220"/>
      <c r="F20" s="220"/>
      <c r="G20" s="220"/>
      <c r="H20" s="220"/>
      <c r="I20" s="220"/>
      <c r="J20" s="220"/>
      <c r="K20" s="220"/>
      <c r="L20" s="220"/>
      <c r="M20" s="220"/>
      <c r="N20" s="220"/>
      <c r="O20" s="220"/>
      <c r="P20" s="221"/>
      <c r="Q20" s="220"/>
      <c r="R20" s="220"/>
      <c r="S20" s="220"/>
      <c r="T20" s="220"/>
      <c r="U20" s="210" t="s">
        <v>22</v>
      </c>
      <c r="V20" s="210">
        <f t="shared" ref="V20:BC20" si="10">ROUND(AVERAGE((IF(V18=-8888,0,V18)),(IF(V19=-8888,0,V19))),3)</f>
        <v>1.8340000000000001</v>
      </c>
      <c r="W20" s="210">
        <f t="shared" si="10"/>
        <v>5.5E-2</v>
      </c>
      <c r="X20" s="210">
        <f t="shared" si="10"/>
        <v>0.27200000000000002</v>
      </c>
      <c r="Y20" s="210">
        <f t="shared" si="10"/>
        <v>6.0999999999999999E-2</v>
      </c>
      <c r="Z20" s="210">
        <f t="shared" si="10"/>
        <v>8.9999999999999993E-3</v>
      </c>
      <c r="AA20" s="210">
        <f t="shared" si="10"/>
        <v>7.0000000000000001E-3</v>
      </c>
      <c r="AB20" s="210">
        <f t="shared" si="10"/>
        <v>2.1000000000000001E-2</v>
      </c>
      <c r="AC20" s="210">
        <f t="shared" si="10"/>
        <v>0.12</v>
      </c>
      <c r="AD20" s="210">
        <f t="shared" si="10"/>
        <v>3.5999999999999997E-2</v>
      </c>
      <c r="AE20" s="210">
        <f t="shared" si="10"/>
        <v>0.71499999999999997</v>
      </c>
      <c r="AF20" s="210">
        <f t="shared" si="10"/>
        <v>6.8000000000000005E-2</v>
      </c>
      <c r="AG20" s="210">
        <f t="shared" si="10"/>
        <v>1.0999999999999999E-2</v>
      </c>
      <c r="AH20" s="210">
        <f t="shared" si="10"/>
        <v>1.712</v>
      </c>
      <c r="AI20" s="210">
        <f t="shared" si="10"/>
        <v>0</v>
      </c>
      <c r="AJ20" s="210">
        <f t="shared" si="10"/>
        <v>0.122</v>
      </c>
      <c r="AK20" s="210">
        <f t="shared" si="10"/>
        <v>5.5E-2</v>
      </c>
      <c r="AL20" s="210">
        <f t="shared" si="10"/>
        <v>0</v>
      </c>
      <c r="AM20" s="210">
        <f t="shared" si="10"/>
        <v>0.24299999999999999</v>
      </c>
      <c r="AN20" s="210">
        <f t="shared" si="10"/>
        <v>0.03</v>
      </c>
      <c r="AO20" s="210">
        <f t="shared" si="10"/>
        <v>4.0000000000000001E-3</v>
      </c>
      <c r="AP20" s="210">
        <f t="shared" si="10"/>
        <v>8.0000000000000002E-3</v>
      </c>
      <c r="AQ20" s="210">
        <f t="shared" si="10"/>
        <v>1.0999999999999999E-2</v>
      </c>
      <c r="AR20" s="210">
        <f t="shared" si="10"/>
        <v>1.7999999999999999E-2</v>
      </c>
      <c r="AS20" s="210">
        <f t="shared" si="10"/>
        <v>5.8999999999999997E-2</v>
      </c>
      <c r="AT20" s="210">
        <f t="shared" si="10"/>
        <v>1.7999999999999999E-2</v>
      </c>
      <c r="AU20" s="210">
        <f t="shared" si="10"/>
        <v>0</v>
      </c>
      <c r="AV20" s="210">
        <f t="shared" si="10"/>
        <v>2.161</v>
      </c>
      <c r="AW20" s="210">
        <f t="shared" si="10"/>
        <v>0.249</v>
      </c>
      <c r="AX20" s="210">
        <f t="shared" si="10"/>
        <v>0.79800000000000004</v>
      </c>
      <c r="AY20" s="210">
        <f t="shared" si="10"/>
        <v>2.9590000000000001</v>
      </c>
      <c r="AZ20" s="210">
        <f t="shared" si="10"/>
        <v>1.0469999999999999</v>
      </c>
      <c r="BA20" s="210">
        <f t="shared" si="10"/>
        <v>1.3740000000000001</v>
      </c>
      <c r="BB20" s="210">
        <f t="shared" si="10"/>
        <v>3.2069999999999999</v>
      </c>
      <c r="BC20" s="210">
        <f t="shared" si="10"/>
        <v>0.88500000000000001</v>
      </c>
      <c r="BD20" s="209">
        <f>ROUND(AVERAGE((IF(BD18=-8888,0,BD18)),(IF(BD19=-8888,0,BD19))),2)</f>
        <v>0.75</v>
      </c>
      <c r="BE20" s="209">
        <f t="shared" ref="BE20:BJ20" si="11">ROUND(AVERAGE((IF(BE18=-8888,0,BE18)),(IF(BE19=-8888,0,BE19))),2)</f>
        <v>0.76</v>
      </c>
      <c r="BF20" s="209">
        <f t="shared" si="11"/>
        <v>0.24</v>
      </c>
      <c r="BG20" s="209">
        <f t="shared" si="11"/>
        <v>2.0699999999999998</v>
      </c>
      <c r="BH20" s="209">
        <f t="shared" si="11"/>
        <v>0.08</v>
      </c>
      <c r="BI20" s="209">
        <f t="shared" si="11"/>
        <v>0.92</v>
      </c>
      <c r="BJ20" s="209">
        <f t="shared" si="11"/>
        <v>0.56999999999999995</v>
      </c>
      <c r="BK20" s="211"/>
      <c r="BL20" s="211"/>
    </row>
    <row r="21" spans="1:64">
      <c r="A21" s="214"/>
      <c r="B21" s="222"/>
      <c r="C21" s="222"/>
      <c r="D21" s="222"/>
      <c r="E21" s="222"/>
      <c r="F21" s="222"/>
      <c r="G21" s="222"/>
      <c r="H21" s="222"/>
      <c r="I21" s="222"/>
      <c r="J21" s="222"/>
      <c r="K21" s="222"/>
      <c r="L21" s="222"/>
      <c r="M21" s="222"/>
      <c r="N21" s="222"/>
      <c r="O21" s="222"/>
      <c r="P21" s="223"/>
      <c r="Q21" s="222"/>
      <c r="R21" s="222"/>
      <c r="S21" s="222"/>
      <c r="T21" s="222"/>
      <c r="U21" s="214" t="s">
        <v>1015</v>
      </c>
      <c r="V21" s="214">
        <f t="shared" ref="V21:BC21" si="12">ROUND(STDEV((IF(V18=-8888,0,V18)),(IF(V19=-8888,0,V19))),3)</f>
        <v>3.2000000000000001E-2</v>
      </c>
      <c r="W21" s="214">
        <f t="shared" si="12"/>
        <v>0</v>
      </c>
      <c r="X21" s="214">
        <f t="shared" si="12"/>
        <v>3.0000000000000001E-3</v>
      </c>
      <c r="Y21" s="214">
        <f t="shared" si="12"/>
        <v>0</v>
      </c>
      <c r="Z21" s="214">
        <f t="shared" si="12"/>
        <v>1E-3</v>
      </c>
      <c r="AA21" s="214">
        <f t="shared" si="12"/>
        <v>0</v>
      </c>
      <c r="AB21" s="214">
        <f t="shared" si="12"/>
        <v>1E-3</v>
      </c>
      <c r="AC21" s="214">
        <f t="shared" si="12"/>
        <v>1E-3</v>
      </c>
      <c r="AD21" s="214">
        <f t="shared" si="12"/>
        <v>3.0000000000000001E-3</v>
      </c>
      <c r="AE21" s="214">
        <f t="shared" si="12"/>
        <v>1.6E-2</v>
      </c>
      <c r="AF21" s="214">
        <f t="shared" si="12"/>
        <v>5.0000000000000001E-3</v>
      </c>
      <c r="AG21" s="214">
        <f t="shared" si="12"/>
        <v>0</v>
      </c>
      <c r="AH21" s="214">
        <f t="shared" si="12"/>
        <v>3.9E-2</v>
      </c>
      <c r="AI21" s="214">
        <f t="shared" si="12"/>
        <v>0</v>
      </c>
      <c r="AJ21" s="214">
        <f t="shared" si="12"/>
        <v>7.0000000000000001E-3</v>
      </c>
      <c r="AK21" s="214">
        <f t="shared" si="12"/>
        <v>0</v>
      </c>
      <c r="AL21" s="214">
        <f t="shared" si="12"/>
        <v>0</v>
      </c>
      <c r="AM21" s="214">
        <f t="shared" si="12"/>
        <v>2E-3</v>
      </c>
      <c r="AN21" s="214">
        <f t="shared" si="12"/>
        <v>1E-3</v>
      </c>
      <c r="AO21" s="214">
        <f t="shared" si="12"/>
        <v>0</v>
      </c>
      <c r="AP21" s="214">
        <f t="shared" si="12"/>
        <v>0</v>
      </c>
      <c r="AQ21" s="214">
        <f t="shared" si="12"/>
        <v>1E-3</v>
      </c>
      <c r="AR21" s="214">
        <f t="shared" si="12"/>
        <v>0</v>
      </c>
      <c r="AS21" s="214">
        <f t="shared" si="12"/>
        <v>8.0000000000000002E-3</v>
      </c>
      <c r="AT21" s="214">
        <f t="shared" si="12"/>
        <v>0</v>
      </c>
      <c r="AU21" s="214">
        <f t="shared" si="12"/>
        <v>0</v>
      </c>
      <c r="AV21" s="214">
        <f t="shared" si="12"/>
        <v>3.5000000000000003E-2</v>
      </c>
      <c r="AW21" s="214">
        <f t="shared" si="12"/>
        <v>2E-3</v>
      </c>
      <c r="AX21" s="214">
        <f t="shared" si="12"/>
        <v>0.01</v>
      </c>
      <c r="AY21" s="214">
        <f t="shared" si="12"/>
        <v>4.4999999999999998E-2</v>
      </c>
      <c r="AZ21" s="214">
        <f t="shared" si="12"/>
        <v>1.2E-2</v>
      </c>
      <c r="BA21" s="214">
        <f t="shared" si="12"/>
        <v>1.4999999999999999E-2</v>
      </c>
      <c r="BB21" s="214">
        <f t="shared" si="12"/>
        <v>4.7E-2</v>
      </c>
      <c r="BC21" s="214">
        <f t="shared" si="12"/>
        <v>8.0000000000000002E-3</v>
      </c>
      <c r="BD21" s="213">
        <f>ROUND(STDEV((IF(BD18=-8888,0,BD18)),(IF(BD19=-8888,0,BD19))),2)</f>
        <v>0</v>
      </c>
      <c r="BE21" s="213">
        <f t="shared" ref="BE21:BJ21" si="13">ROUND(STDEV((IF(BE18=-8888,0,BE18)),(IF(BE19=-8888,0,BE19))),2)</f>
        <v>0</v>
      </c>
      <c r="BF21" s="213">
        <f t="shared" si="13"/>
        <v>0</v>
      </c>
      <c r="BG21" s="213">
        <f t="shared" si="13"/>
        <v>0.01</v>
      </c>
      <c r="BH21" s="213">
        <f t="shared" si="13"/>
        <v>0</v>
      </c>
      <c r="BI21" s="213">
        <f t="shared" si="13"/>
        <v>0</v>
      </c>
      <c r="BJ21" s="213">
        <f t="shared" si="13"/>
        <v>0</v>
      </c>
      <c r="BK21" s="215"/>
      <c r="BL21" s="215"/>
    </row>
    <row r="22" spans="1:64">
      <c r="A22" s="216"/>
      <c r="B22" s="224"/>
      <c r="C22" s="224"/>
      <c r="D22" s="224"/>
      <c r="E22" s="224"/>
      <c r="F22" s="224"/>
      <c r="G22" s="224"/>
      <c r="H22" s="224"/>
      <c r="I22" s="224"/>
      <c r="J22" s="224"/>
      <c r="K22" s="224"/>
      <c r="L22" s="224"/>
      <c r="M22" s="224"/>
      <c r="N22" s="224"/>
      <c r="O22" s="224"/>
      <c r="P22" s="225"/>
      <c r="Q22" s="224"/>
      <c r="R22" s="224"/>
      <c r="S22" s="224"/>
      <c r="T22" s="224"/>
      <c r="U22" s="217" t="s">
        <v>148</v>
      </c>
      <c r="V22" s="218">
        <f>IF((V20=0),"N/A",ROUND((V21/V20),4))</f>
        <v>1.7399999999999999E-2</v>
      </c>
      <c r="W22" s="218">
        <f t="shared" ref="W22:BJ22" si="14">IF((W20=0),"N/A",ROUND((W21/W20),4))</f>
        <v>0</v>
      </c>
      <c r="X22" s="218">
        <f t="shared" si="14"/>
        <v>1.0999999999999999E-2</v>
      </c>
      <c r="Y22" s="218">
        <f t="shared" si="14"/>
        <v>0</v>
      </c>
      <c r="Z22" s="218">
        <f t="shared" si="14"/>
        <v>0.1111</v>
      </c>
      <c r="AA22" s="218">
        <f t="shared" si="14"/>
        <v>0</v>
      </c>
      <c r="AB22" s="218">
        <f t="shared" si="14"/>
        <v>4.7600000000000003E-2</v>
      </c>
      <c r="AC22" s="218">
        <f t="shared" si="14"/>
        <v>8.3000000000000001E-3</v>
      </c>
      <c r="AD22" s="218">
        <f t="shared" si="14"/>
        <v>8.3299999999999999E-2</v>
      </c>
      <c r="AE22" s="218">
        <f t="shared" si="14"/>
        <v>2.24E-2</v>
      </c>
      <c r="AF22" s="218">
        <f t="shared" si="14"/>
        <v>7.3499999999999996E-2</v>
      </c>
      <c r="AG22" s="218">
        <f t="shared" si="14"/>
        <v>0</v>
      </c>
      <c r="AH22" s="218">
        <f t="shared" si="14"/>
        <v>2.2800000000000001E-2</v>
      </c>
      <c r="AI22" s="218" t="str">
        <f t="shared" si="14"/>
        <v>N/A</v>
      </c>
      <c r="AJ22" s="218">
        <f t="shared" si="14"/>
        <v>5.74E-2</v>
      </c>
      <c r="AK22" s="218">
        <f t="shared" si="14"/>
        <v>0</v>
      </c>
      <c r="AL22" s="218" t="str">
        <f t="shared" si="14"/>
        <v>N/A</v>
      </c>
      <c r="AM22" s="218">
        <f t="shared" si="14"/>
        <v>8.2000000000000007E-3</v>
      </c>
      <c r="AN22" s="218">
        <f t="shared" si="14"/>
        <v>3.3300000000000003E-2</v>
      </c>
      <c r="AO22" s="218">
        <f t="shared" si="14"/>
        <v>0</v>
      </c>
      <c r="AP22" s="218">
        <f t="shared" si="14"/>
        <v>0</v>
      </c>
      <c r="AQ22" s="218">
        <f t="shared" si="14"/>
        <v>9.0899999999999995E-2</v>
      </c>
      <c r="AR22" s="218">
        <f t="shared" si="14"/>
        <v>0</v>
      </c>
      <c r="AS22" s="218">
        <f t="shared" si="14"/>
        <v>0.1356</v>
      </c>
      <c r="AT22" s="218">
        <f t="shared" si="14"/>
        <v>0</v>
      </c>
      <c r="AU22" s="218" t="str">
        <f t="shared" si="14"/>
        <v>N/A</v>
      </c>
      <c r="AV22" s="218">
        <f t="shared" si="14"/>
        <v>1.6199999999999999E-2</v>
      </c>
      <c r="AW22" s="218">
        <f t="shared" si="14"/>
        <v>8.0000000000000002E-3</v>
      </c>
      <c r="AX22" s="218">
        <f t="shared" si="14"/>
        <v>1.2500000000000001E-2</v>
      </c>
      <c r="AY22" s="218">
        <f t="shared" si="14"/>
        <v>1.52E-2</v>
      </c>
      <c r="AZ22" s="218">
        <f t="shared" si="14"/>
        <v>1.15E-2</v>
      </c>
      <c r="BA22" s="218">
        <f t="shared" si="14"/>
        <v>1.09E-2</v>
      </c>
      <c r="BB22" s="218">
        <f t="shared" si="14"/>
        <v>1.47E-2</v>
      </c>
      <c r="BC22" s="218">
        <f t="shared" si="14"/>
        <v>8.9999999999999993E-3</v>
      </c>
      <c r="BD22" s="218">
        <f t="shared" si="14"/>
        <v>0</v>
      </c>
      <c r="BE22" s="218">
        <f t="shared" si="14"/>
        <v>0</v>
      </c>
      <c r="BF22" s="218">
        <f t="shared" si="14"/>
        <v>0</v>
      </c>
      <c r="BG22" s="218">
        <f t="shared" si="14"/>
        <v>4.7999999999999996E-3</v>
      </c>
      <c r="BH22" s="218">
        <f t="shared" si="14"/>
        <v>0</v>
      </c>
      <c r="BI22" s="218">
        <f t="shared" si="14"/>
        <v>0</v>
      </c>
      <c r="BJ22" s="218">
        <f t="shared" si="14"/>
        <v>0</v>
      </c>
      <c r="BK22" s="219">
        <f>V22</f>
        <v>1.7399999999999999E-2</v>
      </c>
      <c r="BL22" s="219">
        <f>AVERAGE(V22:AG22)</f>
        <v>3.1216666666666667E-2</v>
      </c>
    </row>
    <row r="23" spans="1:64">
      <c r="A23" s="243" t="s">
        <v>315</v>
      </c>
      <c r="B23" s="169" t="s">
        <v>511</v>
      </c>
      <c r="C23" s="169" t="s">
        <v>599</v>
      </c>
      <c r="D23" s="169" t="s">
        <v>578</v>
      </c>
      <c r="E23" s="169" t="s">
        <v>173</v>
      </c>
      <c r="F23" s="169">
        <v>548</v>
      </c>
      <c r="G23" s="169">
        <v>6</v>
      </c>
      <c r="H23" s="169">
        <v>18</v>
      </c>
      <c r="I23" s="165">
        <v>3.4</v>
      </c>
      <c r="J23" s="165">
        <v>76</v>
      </c>
      <c r="K23" s="166" t="s">
        <v>514</v>
      </c>
      <c r="L23" s="165">
        <v>2024</v>
      </c>
      <c r="M23" s="165" t="s">
        <v>579</v>
      </c>
      <c r="N23" s="165">
        <v>4</v>
      </c>
      <c r="O23" s="181">
        <v>125</v>
      </c>
      <c r="P23" s="165" t="s">
        <v>600</v>
      </c>
      <c r="Q23" s="165">
        <v>-70.884</v>
      </c>
      <c r="R23" s="165">
        <v>40.515999999999998</v>
      </c>
      <c r="S23" s="165" t="s">
        <v>172</v>
      </c>
      <c r="T23" s="165">
        <v>25</v>
      </c>
      <c r="U23" s="166" t="s">
        <v>516</v>
      </c>
      <c r="V23" s="244">
        <v>1.224</v>
      </c>
      <c r="W23" s="244">
        <v>8.6999999999999994E-2</v>
      </c>
      <c r="X23" s="244">
        <v>0.215</v>
      </c>
      <c r="Y23" s="244">
        <v>5.7000000000000002E-2</v>
      </c>
      <c r="Z23" s="244">
        <v>1.4999999999999999E-2</v>
      </c>
      <c r="AA23" s="244">
        <v>5.5E-2</v>
      </c>
      <c r="AB23" s="244">
        <v>0.10100000000000001</v>
      </c>
      <c r="AC23" s="244">
        <v>0.16300000000000001</v>
      </c>
      <c r="AD23" s="244">
        <v>3.2000000000000001E-2</v>
      </c>
      <c r="AE23" s="244">
        <v>0.29299999999999998</v>
      </c>
      <c r="AF23" s="244">
        <v>0.11600000000000001</v>
      </c>
      <c r="AG23" s="244">
        <v>1.4999999999999999E-2</v>
      </c>
      <c r="AH23" s="244">
        <v>1.075</v>
      </c>
      <c r="AI23" s="244">
        <v>-8888</v>
      </c>
      <c r="AJ23" s="244">
        <v>0.14899999999999999</v>
      </c>
      <c r="AK23" s="244">
        <v>8.6999999999999994E-2</v>
      </c>
      <c r="AL23" s="244">
        <v>-8888</v>
      </c>
      <c r="AM23" s="244">
        <v>0.16300000000000001</v>
      </c>
      <c r="AN23" s="244">
        <v>5.1999999999999998E-2</v>
      </c>
      <c r="AO23" s="244">
        <v>8.0000000000000002E-3</v>
      </c>
      <c r="AP23" s="244">
        <v>0.01</v>
      </c>
      <c r="AQ23" s="244">
        <v>1.2999999999999999E-2</v>
      </c>
      <c r="AR23" s="244">
        <v>7.0000000000000001E-3</v>
      </c>
      <c r="AS23" s="244">
        <v>1.2E-2</v>
      </c>
      <c r="AT23" s="244">
        <v>1.4999999999999999E-2</v>
      </c>
      <c r="AU23" s="244">
        <v>-8888</v>
      </c>
      <c r="AV23" s="244">
        <v>1.526</v>
      </c>
      <c r="AW23" s="244">
        <v>0.36800000000000005</v>
      </c>
      <c r="AX23" s="244">
        <v>0.47899999999999998</v>
      </c>
      <c r="AY23" s="244">
        <v>2.0049999999999999</v>
      </c>
      <c r="AZ23" s="244">
        <v>0.84699999999999998</v>
      </c>
      <c r="BA23" s="244">
        <v>1.149</v>
      </c>
      <c r="BB23" s="244">
        <v>2.3730000000000002</v>
      </c>
      <c r="BC23" s="244">
        <v>0.68199999999999994</v>
      </c>
      <c r="BD23" s="245">
        <v>0.94</v>
      </c>
      <c r="BE23" s="245">
        <v>0.56999999999999995</v>
      </c>
      <c r="BF23" s="245">
        <v>0.43</v>
      </c>
      <c r="BG23" s="245">
        <v>1.8</v>
      </c>
      <c r="BH23" s="245">
        <v>0.16</v>
      </c>
      <c r="BI23" s="245">
        <v>0.84</v>
      </c>
      <c r="BJ23" s="245">
        <v>0.52</v>
      </c>
      <c r="BK23" s="242"/>
      <c r="BL23" s="242"/>
    </row>
    <row r="24" spans="1:64">
      <c r="A24" s="243" t="s">
        <v>316</v>
      </c>
      <c r="B24" s="169" t="s">
        <v>511</v>
      </c>
      <c r="C24" s="169" t="s">
        <v>601</v>
      </c>
      <c r="D24" s="169" t="s">
        <v>578</v>
      </c>
      <c r="E24" s="169" t="s">
        <v>173</v>
      </c>
      <c r="F24" s="169">
        <v>548</v>
      </c>
      <c r="G24" s="169">
        <v>6</v>
      </c>
      <c r="H24" s="169">
        <v>18</v>
      </c>
      <c r="I24" s="165">
        <v>3.4</v>
      </c>
      <c r="J24" s="165">
        <v>76</v>
      </c>
      <c r="K24" s="166" t="s">
        <v>514</v>
      </c>
      <c r="L24" s="165">
        <v>2024</v>
      </c>
      <c r="M24" s="165" t="s">
        <v>579</v>
      </c>
      <c r="N24" s="165">
        <v>4</v>
      </c>
      <c r="O24" s="181">
        <v>125</v>
      </c>
      <c r="P24" s="165" t="s">
        <v>600</v>
      </c>
      <c r="Q24" s="165">
        <v>-70.884</v>
      </c>
      <c r="R24" s="165">
        <v>40.515999999999998</v>
      </c>
      <c r="S24" s="165" t="s">
        <v>172</v>
      </c>
      <c r="T24" s="165">
        <v>25</v>
      </c>
      <c r="U24" s="166" t="s">
        <v>516</v>
      </c>
      <c r="V24" s="244">
        <v>1.3199999999999998</v>
      </c>
      <c r="W24" s="244">
        <v>9.4E-2</v>
      </c>
      <c r="X24" s="244">
        <v>0.22799999999999998</v>
      </c>
      <c r="Y24" s="244">
        <v>6.0999999999999999E-2</v>
      </c>
      <c r="Z24" s="244">
        <v>1.7000000000000001E-2</v>
      </c>
      <c r="AA24" s="244">
        <v>5.8000000000000003E-2</v>
      </c>
      <c r="AB24" s="244">
        <v>0.106</v>
      </c>
      <c r="AC24" s="244">
        <v>0.17</v>
      </c>
      <c r="AD24" s="244">
        <v>3.3000000000000002E-2</v>
      </c>
      <c r="AE24" s="244">
        <v>0.30599999999999999</v>
      </c>
      <c r="AF24" s="244">
        <v>0.125</v>
      </c>
      <c r="AG24" s="244">
        <v>1.4999999999999999E-2</v>
      </c>
      <c r="AH24" s="244">
        <v>1.202</v>
      </c>
      <c r="AI24" s="244">
        <v>-8888</v>
      </c>
      <c r="AJ24" s="244">
        <v>0.11799999999999999</v>
      </c>
      <c r="AK24" s="244">
        <v>9.4E-2</v>
      </c>
      <c r="AL24" s="244">
        <v>-8888</v>
      </c>
      <c r="AM24" s="244">
        <v>0.17299999999999999</v>
      </c>
      <c r="AN24" s="244">
        <v>5.5E-2</v>
      </c>
      <c r="AO24" s="244">
        <v>8.0000000000000002E-3</v>
      </c>
      <c r="AP24" s="244">
        <v>1.0999999999999999E-2</v>
      </c>
      <c r="AQ24" s="244">
        <v>1.4E-2</v>
      </c>
      <c r="AR24" s="244">
        <v>8.0000000000000002E-3</v>
      </c>
      <c r="AS24" s="244">
        <v>1.0999999999999999E-2</v>
      </c>
      <c r="AT24" s="244">
        <v>1.6E-2</v>
      </c>
      <c r="AU24" s="244">
        <v>-8888</v>
      </c>
      <c r="AV24" s="244">
        <v>1.6419999999999999</v>
      </c>
      <c r="AW24" s="244">
        <v>0.38500000000000006</v>
      </c>
      <c r="AX24" s="244">
        <v>0.50600000000000001</v>
      </c>
      <c r="AY24" s="244">
        <v>2.1479999999999997</v>
      </c>
      <c r="AZ24" s="244">
        <v>0.89100000000000001</v>
      </c>
      <c r="BA24" s="244">
        <v>1.2130000000000001</v>
      </c>
      <c r="BB24" s="244">
        <v>2.5329999999999999</v>
      </c>
      <c r="BC24" s="244">
        <v>0.72100000000000009</v>
      </c>
      <c r="BD24" s="245">
        <v>0.92</v>
      </c>
      <c r="BE24" s="245">
        <v>0.56999999999999995</v>
      </c>
      <c r="BF24" s="245">
        <v>0.43</v>
      </c>
      <c r="BG24" s="245">
        <v>1.84</v>
      </c>
      <c r="BH24" s="245">
        <v>0.15</v>
      </c>
      <c r="BI24" s="245">
        <v>0.85</v>
      </c>
      <c r="BJ24" s="245">
        <v>0.52</v>
      </c>
      <c r="BK24" s="242"/>
      <c r="BL24" s="242"/>
    </row>
    <row r="25" spans="1:64">
      <c r="A25" s="210"/>
      <c r="B25" s="220"/>
      <c r="C25" s="220"/>
      <c r="D25" s="220"/>
      <c r="E25" s="220"/>
      <c r="F25" s="220"/>
      <c r="G25" s="220"/>
      <c r="H25" s="220"/>
      <c r="I25" s="220"/>
      <c r="J25" s="220"/>
      <c r="K25" s="220"/>
      <c r="L25" s="220"/>
      <c r="M25" s="220"/>
      <c r="N25" s="220"/>
      <c r="O25" s="220"/>
      <c r="P25" s="221"/>
      <c r="Q25" s="220"/>
      <c r="R25" s="220"/>
      <c r="S25" s="220"/>
      <c r="T25" s="220"/>
      <c r="U25" s="210" t="s">
        <v>22</v>
      </c>
      <c r="V25" s="210">
        <f t="shared" ref="V25:BC25" si="15">ROUND(AVERAGE((IF(V23=-8888,0,V23)),(IF(V24=-8888,0,V24))),3)</f>
        <v>1.272</v>
      </c>
      <c r="W25" s="210">
        <f t="shared" si="15"/>
        <v>9.0999999999999998E-2</v>
      </c>
      <c r="X25" s="210">
        <f t="shared" si="15"/>
        <v>0.222</v>
      </c>
      <c r="Y25" s="210">
        <f t="shared" si="15"/>
        <v>5.8999999999999997E-2</v>
      </c>
      <c r="Z25" s="210">
        <f t="shared" si="15"/>
        <v>1.6E-2</v>
      </c>
      <c r="AA25" s="210">
        <f t="shared" si="15"/>
        <v>5.7000000000000002E-2</v>
      </c>
      <c r="AB25" s="210">
        <f t="shared" si="15"/>
        <v>0.104</v>
      </c>
      <c r="AC25" s="210">
        <f t="shared" si="15"/>
        <v>0.16700000000000001</v>
      </c>
      <c r="AD25" s="210">
        <f t="shared" si="15"/>
        <v>3.3000000000000002E-2</v>
      </c>
      <c r="AE25" s="210">
        <f t="shared" si="15"/>
        <v>0.3</v>
      </c>
      <c r="AF25" s="210">
        <f t="shared" si="15"/>
        <v>0.121</v>
      </c>
      <c r="AG25" s="210">
        <f t="shared" si="15"/>
        <v>1.4999999999999999E-2</v>
      </c>
      <c r="AH25" s="210">
        <f t="shared" si="15"/>
        <v>1.139</v>
      </c>
      <c r="AI25" s="210">
        <f t="shared" si="15"/>
        <v>0</v>
      </c>
      <c r="AJ25" s="210">
        <f t="shared" si="15"/>
        <v>0.13400000000000001</v>
      </c>
      <c r="AK25" s="210">
        <f t="shared" si="15"/>
        <v>9.0999999999999998E-2</v>
      </c>
      <c r="AL25" s="210">
        <f t="shared" si="15"/>
        <v>0</v>
      </c>
      <c r="AM25" s="210">
        <f t="shared" si="15"/>
        <v>0.16800000000000001</v>
      </c>
      <c r="AN25" s="210">
        <f t="shared" si="15"/>
        <v>5.3999999999999999E-2</v>
      </c>
      <c r="AO25" s="210">
        <f t="shared" si="15"/>
        <v>8.0000000000000002E-3</v>
      </c>
      <c r="AP25" s="210">
        <f t="shared" si="15"/>
        <v>1.0999999999999999E-2</v>
      </c>
      <c r="AQ25" s="210">
        <f t="shared" si="15"/>
        <v>1.4E-2</v>
      </c>
      <c r="AR25" s="210">
        <f t="shared" si="15"/>
        <v>8.0000000000000002E-3</v>
      </c>
      <c r="AS25" s="210">
        <f t="shared" si="15"/>
        <v>1.2E-2</v>
      </c>
      <c r="AT25" s="210">
        <f t="shared" si="15"/>
        <v>1.6E-2</v>
      </c>
      <c r="AU25" s="210">
        <f t="shared" si="15"/>
        <v>0</v>
      </c>
      <c r="AV25" s="210">
        <f t="shared" si="15"/>
        <v>1.5840000000000001</v>
      </c>
      <c r="AW25" s="210">
        <f t="shared" si="15"/>
        <v>0.377</v>
      </c>
      <c r="AX25" s="210">
        <f t="shared" si="15"/>
        <v>0.49299999999999999</v>
      </c>
      <c r="AY25" s="210">
        <f t="shared" si="15"/>
        <v>2.077</v>
      </c>
      <c r="AZ25" s="210">
        <f t="shared" si="15"/>
        <v>0.86899999999999999</v>
      </c>
      <c r="BA25" s="210">
        <f t="shared" si="15"/>
        <v>1.181</v>
      </c>
      <c r="BB25" s="210">
        <f t="shared" si="15"/>
        <v>2.4529999999999998</v>
      </c>
      <c r="BC25" s="210">
        <f t="shared" si="15"/>
        <v>0.70199999999999996</v>
      </c>
      <c r="BD25" s="209">
        <f>ROUND(AVERAGE((IF(BD23=-8888,0,BD23)),(IF(BD24=-8888,0,BD24))),2)</f>
        <v>0.93</v>
      </c>
      <c r="BE25" s="209">
        <f t="shared" ref="BE25:BJ25" si="16">ROUND(AVERAGE((IF(BE23=-8888,0,BE23)),(IF(BE24=-8888,0,BE24))),2)</f>
        <v>0.56999999999999995</v>
      </c>
      <c r="BF25" s="209">
        <f t="shared" si="16"/>
        <v>0.43</v>
      </c>
      <c r="BG25" s="209">
        <f t="shared" si="16"/>
        <v>1.82</v>
      </c>
      <c r="BH25" s="209">
        <f t="shared" si="16"/>
        <v>0.16</v>
      </c>
      <c r="BI25" s="209">
        <f t="shared" si="16"/>
        <v>0.85</v>
      </c>
      <c r="BJ25" s="209">
        <f t="shared" si="16"/>
        <v>0.52</v>
      </c>
      <c r="BK25" s="211"/>
      <c r="BL25" s="211"/>
    </row>
    <row r="26" spans="1:64">
      <c r="A26" s="214"/>
      <c r="B26" s="222"/>
      <c r="C26" s="222"/>
      <c r="D26" s="222"/>
      <c r="E26" s="222"/>
      <c r="F26" s="222"/>
      <c r="G26" s="222"/>
      <c r="H26" s="222"/>
      <c r="I26" s="222"/>
      <c r="J26" s="222"/>
      <c r="K26" s="222"/>
      <c r="L26" s="222"/>
      <c r="M26" s="222"/>
      <c r="N26" s="222"/>
      <c r="O26" s="222"/>
      <c r="P26" s="223"/>
      <c r="Q26" s="222"/>
      <c r="R26" s="222"/>
      <c r="S26" s="222"/>
      <c r="T26" s="222"/>
      <c r="U26" s="214" t="s">
        <v>1015</v>
      </c>
      <c r="V26" s="214">
        <f t="shared" ref="V26:BC26" si="17">ROUND(STDEV((IF(V23=-8888,0,V23)),(IF(V24=-8888,0,V24))),3)</f>
        <v>6.8000000000000005E-2</v>
      </c>
      <c r="W26" s="214">
        <f t="shared" si="17"/>
        <v>5.0000000000000001E-3</v>
      </c>
      <c r="X26" s="214">
        <f t="shared" si="17"/>
        <v>8.9999999999999993E-3</v>
      </c>
      <c r="Y26" s="214">
        <f t="shared" si="17"/>
        <v>3.0000000000000001E-3</v>
      </c>
      <c r="Z26" s="214">
        <f t="shared" si="17"/>
        <v>1E-3</v>
      </c>
      <c r="AA26" s="214">
        <f t="shared" si="17"/>
        <v>2E-3</v>
      </c>
      <c r="AB26" s="214">
        <f t="shared" si="17"/>
        <v>4.0000000000000001E-3</v>
      </c>
      <c r="AC26" s="214">
        <f t="shared" si="17"/>
        <v>5.0000000000000001E-3</v>
      </c>
      <c r="AD26" s="214">
        <f t="shared" si="17"/>
        <v>1E-3</v>
      </c>
      <c r="AE26" s="214">
        <f t="shared" si="17"/>
        <v>8.9999999999999993E-3</v>
      </c>
      <c r="AF26" s="214">
        <f t="shared" si="17"/>
        <v>6.0000000000000001E-3</v>
      </c>
      <c r="AG26" s="214">
        <f t="shared" si="17"/>
        <v>0</v>
      </c>
      <c r="AH26" s="214">
        <f t="shared" si="17"/>
        <v>0.09</v>
      </c>
      <c r="AI26" s="214">
        <f t="shared" si="17"/>
        <v>0</v>
      </c>
      <c r="AJ26" s="214">
        <f t="shared" si="17"/>
        <v>2.1999999999999999E-2</v>
      </c>
      <c r="AK26" s="214">
        <f t="shared" si="17"/>
        <v>5.0000000000000001E-3</v>
      </c>
      <c r="AL26" s="214">
        <f t="shared" si="17"/>
        <v>0</v>
      </c>
      <c r="AM26" s="214">
        <f t="shared" si="17"/>
        <v>7.0000000000000001E-3</v>
      </c>
      <c r="AN26" s="214">
        <f t="shared" si="17"/>
        <v>2E-3</v>
      </c>
      <c r="AO26" s="214">
        <f t="shared" si="17"/>
        <v>0</v>
      </c>
      <c r="AP26" s="214">
        <f t="shared" si="17"/>
        <v>1E-3</v>
      </c>
      <c r="AQ26" s="214">
        <f t="shared" si="17"/>
        <v>1E-3</v>
      </c>
      <c r="AR26" s="214">
        <f t="shared" si="17"/>
        <v>1E-3</v>
      </c>
      <c r="AS26" s="214">
        <f t="shared" si="17"/>
        <v>1E-3</v>
      </c>
      <c r="AT26" s="214">
        <f t="shared" si="17"/>
        <v>1E-3</v>
      </c>
      <c r="AU26" s="214">
        <f t="shared" si="17"/>
        <v>0</v>
      </c>
      <c r="AV26" s="214">
        <f t="shared" si="17"/>
        <v>8.2000000000000003E-2</v>
      </c>
      <c r="AW26" s="214">
        <f t="shared" si="17"/>
        <v>1.2E-2</v>
      </c>
      <c r="AX26" s="214">
        <f t="shared" si="17"/>
        <v>1.9E-2</v>
      </c>
      <c r="AY26" s="214">
        <f t="shared" si="17"/>
        <v>0.10100000000000001</v>
      </c>
      <c r="AZ26" s="214">
        <f t="shared" si="17"/>
        <v>3.1E-2</v>
      </c>
      <c r="BA26" s="214">
        <f t="shared" si="17"/>
        <v>4.4999999999999998E-2</v>
      </c>
      <c r="BB26" s="214">
        <f t="shared" si="17"/>
        <v>0.113</v>
      </c>
      <c r="BC26" s="214">
        <f t="shared" si="17"/>
        <v>2.8000000000000001E-2</v>
      </c>
      <c r="BD26" s="213">
        <f>ROUND(STDEV((IF(BD23=-8888,0,BD23)),(IF(BD24=-8888,0,BD24))),2)</f>
        <v>0.01</v>
      </c>
      <c r="BE26" s="213">
        <f t="shared" ref="BE26:BJ26" si="18">ROUND(STDEV((IF(BE23=-8888,0,BE23)),(IF(BE24=-8888,0,BE24))),2)</f>
        <v>0</v>
      </c>
      <c r="BF26" s="213">
        <f t="shared" si="18"/>
        <v>0</v>
      </c>
      <c r="BG26" s="213">
        <f t="shared" si="18"/>
        <v>0.03</v>
      </c>
      <c r="BH26" s="213">
        <f t="shared" si="18"/>
        <v>0.01</v>
      </c>
      <c r="BI26" s="213">
        <f t="shared" si="18"/>
        <v>0.01</v>
      </c>
      <c r="BJ26" s="213">
        <f t="shared" si="18"/>
        <v>0</v>
      </c>
      <c r="BK26" s="215"/>
      <c r="BL26" s="215"/>
    </row>
    <row r="27" spans="1:64">
      <c r="A27" s="216"/>
      <c r="B27" s="224"/>
      <c r="C27" s="224"/>
      <c r="D27" s="224"/>
      <c r="E27" s="224"/>
      <c r="F27" s="224"/>
      <c r="G27" s="224"/>
      <c r="H27" s="224"/>
      <c r="I27" s="224"/>
      <c r="J27" s="224"/>
      <c r="K27" s="224"/>
      <c r="L27" s="224"/>
      <c r="M27" s="224"/>
      <c r="N27" s="224"/>
      <c r="O27" s="224"/>
      <c r="P27" s="225"/>
      <c r="Q27" s="224"/>
      <c r="R27" s="224"/>
      <c r="S27" s="224"/>
      <c r="T27" s="224"/>
      <c r="U27" s="217" t="s">
        <v>148</v>
      </c>
      <c r="V27" s="218">
        <f>IF((V25=0),"N/A",ROUND((V26/V25),4))</f>
        <v>5.3499999999999999E-2</v>
      </c>
      <c r="W27" s="218">
        <f t="shared" ref="W27:BJ27" si="19">IF((W25=0),"N/A",ROUND((W26/W25),4))</f>
        <v>5.4899999999999997E-2</v>
      </c>
      <c r="X27" s="218">
        <f t="shared" si="19"/>
        <v>4.0500000000000001E-2</v>
      </c>
      <c r="Y27" s="218">
        <f t="shared" si="19"/>
        <v>5.0799999999999998E-2</v>
      </c>
      <c r="Z27" s="218">
        <f t="shared" si="19"/>
        <v>6.25E-2</v>
      </c>
      <c r="AA27" s="218">
        <f t="shared" si="19"/>
        <v>3.5099999999999999E-2</v>
      </c>
      <c r="AB27" s="218">
        <f t="shared" si="19"/>
        <v>3.85E-2</v>
      </c>
      <c r="AC27" s="218">
        <f t="shared" si="19"/>
        <v>2.9899999999999999E-2</v>
      </c>
      <c r="AD27" s="218">
        <f t="shared" si="19"/>
        <v>3.0300000000000001E-2</v>
      </c>
      <c r="AE27" s="218">
        <f t="shared" si="19"/>
        <v>0.03</v>
      </c>
      <c r="AF27" s="218">
        <f t="shared" si="19"/>
        <v>4.9599999999999998E-2</v>
      </c>
      <c r="AG27" s="218">
        <f t="shared" si="19"/>
        <v>0</v>
      </c>
      <c r="AH27" s="218">
        <f t="shared" si="19"/>
        <v>7.9000000000000001E-2</v>
      </c>
      <c r="AI27" s="218" t="str">
        <f t="shared" si="19"/>
        <v>N/A</v>
      </c>
      <c r="AJ27" s="218">
        <f t="shared" si="19"/>
        <v>0.16420000000000001</v>
      </c>
      <c r="AK27" s="218">
        <f t="shared" si="19"/>
        <v>5.4899999999999997E-2</v>
      </c>
      <c r="AL27" s="218" t="str">
        <f t="shared" si="19"/>
        <v>N/A</v>
      </c>
      <c r="AM27" s="218">
        <f t="shared" si="19"/>
        <v>4.1700000000000001E-2</v>
      </c>
      <c r="AN27" s="218">
        <f t="shared" si="19"/>
        <v>3.6999999999999998E-2</v>
      </c>
      <c r="AO27" s="218">
        <f t="shared" si="19"/>
        <v>0</v>
      </c>
      <c r="AP27" s="218">
        <f t="shared" si="19"/>
        <v>9.0899999999999995E-2</v>
      </c>
      <c r="AQ27" s="218">
        <f t="shared" si="19"/>
        <v>7.1400000000000005E-2</v>
      </c>
      <c r="AR27" s="218">
        <f t="shared" si="19"/>
        <v>0.125</v>
      </c>
      <c r="AS27" s="218">
        <f t="shared" si="19"/>
        <v>8.3299999999999999E-2</v>
      </c>
      <c r="AT27" s="218">
        <f t="shared" si="19"/>
        <v>6.25E-2</v>
      </c>
      <c r="AU27" s="218" t="str">
        <f t="shared" si="19"/>
        <v>N/A</v>
      </c>
      <c r="AV27" s="218">
        <f t="shared" si="19"/>
        <v>5.1799999999999999E-2</v>
      </c>
      <c r="AW27" s="218">
        <f t="shared" si="19"/>
        <v>3.1800000000000002E-2</v>
      </c>
      <c r="AX27" s="218">
        <f t="shared" si="19"/>
        <v>3.85E-2</v>
      </c>
      <c r="AY27" s="218">
        <f t="shared" si="19"/>
        <v>4.8599999999999997E-2</v>
      </c>
      <c r="AZ27" s="218">
        <f t="shared" si="19"/>
        <v>3.5700000000000003E-2</v>
      </c>
      <c r="BA27" s="218">
        <f t="shared" si="19"/>
        <v>3.8100000000000002E-2</v>
      </c>
      <c r="BB27" s="218">
        <f t="shared" si="19"/>
        <v>4.6100000000000002E-2</v>
      </c>
      <c r="BC27" s="218">
        <f t="shared" si="19"/>
        <v>3.9899999999999998E-2</v>
      </c>
      <c r="BD27" s="218">
        <f t="shared" si="19"/>
        <v>1.0800000000000001E-2</v>
      </c>
      <c r="BE27" s="218">
        <f t="shared" si="19"/>
        <v>0</v>
      </c>
      <c r="BF27" s="218">
        <f t="shared" si="19"/>
        <v>0</v>
      </c>
      <c r="BG27" s="218">
        <f t="shared" si="19"/>
        <v>1.6500000000000001E-2</v>
      </c>
      <c r="BH27" s="218">
        <f t="shared" si="19"/>
        <v>6.25E-2</v>
      </c>
      <c r="BI27" s="218">
        <f t="shared" si="19"/>
        <v>1.18E-2</v>
      </c>
      <c r="BJ27" s="218">
        <f t="shared" si="19"/>
        <v>0</v>
      </c>
      <c r="BK27" s="219">
        <f>V27</f>
        <v>5.3499999999999999E-2</v>
      </c>
      <c r="BL27" s="219">
        <f>AVERAGE(V27:AG27)</f>
        <v>3.9633333333333326E-2</v>
      </c>
    </row>
    <row r="28" spans="1:64">
      <c r="A28" s="243" t="s">
        <v>321</v>
      </c>
      <c r="B28" s="169" t="s">
        <v>511</v>
      </c>
      <c r="C28" s="169" t="s">
        <v>610</v>
      </c>
      <c r="D28" s="169" t="s">
        <v>578</v>
      </c>
      <c r="E28" s="169" t="s">
        <v>173</v>
      </c>
      <c r="F28" s="169">
        <v>539</v>
      </c>
      <c r="G28" s="169">
        <v>10</v>
      </c>
      <c r="H28" s="169">
        <v>10</v>
      </c>
      <c r="I28" s="165">
        <v>38.4</v>
      </c>
      <c r="J28" s="165">
        <v>1601</v>
      </c>
      <c r="K28" s="166" t="s">
        <v>514</v>
      </c>
      <c r="L28" s="165">
        <v>2024</v>
      </c>
      <c r="M28" s="165" t="s">
        <v>579</v>
      </c>
      <c r="N28" s="165">
        <v>5</v>
      </c>
      <c r="O28" s="181">
        <v>126</v>
      </c>
      <c r="P28" s="165" t="s">
        <v>611</v>
      </c>
      <c r="Q28" s="165">
        <v>-70.888000000000005</v>
      </c>
      <c r="R28" s="165">
        <v>39.776000000000003</v>
      </c>
      <c r="S28" s="165" t="s">
        <v>172</v>
      </c>
      <c r="T28" s="165">
        <v>25</v>
      </c>
      <c r="U28" s="166" t="s">
        <v>516</v>
      </c>
      <c r="V28" s="244">
        <v>2.222</v>
      </c>
      <c r="W28" s="244">
        <v>4.9000000000000002E-2</v>
      </c>
      <c r="X28" s="244">
        <v>0.94299999999999995</v>
      </c>
      <c r="Y28" s="244">
        <v>7.2999999999999995E-2</v>
      </c>
      <c r="Z28" s="244">
        <v>-8888</v>
      </c>
      <c r="AA28" s="244">
        <v>5.8000000000000003E-2</v>
      </c>
      <c r="AB28" s="244">
        <v>8.0000000000000002E-3</v>
      </c>
      <c r="AC28" s="244">
        <v>7.9000000000000001E-2</v>
      </c>
      <c r="AD28" s="244">
        <v>3.0000000000000001E-3</v>
      </c>
      <c r="AE28" s="244">
        <v>0.97199999999999998</v>
      </c>
      <c r="AF28" s="244">
        <v>0.42799999999999999</v>
      </c>
      <c r="AG28" s="244">
        <v>4.0000000000000001E-3</v>
      </c>
      <c r="AH28" s="244">
        <v>1.677</v>
      </c>
      <c r="AI28" s="244">
        <v>-8888</v>
      </c>
      <c r="AJ28" s="244">
        <v>0.54500000000000004</v>
      </c>
      <c r="AK28" s="244">
        <v>4.9000000000000002E-2</v>
      </c>
      <c r="AL28" s="244">
        <v>-8888</v>
      </c>
      <c r="AM28" s="244">
        <v>0.47399999999999998</v>
      </c>
      <c r="AN28" s="244">
        <v>0.46899999999999997</v>
      </c>
      <c r="AO28" s="244">
        <v>-8888</v>
      </c>
      <c r="AP28" s="244">
        <v>6.0000000000000001E-3</v>
      </c>
      <c r="AQ28" s="244">
        <v>5.0000000000000001E-3</v>
      </c>
      <c r="AR28" s="244">
        <v>2.1000000000000001E-2</v>
      </c>
      <c r="AS28" s="244">
        <v>0.121</v>
      </c>
      <c r="AT28" s="244">
        <v>-8888</v>
      </c>
      <c r="AU28" s="244">
        <v>-8888</v>
      </c>
      <c r="AV28" s="244">
        <v>3.214</v>
      </c>
      <c r="AW28" s="244">
        <v>0.16699999999999998</v>
      </c>
      <c r="AX28" s="244">
        <v>1.458</v>
      </c>
      <c r="AY28" s="244">
        <v>4.6719999999999997</v>
      </c>
      <c r="AZ28" s="244">
        <v>1.625</v>
      </c>
      <c r="BA28" s="244">
        <v>2.617</v>
      </c>
      <c r="BB28" s="244">
        <v>4.8390000000000004</v>
      </c>
      <c r="BC28" s="244">
        <v>1.5189999999999999</v>
      </c>
      <c r="BD28" s="245">
        <v>1.18</v>
      </c>
      <c r="BE28" s="245">
        <v>0.9</v>
      </c>
      <c r="BF28" s="245">
        <v>0.1</v>
      </c>
      <c r="BG28" s="245">
        <v>1.98</v>
      </c>
      <c r="BH28" s="245">
        <v>0.03</v>
      </c>
      <c r="BI28" s="245">
        <v>0.97</v>
      </c>
      <c r="BJ28" s="245">
        <v>0.46</v>
      </c>
      <c r="BK28" s="242"/>
      <c r="BL28" s="242"/>
    </row>
    <row r="29" spans="1:64">
      <c r="A29" s="243" t="s">
        <v>322</v>
      </c>
      <c r="B29" s="169" t="s">
        <v>511</v>
      </c>
      <c r="C29" s="169" t="s">
        <v>612</v>
      </c>
      <c r="D29" s="169" t="s">
        <v>578</v>
      </c>
      <c r="E29" s="169" t="s">
        <v>173</v>
      </c>
      <c r="F29" s="169">
        <v>539</v>
      </c>
      <c r="G29" s="169">
        <v>10</v>
      </c>
      <c r="H29" s="169">
        <v>10</v>
      </c>
      <c r="I29" s="165">
        <v>38.4</v>
      </c>
      <c r="J29" s="165">
        <v>1601</v>
      </c>
      <c r="K29" s="166" t="s">
        <v>514</v>
      </c>
      <c r="L29" s="165">
        <v>2024</v>
      </c>
      <c r="M29" s="165" t="s">
        <v>579</v>
      </c>
      <c r="N29" s="165">
        <v>5</v>
      </c>
      <c r="O29" s="181">
        <v>126</v>
      </c>
      <c r="P29" s="165" t="s">
        <v>611</v>
      </c>
      <c r="Q29" s="165">
        <v>-70.888000000000005</v>
      </c>
      <c r="R29" s="165">
        <v>39.776000000000003</v>
      </c>
      <c r="S29" s="165" t="s">
        <v>172</v>
      </c>
      <c r="T29" s="165">
        <v>25</v>
      </c>
      <c r="U29" s="166" t="s">
        <v>516</v>
      </c>
      <c r="V29" s="244">
        <v>2.2949999999999999</v>
      </c>
      <c r="W29" s="244">
        <v>5.0999999999999997E-2</v>
      </c>
      <c r="X29" s="244">
        <v>0.98899999999999999</v>
      </c>
      <c r="Y29" s="244">
        <v>7.5999999999999998E-2</v>
      </c>
      <c r="Z29" s="244">
        <v>-8888</v>
      </c>
      <c r="AA29" s="244">
        <v>6.9000000000000006E-2</v>
      </c>
      <c r="AB29" s="244">
        <v>0.01</v>
      </c>
      <c r="AC29" s="244">
        <v>8.5999999999999993E-2</v>
      </c>
      <c r="AD29" s="244">
        <v>3.0000000000000001E-3</v>
      </c>
      <c r="AE29" s="244">
        <v>0.98599999999999999</v>
      </c>
      <c r="AF29" s="244">
        <v>0.47099999999999997</v>
      </c>
      <c r="AG29" s="244">
        <v>4.0000000000000001E-3</v>
      </c>
      <c r="AH29" s="244">
        <v>1.625</v>
      </c>
      <c r="AI29" s="244">
        <v>-8888</v>
      </c>
      <c r="AJ29" s="244">
        <v>0.67</v>
      </c>
      <c r="AK29" s="244">
        <v>5.0999999999999997E-2</v>
      </c>
      <c r="AL29" s="244">
        <v>-8888</v>
      </c>
      <c r="AM29" s="244">
        <v>0.501</v>
      </c>
      <c r="AN29" s="244">
        <v>0.48799999999999999</v>
      </c>
      <c r="AO29" s="244">
        <v>-8888</v>
      </c>
      <c r="AP29" s="244">
        <v>6.0000000000000001E-3</v>
      </c>
      <c r="AQ29" s="244">
        <v>5.0000000000000001E-3</v>
      </c>
      <c r="AR29" s="244">
        <v>1.7999999999999999E-2</v>
      </c>
      <c r="AS29" s="244">
        <v>0.128</v>
      </c>
      <c r="AT29" s="244">
        <v>-8888</v>
      </c>
      <c r="AU29" s="244">
        <v>-8888</v>
      </c>
      <c r="AV29" s="244">
        <v>3.335</v>
      </c>
      <c r="AW29" s="244">
        <v>0.17899999999999999</v>
      </c>
      <c r="AX29" s="244">
        <v>1.5259999999999998</v>
      </c>
      <c r="AY29" s="244">
        <v>4.8609999999999998</v>
      </c>
      <c r="AZ29" s="244">
        <v>1.7049999999999998</v>
      </c>
      <c r="BA29" s="244">
        <v>2.7449999999999997</v>
      </c>
      <c r="BB29" s="244">
        <v>5.0399999999999991</v>
      </c>
      <c r="BC29" s="244">
        <v>1.5909999999999997</v>
      </c>
      <c r="BD29" s="245">
        <v>1.2</v>
      </c>
      <c r="BE29" s="245">
        <v>0.9</v>
      </c>
      <c r="BF29" s="245">
        <v>0.1</v>
      </c>
      <c r="BG29" s="245">
        <v>1.96</v>
      </c>
      <c r="BH29" s="245">
        <v>0.04</v>
      </c>
      <c r="BI29" s="245">
        <v>0.96</v>
      </c>
      <c r="BJ29" s="245">
        <v>0.46</v>
      </c>
      <c r="BK29" s="242"/>
      <c r="BL29" s="242"/>
    </row>
    <row r="30" spans="1:64">
      <c r="A30" s="210"/>
      <c r="B30" s="220"/>
      <c r="C30" s="220"/>
      <c r="D30" s="220"/>
      <c r="E30" s="220"/>
      <c r="F30" s="220"/>
      <c r="G30" s="220"/>
      <c r="H30" s="220"/>
      <c r="I30" s="220"/>
      <c r="J30" s="220"/>
      <c r="K30" s="220"/>
      <c r="L30" s="220"/>
      <c r="M30" s="220"/>
      <c r="N30" s="220"/>
      <c r="O30" s="220"/>
      <c r="P30" s="221"/>
      <c r="Q30" s="220"/>
      <c r="R30" s="220"/>
      <c r="S30" s="220"/>
      <c r="T30" s="220"/>
      <c r="U30" s="210" t="s">
        <v>22</v>
      </c>
      <c r="V30" s="210">
        <f t="shared" ref="V30:BC30" si="20">ROUND(AVERAGE((IF(V28=-8888,0,V28)),(IF(V29=-8888,0,V29))),3)</f>
        <v>2.2589999999999999</v>
      </c>
      <c r="W30" s="210">
        <f t="shared" si="20"/>
        <v>0.05</v>
      </c>
      <c r="X30" s="210">
        <f t="shared" si="20"/>
        <v>0.96599999999999997</v>
      </c>
      <c r="Y30" s="210">
        <f t="shared" si="20"/>
        <v>7.4999999999999997E-2</v>
      </c>
      <c r="Z30" s="210">
        <f t="shared" si="20"/>
        <v>0</v>
      </c>
      <c r="AA30" s="210">
        <f t="shared" si="20"/>
        <v>6.4000000000000001E-2</v>
      </c>
      <c r="AB30" s="210">
        <f t="shared" si="20"/>
        <v>8.9999999999999993E-3</v>
      </c>
      <c r="AC30" s="210">
        <f t="shared" si="20"/>
        <v>8.3000000000000004E-2</v>
      </c>
      <c r="AD30" s="210">
        <f t="shared" si="20"/>
        <v>3.0000000000000001E-3</v>
      </c>
      <c r="AE30" s="210">
        <f t="shared" si="20"/>
        <v>0.97899999999999998</v>
      </c>
      <c r="AF30" s="210">
        <f t="shared" si="20"/>
        <v>0.45</v>
      </c>
      <c r="AG30" s="210">
        <f t="shared" si="20"/>
        <v>4.0000000000000001E-3</v>
      </c>
      <c r="AH30" s="210">
        <f t="shared" si="20"/>
        <v>1.651</v>
      </c>
      <c r="AI30" s="210">
        <f t="shared" si="20"/>
        <v>0</v>
      </c>
      <c r="AJ30" s="210">
        <f t="shared" si="20"/>
        <v>0.60799999999999998</v>
      </c>
      <c r="AK30" s="210">
        <f t="shared" si="20"/>
        <v>0.05</v>
      </c>
      <c r="AL30" s="210">
        <f t="shared" si="20"/>
        <v>0</v>
      </c>
      <c r="AM30" s="210">
        <f t="shared" si="20"/>
        <v>0.48799999999999999</v>
      </c>
      <c r="AN30" s="210">
        <f t="shared" si="20"/>
        <v>0.47899999999999998</v>
      </c>
      <c r="AO30" s="210">
        <f t="shared" si="20"/>
        <v>0</v>
      </c>
      <c r="AP30" s="210">
        <f t="shared" si="20"/>
        <v>6.0000000000000001E-3</v>
      </c>
      <c r="AQ30" s="210">
        <f t="shared" si="20"/>
        <v>5.0000000000000001E-3</v>
      </c>
      <c r="AR30" s="210">
        <f t="shared" si="20"/>
        <v>0.02</v>
      </c>
      <c r="AS30" s="210">
        <f t="shared" si="20"/>
        <v>0.125</v>
      </c>
      <c r="AT30" s="210">
        <f t="shared" si="20"/>
        <v>0</v>
      </c>
      <c r="AU30" s="210">
        <f t="shared" si="20"/>
        <v>0</v>
      </c>
      <c r="AV30" s="210">
        <f t="shared" si="20"/>
        <v>3.2749999999999999</v>
      </c>
      <c r="AW30" s="210">
        <f t="shared" si="20"/>
        <v>0.17299999999999999</v>
      </c>
      <c r="AX30" s="210">
        <f t="shared" si="20"/>
        <v>1.492</v>
      </c>
      <c r="AY30" s="210">
        <f t="shared" si="20"/>
        <v>4.7670000000000003</v>
      </c>
      <c r="AZ30" s="210">
        <f t="shared" si="20"/>
        <v>1.665</v>
      </c>
      <c r="BA30" s="210">
        <f t="shared" si="20"/>
        <v>2.681</v>
      </c>
      <c r="BB30" s="210">
        <f t="shared" si="20"/>
        <v>4.9400000000000004</v>
      </c>
      <c r="BC30" s="210">
        <f t="shared" si="20"/>
        <v>1.5549999999999999</v>
      </c>
      <c r="BD30" s="209">
        <f>ROUND(AVERAGE((IF(BD28=-8888,0,BD28)),(IF(BD29=-8888,0,BD29))),2)</f>
        <v>1.19</v>
      </c>
      <c r="BE30" s="209">
        <f t="shared" ref="BE30:BJ30" si="21">ROUND(AVERAGE((IF(BE28=-8888,0,BE28)),(IF(BE29=-8888,0,BE29))),2)</f>
        <v>0.9</v>
      </c>
      <c r="BF30" s="209">
        <f t="shared" si="21"/>
        <v>0.1</v>
      </c>
      <c r="BG30" s="209">
        <f t="shared" si="21"/>
        <v>1.97</v>
      </c>
      <c r="BH30" s="209">
        <f t="shared" si="21"/>
        <v>0.04</v>
      </c>
      <c r="BI30" s="209">
        <f t="shared" si="21"/>
        <v>0.97</v>
      </c>
      <c r="BJ30" s="209">
        <f t="shared" si="21"/>
        <v>0.46</v>
      </c>
      <c r="BK30" s="211"/>
      <c r="BL30" s="211"/>
    </row>
    <row r="31" spans="1:64">
      <c r="A31" s="214"/>
      <c r="B31" s="222"/>
      <c r="C31" s="222"/>
      <c r="D31" s="222"/>
      <c r="E31" s="222"/>
      <c r="F31" s="222"/>
      <c r="G31" s="222"/>
      <c r="H31" s="222"/>
      <c r="I31" s="222"/>
      <c r="J31" s="222"/>
      <c r="K31" s="222"/>
      <c r="L31" s="222"/>
      <c r="M31" s="222"/>
      <c r="N31" s="222"/>
      <c r="O31" s="222"/>
      <c r="P31" s="223"/>
      <c r="Q31" s="222"/>
      <c r="R31" s="222"/>
      <c r="S31" s="222"/>
      <c r="T31" s="222"/>
      <c r="U31" s="214" t="s">
        <v>1015</v>
      </c>
      <c r="V31" s="214">
        <f t="shared" ref="V31:BC31" si="22">ROUND(STDEV((IF(V28=-8888,0,V28)),(IF(V29=-8888,0,V29))),3)</f>
        <v>5.1999999999999998E-2</v>
      </c>
      <c r="W31" s="214">
        <f t="shared" si="22"/>
        <v>1E-3</v>
      </c>
      <c r="X31" s="214">
        <f t="shared" si="22"/>
        <v>3.3000000000000002E-2</v>
      </c>
      <c r="Y31" s="214">
        <f t="shared" si="22"/>
        <v>2E-3</v>
      </c>
      <c r="Z31" s="214">
        <f t="shared" si="22"/>
        <v>0</v>
      </c>
      <c r="AA31" s="214">
        <f t="shared" si="22"/>
        <v>8.0000000000000002E-3</v>
      </c>
      <c r="AB31" s="214">
        <f t="shared" si="22"/>
        <v>1E-3</v>
      </c>
      <c r="AC31" s="214">
        <f t="shared" si="22"/>
        <v>5.0000000000000001E-3</v>
      </c>
      <c r="AD31" s="214">
        <f t="shared" si="22"/>
        <v>0</v>
      </c>
      <c r="AE31" s="214">
        <f t="shared" si="22"/>
        <v>0.01</v>
      </c>
      <c r="AF31" s="214">
        <f t="shared" si="22"/>
        <v>0.03</v>
      </c>
      <c r="AG31" s="214">
        <f t="shared" si="22"/>
        <v>0</v>
      </c>
      <c r="AH31" s="214">
        <f t="shared" si="22"/>
        <v>3.6999999999999998E-2</v>
      </c>
      <c r="AI31" s="214">
        <f t="shared" si="22"/>
        <v>0</v>
      </c>
      <c r="AJ31" s="214">
        <f t="shared" si="22"/>
        <v>8.7999999999999995E-2</v>
      </c>
      <c r="AK31" s="214">
        <f t="shared" si="22"/>
        <v>1E-3</v>
      </c>
      <c r="AL31" s="214">
        <f t="shared" si="22"/>
        <v>0</v>
      </c>
      <c r="AM31" s="214">
        <f t="shared" si="22"/>
        <v>1.9E-2</v>
      </c>
      <c r="AN31" s="214">
        <f t="shared" si="22"/>
        <v>1.2999999999999999E-2</v>
      </c>
      <c r="AO31" s="214">
        <f t="shared" si="22"/>
        <v>0</v>
      </c>
      <c r="AP31" s="214">
        <f t="shared" si="22"/>
        <v>0</v>
      </c>
      <c r="AQ31" s="214">
        <f t="shared" si="22"/>
        <v>0</v>
      </c>
      <c r="AR31" s="214">
        <f t="shared" si="22"/>
        <v>2E-3</v>
      </c>
      <c r="AS31" s="214">
        <f t="shared" si="22"/>
        <v>5.0000000000000001E-3</v>
      </c>
      <c r="AT31" s="214">
        <f t="shared" si="22"/>
        <v>0</v>
      </c>
      <c r="AU31" s="214">
        <f t="shared" si="22"/>
        <v>0</v>
      </c>
      <c r="AV31" s="214">
        <f t="shared" si="22"/>
        <v>8.5999999999999993E-2</v>
      </c>
      <c r="AW31" s="214">
        <f t="shared" si="22"/>
        <v>8.0000000000000002E-3</v>
      </c>
      <c r="AX31" s="214">
        <f t="shared" si="22"/>
        <v>4.8000000000000001E-2</v>
      </c>
      <c r="AY31" s="214">
        <f t="shared" si="22"/>
        <v>0.13400000000000001</v>
      </c>
      <c r="AZ31" s="214">
        <f t="shared" si="22"/>
        <v>5.7000000000000002E-2</v>
      </c>
      <c r="BA31" s="214">
        <f t="shared" si="22"/>
        <v>9.0999999999999998E-2</v>
      </c>
      <c r="BB31" s="214">
        <f t="shared" si="22"/>
        <v>0.14199999999999999</v>
      </c>
      <c r="BC31" s="214">
        <f t="shared" si="22"/>
        <v>5.0999999999999997E-2</v>
      </c>
      <c r="BD31" s="213">
        <f>ROUND(STDEV((IF(BD28=-8888,0,BD28)),(IF(BD29=-8888,0,BD29))),2)</f>
        <v>0.01</v>
      </c>
      <c r="BE31" s="213">
        <f t="shared" ref="BE31:BJ31" si="23">ROUND(STDEV((IF(BE28=-8888,0,BE28)),(IF(BE29=-8888,0,BE29))),2)</f>
        <v>0</v>
      </c>
      <c r="BF31" s="213">
        <f t="shared" si="23"/>
        <v>0</v>
      </c>
      <c r="BG31" s="213">
        <f t="shared" si="23"/>
        <v>0.01</v>
      </c>
      <c r="BH31" s="213">
        <f t="shared" si="23"/>
        <v>0.01</v>
      </c>
      <c r="BI31" s="213">
        <f t="shared" si="23"/>
        <v>0.01</v>
      </c>
      <c r="BJ31" s="213">
        <f t="shared" si="23"/>
        <v>0</v>
      </c>
      <c r="BK31" s="215"/>
      <c r="BL31" s="215"/>
    </row>
    <row r="32" spans="1:64">
      <c r="A32" s="216"/>
      <c r="B32" s="224"/>
      <c r="C32" s="224"/>
      <c r="D32" s="224"/>
      <c r="E32" s="224"/>
      <c r="F32" s="224"/>
      <c r="G32" s="224"/>
      <c r="H32" s="224"/>
      <c r="I32" s="224"/>
      <c r="J32" s="224"/>
      <c r="K32" s="224"/>
      <c r="L32" s="224"/>
      <c r="M32" s="224"/>
      <c r="N32" s="224"/>
      <c r="O32" s="224"/>
      <c r="P32" s="225"/>
      <c r="Q32" s="224"/>
      <c r="R32" s="224"/>
      <c r="S32" s="224"/>
      <c r="T32" s="224"/>
      <c r="U32" s="217" t="s">
        <v>148</v>
      </c>
      <c r="V32" s="218">
        <f>IF((V30=0),"N/A",ROUND((V31/V30),4))</f>
        <v>2.3E-2</v>
      </c>
      <c r="W32" s="218">
        <f t="shared" ref="W32:BJ32" si="24">IF((W30=0),"N/A",ROUND((W31/W30),4))</f>
        <v>0.02</v>
      </c>
      <c r="X32" s="218">
        <f t="shared" si="24"/>
        <v>3.4200000000000001E-2</v>
      </c>
      <c r="Y32" s="218">
        <f t="shared" si="24"/>
        <v>2.6700000000000002E-2</v>
      </c>
      <c r="Z32" s="218" t="str">
        <f t="shared" si="24"/>
        <v>N/A</v>
      </c>
      <c r="AA32" s="218">
        <f t="shared" si="24"/>
        <v>0.125</v>
      </c>
      <c r="AB32" s="218">
        <f t="shared" si="24"/>
        <v>0.1111</v>
      </c>
      <c r="AC32" s="218">
        <f t="shared" si="24"/>
        <v>6.0199999999999997E-2</v>
      </c>
      <c r="AD32" s="218">
        <f t="shared" si="24"/>
        <v>0</v>
      </c>
      <c r="AE32" s="218">
        <f t="shared" si="24"/>
        <v>1.0200000000000001E-2</v>
      </c>
      <c r="AF32" s="218">
        <f t="shared" si="24"/>
        <v>6.6699999999999995E-2</v>
      </c>
      <c r="AG32" s="218">
        <f t="shared" si="24"/>
        <v>0</v>
      </c>
      <c r="AH32" s="218">
        <f t="shared" si="24"/>
        <v>2.24E-2</v>
      </c>
      <c r="AI32" s="218" t="str">
        <f t="shared" si="24"/>
        <v>N/A</v>
      </c>
      <c r="AJ32" s="218">
        <f t="shared" si="24"/>
        <v>0.1447</v>
      </c>
      <c r="AK32" s="218">
        <f t="shared" si="24"/>
        <v>0.02</v>
      </c>
      <c r="AL32" s="218" t="str">
        <f t="shared" si="24"/>
        <v>N/A</v>
      </c>
      <c r="AM32" s="218">
        <f t="shared" si="24"/>
        <v>3.8899999999999997E-2</v>
      </c>
      <c r="AN32" s="218">
        <f t="shared" si="24"/>
        <v>2.7099999999999999E-2</v>
      </c>
      <c r="AO32" s="218" t="str">
        <f t="shared" si="24"/>
        <v>N/A</v>
      </c>
      <c r="AP32" s="218">
        <f t="shared" si="24"/>
        <v>0</v>
      </c>
      <c r="AQ32" s="218">
        <f t="shared" si="24"/>
        <v>0</v>
      </c>
      <c r="AR32" s="218">
        <f t="shared" si="24"/>
        <v>0.1</v>
      </c>
      <c r="AS32" s="218">
        <f t="shared" si="24"/>
        <v>0.04</v>
      </c>
      <c r="AT32" s="218" t="str">
        <f t="shared" si="24"/>
        <v>N/A</v>
      </c>
      <c r="AU32" s="218" t="str">
        <f t="shared" si="24"/>
        <v>N/A</v>
      </c>
      <c r="AV32" s="218">
        <f t="shared" si="24"/>
        <v>2.63E-2</v>
      </c>
      <c r="AW32" s="218">
        <f t="shared" si="24"/>
        <v>4.6199999999999998E-2</v>
      </c>
      <c r="AX32" s="218">
        <f t="shared" si="24"/>
        <v>3.2199999999999999E-2</v>
      </c>
      <c r="AY32" s="218">
        <f t="shared" si="24"/>
        <v>2.81E-2</v>
      </c>
      <c r="AZ32" s="218">
        <f t="shared" si="24"/>
        <v>3.4200000000000001E-2</v>
      </c>
      <c r="BA32" s="218">
        <f t="shared" si="24"/>
        <v>3.39E-2</v>
      </c>
      <c r="BB32" s="218">
        <f t="shared" si="24"/>
        <v>2.87E-2</v>
      </c>
      <c r="BC32" s="218">
        <f t="shared" si="24"/>
        <v>3.2800000000000003E-2</v>
      </c>
      <c r="BD32" s="218">
        <f t="shared" si="24"/>
        <v>8.3999999999999995E-3</v>
      </c>
      <c r="BE32" s="218">
        <f t="shared" si="24"/>
        <v>0</v>
      </c>
      <c r="BF32" s="218">
        <f t="shared" si="24"/>
        <v>0</v>
      </c>
      <c r="BG32" s="218">
        <f t="shared" si="24"/>
        <v>5.1000000000000004E-3</v>
      </c>
      <c r="BH32" s="218">
        <f t="shared" si="24"/>
        <v>0.25</v>
      </c>
      <c r="BI32" s="218">
        <f t="shared" si="24"/>
        <v>1.03E-2</v>
      </c>
      <c r="BJ32" s="218">
        <f t="shared" si="24"/>
        <v>0</v>
      </c>
      <c r="BK32" s="219">
        <f>V32</f>
        <v>2.3E-2</v>
      </c>
      <c r="BL32" s="219">
        <f>AVERAGE(V32:AG32)</f>
        <v>4.3372727272727264E-2</v>
      </c>
    </row>
    <row r="33" spans="1:64">
      <c r="A33" s="243" t="s">
        <v>327</v>
      </c>
      <c r="B33" s="169" t="s">
        <v>511</v>
      </c>
      <c r="C33" s="169" t="s">
        <v>621</v>
      </c>
      <c r="D33" s="169" t="s">
        <v>578</v>
      </c>
      <c r="E33" s="169" t="s">
        <v>173</v>
      </c>
      <c r="F33" s="169">
        <v>547</v>
      </c>
      <c r="G33" s="169">
        <v>14</v>
      </c>
      <c r="H33" s="169">
        <v>6</v>
      </c>
      <c r="I33" s="165">
        <v>46.2</v>
      </c>
      <c r="J33" s="165">
        <v>140</v>
      </c>
      <c r="K33" s="166" t="s">
        <v>514</v>
      </c>
      <c r="L33" s="165">
        <v>2024</v>
      </c>
      <c r="M33" s="165" t="s">
        <v>579</v>
      </c>
      <c r="N33" s="165">
        <v>6</v>
      </c>
      <c r="O33" s="181">
        <v>127</v>
      </c>
      <c r="P33" s="165" t="s">
        <v>622</v>
      </c>
      <c r="Q33" s="165">
        <v>-70.881</v>
      </c>
      <c r="R33" s="165">
        <v>40.151000000000003</v>
      </c>
      <c r="S33" s="165" t="s">
        <v>172</v>
      </c>
      <c r="T33" s="165">
        <v>25</v>
      </c>
      <c r="U33" s="166" t="s">
        <v>516</v>
      </c>
      <c r="V33" s="244">
        <v>0.86299999999999999</v>
      </c>
      <c r="W33" s="244">
        <v>1.9E-2</v>
      </c>
      <c r="X33" s="244">
        <v>0.23699999999999999</v>
      </c>
      <c r="Y33" s="244">
        <v>3.5000000000000003E-2</v>
      </c>
      <c r="Z33" s="244">
        <v>-8888</v>
      </c>
      <c r="AA33" s="244">
        <v>8.9999999999999993E-3</v>
      </c>
      <c r="AB33" s="244">
        <v>1.0999999999999999E-2</v>
      </c>
      <c r="AC33" s="244">
        <v>3.2000000000000001E-2</v>
      </c>
      <c r="AD33" s="244">
        <v>1E-3</v>
      </c>
      <c r="AE33" s="244">
        <v>0.41099999999999998</v>
      </c>
      <c r="AF33" s="244">
        <v>1.0999999999999999E-2</v>
      </c>
      <c r="AG33" s="244">
        <v>1.0999999999999999E-2</v>
      </c>
      <c r="AH33" s="244">
        <v>0.63100000000000001</v>
      </c>
      <c r="AI33" s="244">
        <v>-8888</v>
      </c>
      <c r="AJ33" s="244">
        <v>0.23200000000000001</v>
      </c>
      <c r="AK33" s="244">
        <v>1.9E-2</v>
      </c>
      <c r="AL33" s="244">
        <v>-8888</v>
      </c>
      <c r="AM33" s="244">
        <v>0.19</v>
      </c>
      <c r="AN33" s="244">
        <v>4.7E-2</v>
      </c>
      <c r="AO33" s="244">
        <v>-8888</v>
      </c>
      <c r="AP33" s="244">
        <v>2E-3</v>
      </c>
      <c r="AQ33" s="244">
        <v>3.0000000000000001E-3</v>
      </c>
      <c r="AR33" s="244">
        <v>1.4999999999999999E-2</v>
      </c>
      <c r="AS33" s="244">
        <v>0.29499999999999998</v>
      </c>
      <c r="AT33" s="244">
        <v>-8888</v>
      </c>
      <c r="AU33" s="244">
        <v>-8888</v>
      </c>
      <c r="AV33" s="244">
        <v>1.119</v>
      </c>
      <c r="AW33" s="244">
        <v>0.09</v>
      </c>
      <c r="AX33" s="244">
        <v>0.43099999999999999</v>
      </c>
      <c r="AY33" s="244">
        <v>1.55</v>
      </c>
      <c r="AZ33" s="244">
        <v>0.52100000000000002</v>
      </c>
      <c r="BA33" s="244">
        <v>0.77700000000000002</v>
      </c>
      <c r="BB33" s="244">
        <v>1.6400000000000001</v>
      </c>
      <c r="BC33" s="244">
        <v>0.47199999999999998</v>
      </c>
      <c r="BD33" s="245">
        <v>0.9</v>
      </c>
      <c r="BE33" s="245">
        <v>0.83</v>
      </c>
      <c r="BF33" s="245">
        <v>0.17</v>
      </c>
      <c r="BG33" s="245">
        <v>2.15</v>
      </c>
      <c r="BH33" s="245">
        <v>0.05</v>
      </c>
      <c r="BI33" s="245">
        <v>0.95</v>
      </c>
      <c r="BJ33" s="245">
        <v>0.53</v>
      </c>
      <c r="BK33" s="242"/>
      <c r="BL33" s="242"/>
    </row>
    <row r="34" spans="1:64">
      <c r="A34" s="243" t="s">
        <v>328</v>
      </c>
      <c r="B34" s="169" t="s">
        <v>511</v>
      </c>
      <c r="C34" s="169" t="s">
        <v>623</v>
      </c>
      <c r="D34" s="169" t="s">
        <v>578</v>
      </c>
      <c r="E34" s="169" t="s">
        <v>173</v>
      </c>
      <c r="F34" s="169">
        <v>539</v>
      </c>
      <c r="G34" s="169">
        <v>14</v>
      </c>
      <c r="H34" s="169">
        <v>6</v>
      </c>
      <c r="I34" s="165">
        <v>46.2</v>
      </c>
      <c r="J34" s="165">
        <v>140</v>
      </c>
      <c r="K34" s="166" t="s">
        <v>514</v>
      </c>
      <c r="L34" s="165">
        <v>2024</v>
      </c>
      <c r="M34" s="165" t="s">
        <v>579</v>
      </c>
      <c r="N34" s="165">
        <v>6</v>
      </c>
      <c r="O34" s="181">
        <v>127</v>
      </c>
      <c r="P34" s="165" t="s">
        <v>622</v>
      </c>
      <c r="Q34" s="165">
        <v>-70.881</v>
      </c>
      <c r="R34" s="165">
        <v>40.151000000000003</v>
      </c>
      <c r="S34" s="165" t="s">
        <v>172</v>
      </c>
      <c r="T34" s="165">
        <v>25</v>
      </c>
      <c r="U34" s="166" t="s">
        <v>516</v>
      </c>
      <c r="V34" s="244">
        <v>0.92699999999999994</v>
      </c>
      <c r="W34" s="244">
        <v>2.1999999999999999E-2</v>
      </c>
      <c r="X34" s="244">
        <v>0.24299999999999999</v>
      </c>
      <c r="Y34" s="244">
        <v>3.5999999999999997E-2</v>
      </c>
      <c r="Z34" s="244">
        <v>-8888</v>
      </c>
      <c r="AA34" s="244">
        <v>8.9999999999999993E-3</v>
      </c>
      <c r="AB34" s="244">
        <v>1.4999999999999999E-2</v>
      </c>
      <c r="AC34" s="244">
        <v>3.4000000000000002E-2</v>
      </c>
      <c r="AD34" s="244">
        <v>2E-3</v>
      </c>
      <c r="AE34" s="244">
        <v>0.42499999999999999</v>
      </c>
      <c r="AF34" s="244">
        <v>1.7999999999999999E-2</v>
      </c>
      <c r="AG34" s="244">
        <v>1.0999999999999999E-2</v>
      </c>
      <c r="AH34" s="244">
        <v>0.70399999999999996</v>
      </c>
      <c r="AI34" s="244">
        <v>-8888</v>
      </c>
      <c r="AJ34" s="244">
        <v>0.223</v>
      </c>
      <c r="AK34" s="244">
        <v>2.1999999999999999E-2</v>
      </c>
      <c r="AL34" s="244">
        <v>-8888</v>
      </c>
      <c r="AM34" s="244">
        <v>0.19800000000000001</v>
      </c>
      <c r="AN34" s="244">
        <v>4.4999999999999998E-2</v>
      </c>
      <c r="AO34" s="244">
        <v>-8888</v>
      </c>
      <c r="AP34" s="244">
        <v>3.0000000000000001E-3</v>
      </c>
      <c r="AQ34" s="244">
        <v>3.0000000000000001E-3</v>
      </c>
      <c r="AR34" s="244">
        <v>1.6E-2</v>
      </c>
      <c r="AS34" s="244">
        <v>0.32400000000000001</v>
      </c>
      <c r="AT34" s="244">
        <v>-8888</v>
      </c>
      <c r="AU34" s="244">
        <v>-8888</v>
      </c>
      <c r="AV34" s="244">
        <v>1.1919999999999999</v>
      </c>
      <c r="AW34" s="244">
        <v>9.8000000000000004E-2</v>
      </c>
      <c r="AX34" s="244">
        <v>0.45200000000000001</v>
      </c>
      <c r="AY34" s="244">
        <v>1.6439999999999999</v>
      </c>
      <c r="AZ34" s="244">
        <v>0.55000000000000004</v>
      </c>
      <c r="BA34" s="244">
        <v>0.81500000000000006</v>
      </c>
      <c r="BB34" s="244">
        <v>1.742</v>
      </c>
      <c r="BC34" s="244">
        <v>0.5</v>
      </c>
      <c r="BD34" s="245">
        <v>0.88</v>
      </c>
      <c r="BE34" s="245">
        <v>0.82</v>
      </c>
      <c r="BF34" s="245">
        <v>0.18</v>
      </c>
      <c r="BG34" s="245">
        <v>2.17</v>
      </c>
      <c r="BH34" s="245">
        <v>0.06</v>
      </c>
      <c r="BI34" s="245">
        <v>0.94</v>
      </c>
      <c r="BJ34" s="245">
        <v>0.53</v>
      </c>
      <c r="BK34" s="242"/>
      <c r="BL34" s="242"/>
    </row>
    <row r="35" spans="1:64">
      <c r="A35" s="210"/>
      <c r="B35" s="220"/>
      <c r="C35" s="220"/>
      <c r="D35" s="220"/>
      <c r="E35" s="220"/>
      <c r="F35" s="220"/>
      <c r="G35" s="220"/>
      <c r="H35" s="220"/>
      <c r="I35" s="220"/>
      <c r="J35" s="220"/>
      <c r="K35" s="220"/>
      <c r="L35" s="220"/>
      <c r="M35" s="220"/>
      <c r="N35" s="220"/>
      <c r="O35" s="220"/>
      <c r="P35" s="221"/>
      <c r="Q35" s="220"/>
      <c r="R35" s="220"/>
      <c r="S35" s="220"/>
      <c r="T35" s="220"/>
      <c r="U35" s="210" t="s">
        <v>22</v>
      </c>
      <c r="V35" s="210">
        <f t="shared" ref="V35:BC35" si="25">ROUND(AVERAGE((IF(V33=-8888,0,V33)),(IF(V34=-8888,0,V34))),3)</f>
        <v>0.89500000000000002</v>
      </c>
      <c r="W35" s="210">
        <f t="shared" si="25"/>
        <v>2.1000000000000001E-2</v>
      </c>
      <c r="X35" s="210">
        <f t="shared" si="25"/>
        <v>0.24</v>
      </c>
      <c r="Y35" s="210">
        <f t="shared" si="25"/>
        <v>3.5999999999999997E-2</v>
      </c>
      <c r="Z35" s="210">
        <f t="shared" si="25"/>
        <v>0</v>
      </c>
      <c r="AA35" s="210">
        <f t="shared" si="25"/>
        <v>8.9999999999999993E-3</v>
      </c>
      <c r="AB35" s="210">
        <f t="shared" si="25"/>
        <v>1.2999999999999999E-2</v>
      </c>
      <c r="AC35" s="210">
        <f t="shared" si="25"/>
        <v>3.3000000000000002E-2</v>
      </c>
      <c r="AD35" s="210">
        <f t="shared" si="25"/>
        <v>2E-3</v>
      </c>
      <c r="AE35" s="210">
        <f t="shared" si="25"/>
        <v>0.41799999999999998</v>
      </c>
      <c r="AF35" s="210">
        <f t="shared" si="25"/>
        <v>1.4999999999999999E-2</v>
      </c>
      <c r="AG35" s="210">
        <f t="shared" si="25"/>
        <v>1.0999999999999999E-2</v>
      </c>
      <c r="AH35" s="210">
        <f t="shared" si="25"/>
        <v>0.66800000000000004</v>
      </c>
      <c r="AI35" s="210">
        <f t="shared" si="25"/>
        <v>0</v>
      </c>
      <c r="AJ35" s="210">
        <f t="shared" si="25"/>
        <v>0.22800000000000001</v>
      </c>
      <c r="AK35" s="210">
        <f t="shared" si="25"/>
        <v>2.1000000000000001E-2</v>
      </c>
      <c r="AL35" s="210">
        <f t="shared" si="25"/>
        <v>0</v>
      </c>
      <c r="AM35" s="210">
        <f t="shared" si="25"/>
        <v>0.19400000000000001</v>
      </c>
      <c r="AN35" s="210">
        <f t="shared" si="25"/>
        <v>4.5999999999999999E-2</v>
      </c>
      <c r="AO35" s="210">
        <f t="shared" si="25"/>
        <v>0</v>
      </c>
      <c r="AP35" s="210">
        <f t="shared" si="25"/>
        <v>3.0000000000000001E-3</v>
      </c>
      <c r="AQ35" s="210">
        <f t="shared" si="25"/>
        <v>3.0000000000000001E-3</v>
      </c>
      <c r="AR35" s="210">
        <f t="shared" si="25"/>
        <v>1.6E-2</v>
      </c>
      <c r="AS35" s="210">
        <f t="shared" si="25"/>
        <v>0.31</v>
      </c>
      <c r="AT35" s="210">
        <f t="shared" si="25"/>
        <v>0</v>
      </c>
      <c r="AU35" s="210">
        <f t="shared" si="25"/>
        <v>0</v>
      </c>
      <c r="AV35" s="210">
        <f t="shared" si="25"/>
        <v>1.1559999999999999</v>
      </c>
      <c r="AW35" s="210">
        <f t="shared" si="25"/>
        <v>9.4E-2</v>
      </c>
      <c r="AX35" s="210">
        <f t="shared" si="25"/>
        <v>0.442</v>
      </c>
      <c r="AY35" s="210">
        <f t="shared" si="25"/>
        <v>1.597</v>
      </c>
      <c r="AZ35" s="210">
        <f t="shared" si="25"/>
        <v>0.53600000000000003</v>
      </c>
      <c r="BA35" s="210">
        <f t="shared" si="25"/>
        <v>0.79600000000000004</v>
      </c>
      <c r="BB35" s="210">
        <f t="shared" si="25"/>
        <v>1.6910000000000001</v>
      </c>
      <c r="BC35" s="210">
        <f t="shared" si="25"/>
        <v>0.48599999999999999</v>
      </c>
      <c r="BD35" s="209">
        <f>ROUND(AVERAGE((IF(BD33=-8888,0,BD33)),(IF(BD34=-8888,0,BD34))),2)</f>
        <v>0.89</v>
      </c>
      <c r="BE35" s="209">
        <f t="shared" ref="BE35:BJ35" si="26">ROUND(AVERAGE((IF(BE33=-8888,0,BE33)),(IF(BE34=-8888,0,BE34))),2)</f>
        <v>0.83</v>
      </c>
      <c r="BF35" s="209">
        <f t="shared" si="26"/>
        <v>0.18</v>
      </c>
      <c r="BG35" s="209">
        <f t="shared" si="26"/>
        <v>2.16</v>
      </c>
      <c r="BH35" s="209">
        <f t="shared" si="26"/>
        <v>0.06</v>
      </c>
      <c r="BI35" s="209">
        <f t="shared" si="26"/>
        <v>0.95</v>
      </c>
      <c r="BJ35" s="209">
        <f t="shared" si="26"/>
        <v>0.53</v>
      </c>
      <c r="BK35" s="211"/>
      <c r="BL35" s="211"/>
    </row>
    <row r="36" spans="1:64">
      <c r="A36" s="214"/>
      <c r="B36" s="222"/>
      <c r="C36" s="222"/>
      <c r="D36" s="222"/>
      <c r="E36" s="222"/>
      <c r="F36" s="222"/>
      <c r="G36" s="222"/>
      <c r="H36" s="222"/>
      <c r="I36" s="222"/>
      <c r="J36" s="222"/>
      <c r="K36" s="222"/>
      <c r="L36" s="222"/>
      <c r="M36" s="222"/>
      <c r="N36" s="222"/>
      <c r="O36" s="222"/>
      <c r="P36" s="223"/>
      <c r="Q36" s="222"/>
      <c r="R36" s="222"/>
      <c r="S36" s="222"/>
      <c r="T36" s="222"/>
      <c r="U36" s="214" t="s">
        <v>1015</v>
      </c>
      <c r="V36" s="214">
        <f t="shared" ref="V36:BC36" si="27">ROUND(STDEV((IF(V33=-8888,0,V33)),(IF(V34=-8888,0,V34))),3)</f>
        <v>4.4999999999999998E-2</v>
      </c>
      <c r="W36" s="214">
        <f t="shared" si="27"/>
        <v>2E-3</v>
      </c>
      <c r="X36" s="214">
        <f t="shared" si="27"/>
        <v>4.0000000000000001E-3</v>
      </c>
      <c r="Y36" s="214">
        <f t="shared" si="27"/>
        <v>1E-3</v>
      </c>
      <c r="Z36" s="214">
        <f t="shared" si="27"/>
        <v>0</v>
      </c>
      <c r="AA36" s="214">
        <f t="shared" si="27"/>
        <v>0</v>
      </c>
      <c r="AB36" s="214">
        <f t="shared" si="27"/>
        <v>3.0000000000000001E-3</v>
      </c>
      <c r="AC36" s="214">
        <f t="shared" si="27"/>
        <v>1E-3</v>
      </c>
      <c r="AD36" s="214">
        <f t="shared" si="27"/>
        <v>1E-3</v>
      </c>
      <c r="AE36" s="214">
        <f t="shared" si="27"/>
        <v>0.01</v>
      </c>
      <c r="AF36" s="214">
        <f t="shared" si="27"/>
        <v>5.0000000000000001E-3</v>
      </c>
      <c r="AG36" s="214">
        <f t="shared" si="27"/>
        <v>0</v>
      </c>
      <c r="AH36" s="214">
        <f t="shared" si="27"/>
        <v>5.1999999999999998E-2</v>
      </c>
      <c r="AI36" s="214">
        <f t="shared" si="27"/>
        <v>0</v>
      </c>
      <c r="AJ36" s="214">
        <f t="shared" si="27"/>
        <v>6.0000000000000001E-3</v>
      </c>
      <c r="AK36" s="214">
        <f t="shared" si="27"/>
        <v>2E-3</v>
      </c>
      <c r="AL36" s="214">
        <f t="shared" si="27"/>
        <v>0</v>
      </c>
      <c r="AM36" s="214">
        <f t="shared" si="27"/>
        <v>6.0000000000000001E-3</v>
      </c>
      <c r="AN36" s="214">
        <f t="shared" si="27"/>
        <v>1E-3</v>
      </c>
      <c r="AO36" s="214">
        <f t="shared" si="27"/>
        <v>0</v>
      </c>
      <c r="AP36" s="214">
        <f t="shared" si="27"/>
        <v>1E-3</v>
      </c>
      <c r="AQ36" s="214">
        <f t="shared" si="27"/>
        <v>0</v>
      </c>
      <c r="AR36" s="214">
        <f t="shared" si="27"/>
        <v>1E-3</v>
      </c>
      <c r="AS36" s="214">
        <f t="shared" si="27"/>
        <v>2.1000000000000001E-2</v>
      </c>
      <c r="AT36" s="214">
        <f t="shared" si="27"/>
        <v>0</v>
      </c>
      <c r="AU36" s="214">
        <f t="shared" si="27"/>
        <v>0</v>
      </c>
      <c r="AV36" s="214">
        <f t="shared" si="27"/>
        <v>5.1999999999999998E-2</v>
      </c>
      <c r="AW36" s="214">
        <f t="shared" si="27"/>
        <v>6.0000000000000001E-3</v>
      </c>
      <c r="AX36" s="214">
        <f t="shared" si="27"/>
        <v>1.4999999999999999E-2</v>
      </c>
      <c r="AY36" s="214">
        <f t="shared" si="27"/>
        <v>6.6000000000000003E-2</v>
      </c>
      <c r="AZ36" s="214">
        <f t="shared" si="27"/>
        <v>2.1000000000000001E-2</v>
      </c>
      <c r="BA36" s="214">
        <f t="shared" si="27"/>
        <v>2.7E-2</v>
      </c>
      <c r="BB36" s="214">
        <f t="shared" si="27"/>
        <v>7.1999999999999995E-2</v>
      </c>
      <c r="BC36" s="214">
        <f t="shared" si="27"/>
        <v>0.02</v>
      </c>
      <c r="BD36" s="213">
        <f>ROUND(STDEV((IF(BD33=-8888,0,BD33)),(IF(BD34=-8888,0,BD34))),2)</f>
        <v>0.01</v>
      </c>
      <c r="BE36" s="213">
        <f t="shared" ref="BE36:BJ36" si="28">ROUND(STDEV((IF(BE33=-8888,0,BE33)),(IF(BE34=-8888,0,BE34))),2)</f>
        <v>0.01</v>
      </c>
      <c r="BF36" s="213">
        <f t="shared" si="28"/>
        <v>0.01</v>
      </c>
      <c r="BG36" s="213">
        <f t="shared" si="28"/>
        <v>0.01</v>
      </c>
      <c r="BH36" s="213">
        <f t="shared" si="28"/>
        <v>0.01</v>
      </c>
      <c r="BI36" s="213">
        <f t="shared" si="28"/>
        <v>0.01</v>
      </c>
      <c r="BJ36" s="213">
        <f t="shared" si="28"/>
        <v>0</v>
      </c>
      <c r="BK36" s="215"/>
      <c r="BL36" s="215"/>
    </row>
    <row r="37" spans="1:64">
      <c r="A37" s="216"/>
      <c r="B37" s="224"/>
      <c r="C37" s="224"/>
      <c r="D37" s="224"/>
      <c r="E37" s="224"/>
      <c r="F37" s="224"/>
      <c r="G37" s="224"/>
      <c r="H37" s="224"/>
      <c r="I37" s="224"/>
      <c r="J37" s="224"/>
      <c r="K37" s="224"/>
      <c r="L37" s="224"/>
      <c r="M37" s="224"/>
      <c r="N37" s="224"/>
      <c r="O37" s="224"/>
      <c r="P37" s="225"/>
      <c r="Q37" s="224"/>
      <c r="R37" s="224"/>
      <c r="S37" s="224"/>
      <c r="T37" s="224"/>
      <c r="U37" s="217" t="s">
        <v>148</v>
      </c>
      <c r="V37" s="218">
        <f>IF((V35=0),"N/A",ROUND((V36/V35),4))</f>
        <v>5.0299999999999997E-2</v>
      </c>
      <c r="W37" s="218">
        <f t="shared" ref="W37:BJ37" si="29">IF((W35=0),"N/A",ROUND((W36/W35),4))</f>
        <v>9.5200000000000007E-2</v>
      </c>
      <c r="X37" s="218">
        <f t="shared" si="29"/>
        <v>1.67E-2</v>
      </c>
      <c r="Y37" s="218">
        <f t="shared" si="29"/>
        <v>2.7799999999999998E-2</v>
      </c>
      <c r="Z37" s="218" t="str">
        <f t="shared" si="29"/>
        <v>N/A</v>
      </c>
      <c r="AA37" s="218">
        <f t="shared" si="29"/>
        <v>0</v>
      </c>
      <c r="AB37" s="218">
        <f t="shared" si="29"/>
        <v>0.23080000000000001</v>
      </c>
      <c r="AC37" s="218">
        <f t="shared" si="29"/>
        <v>3.0300000000000001E-2</v>
      </c>
      <c r="AD37" s="218">
        <f t="shared" si="29"/>
        <v>0.5</v>
      </c>
      <c r="AE37" s="218">
        <f t="shared" si="29"/>
        <v>2.3900000000000001E-2</v>
      </c>
      <c r="AF37" s="218">
        <f t="shared" si="29"/>
        <v>0.33329999999999999</v>
      </c>
      <c r="AG37" s="218">
        <f t="shared" si="29"/>
        <v>0</v>
      </c>
      <c r="AH37" s="218">
        <f t="shared" si="29"/>
        <v>7.7799999999999994E-2</v>
      </c>
      <c r="AI37" s="218" t="str">
        <f t="shared" si="29"/>
        <v>N/A</v>
      </c>
      <c r="AJ37" s="218">
        <f t="shared" si="29"/>
        <v>2.63E-2</v>
      </c>
      <c r="AK37" s="218">
        <f t="shared" si="29"/>
        <v>9.5200000000000007E-2</v>
      </c>
      <c r="AL37" s="218" t="str">
        <f t="shared" si="29"/>
        <v>N/A</v>
      </c>
      <c r="AM37" s="218">
        <f t="shared" si="29"/>
        <v>3.09E-2</v>
      </c>
      <c r="AN37" s="218">
        <f t="shared" si="29"/>
        <v>2.1700000000000001E-2</v>
      </c>
      <c r="AO37" s="218" t="str">
        <f t="shared" si="29"/>
        <v>N/A</v>
      </c>
      <c r="AP37" s="218">
        <f t="shared" si="29"/>
        <v>0.33329999999999999</v>
      </c>
      <c r="AQ37" s="218">
        <f t="shared" si="29"/>
        <v>0</v>
      </c>
      <c r="AR37" s="218">
        <f t="shared" si="29"/>
        <v>6.25E-2</v>
      </c>
      <c r="AS37" s="218">
        <f t="shared" si="29"/>
        <v>6.7699999999999996E-2</v>
      </c>
      <c r="AT37" s="218" t="str">
        <f t="shared" si="29"/>
        <v>N/A</v>
      </c>
      <c r="AU37" s="218" t="str">
        <f t="shared" si="29"/>
        <v>N/A</v>
      </c>
      <c r="AV37" s="218">
        <f t="shared" si="29"/>
        <v>4.4999999999999998E-2</v>
      </c>
      <c r="AW37" s="218">
        <f t="shared" si="29"/>
        <v>6.3799999999999996E-2</v>
      </c>
      <c r="AX37" s="218">
        <f t="shared" si="29"/>
        <v>3.39E-2</v>
      </c>
      <c r="AY37" s="218">
        <f t="shared" si="29"/>
        <v>4.1300000000000003E-2</v>
      </c>
      <c r="AZ37" s="218">
        <f t="shared" si="29"/>
        <v>3.9199999999999999E-2</v>
      </c>
      <c r="BA37" s="218">
        <f t="shared" si="29"/>
        <v>3.39E-2</v>
      </c>
      <c r="BB37" s="218">
        <f t="shared" si="29"/>
        <v>4.2599999999999999E-2</v>
      </c>
      <c r="BC37" s="218">
        <f t="shared" si="29"/>
        <v>4.1200000000000001E-2</v>
      </c>
      <c r="BD37" s="218">
        <f t="shared" si="29"/>
        <v>1.12E-2</v>
      </c>
      <c r="BE37" s="218">
        <f t="shared" si="29"/>
        <v>1.2E-2</v>
      </c>
      <c r="BF37" s="218">
        <f t="shared" si="29"/>
        <v>5.5599999999999997E-2</v>
      </c>
      <c r="BG37" s="218">
        <f t="shared" si="29"/>
        <v>4.5999999999999999E-3</v>
      </c>
      <c r="BH37" s="218">
        <f t="shared" si="29"/>
        <v>0.16669999999999999</v>
      </c>
      <c r="BI37" s="218">
        <f t="shared" si="29"/>
        <v>1.0500000000000001E-2</v>
      </c>
      <c r="BJ37" s="218">
        <f t="shared" si="29"/>
        <v>0</v>
      </c>
      <c r="BK37" s="219">
        <f>V37</f>
        <v>5.0299999999999997E-2</v>
      </c>
      <c r="BL37" s="219">
        <f>AVERAGE(V37:AG37)</f>
        <v>0.11893636363636363</v>
      </c>
    </row>
    <row r="38" spans="1:64">
      <c r="A38" s="243" t="s">
        <v>349</v>
      </c>
      <c r="B38" s="165" t="s">
        <v>511</v>
      </c>
      <c r="C38" s="165" t="s">
        <v>664</v>
      </c>
      <c r="D38" s="165" t="s">
        <v>647</v>
      </c>
      <c r="E38" s="165" t="s">
        <v>173</v>
      </c>
      <c r="F38" s="165">
        <v>547</v>
      </c>
      <c r="G38" s="165">
        <v>7</v>
      </c>
      <c r="H38" s="165">
        <v>6</v>
      </c>
      <c r="I38" s="165">
        <v>42.2</v>
      </c>
      <c r="J38" s="165">
        <v>76</v>
      </c>
      <c r="K38" s="166" t="s">
        <v>514</v>
      </c>
      <c r="L38" s="165">
        <v>2024</v>
      </c>
      <c r="M38" s="165" t="s">
        <v>648</v>
      </c>
      <c r="N38" s="165">
        <v>7</v>
      </c>
      <c r="O38" s="181">
        <v>251</v>
      </c>
      <c r="P38" s="165" t="s">
        <v>665</v>
      </c>
      <c r="Q38" s="165">
        <v>-70.884</v>
      </c>
      <c r="R38" s="165">
        <v>40.514000000000003</v>
      </c>
      <c r="S38" s="165" t="s">
        <v>172</v>
      </c>
      <c r="T38" s="165">
        <v>25</v>
      </c>
      <c r="U38" s="166" t="s">
        <v>516</v>
      </c>
      <c r="V38" s="244">
        <v>1.093</v>
      </c>
      <c r="W38" s="244">
        <v>0.31900000000000001</v>
      </c>
      <c r="X38" s="244">
        <v>0.23299999999999998</v>
      </c>
      <c r="Y38" s="244">
        <v>0.10100000000000001</v>
      </c>
      <c r="Z38" s="244">
        <v>4.2000000000000003E-2</v>
      </c>
      <c r="AA38" s="244">
        <v>0.20699999999999999</v>
      </c>
      <c r="AB38" s="244">
        <v>3.5999999999999997E-2</v>
      </c>
      <c r="AC38" s="244">
        <v>2.4E-2</v>
      </c>
      <c r="AD38" s="244">
        <v>-8888</v>
      </c>
      <c r="AE38" s="244">
        <v>7.5999999999999998E-2</v>
      </c>
      <c r="AF38" s="244">
        <v>6.0999999999999999E-2</v>
      </c>
      <c r="AG38" s="244">
        <v>0.113</v>
      </c>
      <c r="AH38" s="244">
        <v>0.92600000000000005</v>
      </c>
      <c r="AI38" s="244">
        <v>0.158</v>
      </c>
      <c r="AJ38" s="244">
        <v>8.9999999999999993E-3</v>
      </c>
      <c r="AK38" s="244">
        <v>0.24</v>
      </c>
      <c r="AL38" s="244">
        <v>7.9000000000000001E-2</v>
      </c>
      <c r="AM38" s="244">
        <v>0.127</v>
      </c>
      <c r="AN38" s="244">
        <v>0.106</v>
      </c>
      <c r="AO38" s="244">
        <v>-8888</v>
      </c>
      <c r="AP38" s="244">
        <v>2.4E-2</v>
      </c>
      <c r="AQ38" s="244">
        <v>8.0000000000000002E-3</v>
      </c>
      <c r="AR38" s="244">
        <v>1.4E-2</v>
      </c>
      <c r="AS38" s="244">
        <v>1.9E-2</v>
      </c>
      <c r="AT38" s="244">
        <v>2.7E-2</v>
      </c>
      <c r="AU38" s="244">
        <v>-8888</v>
      </c>
      <c r="AV38" s="244">
        <v>1.645</v>
      </c>
      <c r="AW38" s="244">
        <v>0.27400000000000002</v>
      </c>
      <c r="AX38" s="244">
        <v>0.38599999999999995</v>
      </c>
      <c r="AY38" s="244">
        <v>2.0310000000000001</v>
      </c>
      <c r="AZ38" s="244">
        <v>0.65999999999999992</v>
      </c>
      <c r="BA38" s="244">
        <v>1.2119999999999997</v>
      </c>
      <c r="BB38" s="244">
        <v>2.3049999999999997</v>
      </c>
      <c r="BC38" s="244">
        <v>0.85399999999999987</v>
      </c>
      <c r="BD38" s="245">
        <v>1.1100000000000001</v>
      </c>
      <c r="BE38" s="245">
        <v>0.57999999999999996</v>
      </c>
      <c r="BF38" s="245">
        <v>0.42</v>
      </c>
      <c r="BG38" s="245">
        <v>2.4900000000000002</v>
      </c>
      <c r="BH38" s="245">
        <v>0.12</v>
      </c>
      <c r="BI38" s="245">
        <v>0.88</v>
      </c>
      <c r="BJ38" s="245">
        <v>0.47</v>
      </c>
      <c r="BK38" s="242"/>
      <c r="BL38" s="242"/>
    </row>
    <row r="39" spans="1:64">
      <c r="A39" s="243" t="s">
        <v>350</v>
      </c>
      <c r="B39" s="165" t="s">
        <v>511</v>
      </c>
      <c r="C39" s="165" t="s">
        <v>666</v>
      </c>
      <c r="D39" s="165" t="s">
        <v>647</v>
      </c>
      <c r="E39" s="165" t="s">
        <v>173</v>
      </c>
      <c r="F39" s="165">
        <v>547</v>
      </c>
      <c r="G39" s="165">
        <v>7</v>
      </c>
      <c r="H39" s="165">
        <v>6</v>
      </c>
      <c r="I39" s="165">
        <v>42.2</v>
      </c>
      <c r="J39" s="165">
        <v>76</v>
      </c>
      <c r="K39" s="166" t="s">
        <v>514</v>
      </c>
      <c r="L39" s="165">
        <v>2024</v>
      </c>
      <c r="M39" s="165" t="s">
        <v>648</v>
      </c>
      <c r="N39" s="165">
        <v>7</v>
      </c>
      <c r="O39" s="181">
        <v>251</v>
      </c>
      <c r="P39" s="165" t="s">
        <v>665</v>
      </c>
      <c r="Q39" s="165">
        <v>-70.884</v>
      </c>
      <c r="R39" s="165">
        <v>40.514000000000003</v>
      </c>
      <c r="S39" s="165" t="s">
        <v>172</v>
      </c>
      <c r="T39" s="165">
        <v>25</v>
      </c>
      <c r="U39" s="166" t="s">
        <v>516</v>
      </c>
      <c r="V39" s="244">
        <v>1.081</v>
      </c>
      <c r="W39" s="244">
        <v>0.32200000000000001</v>
      </c>
      <c r="X39" s="244">
        <v>0.22799999999999998</v>
      </c>
      <c r="Y39" s="244">
        <v>0.10100000000000001</v>
      </c>
      <c r="Z39" s="244">
        <v>0.04</v>
      </c>
      <c r="AA39" s="244">
        <v>0.20200000000000001</v>
      </c>
      <c r="AB39" s="244">
        <v>3.5999999999999997E-2</v>
      </c>
      <c r="AC39" s="244">
        <v>2.3E-2</v>
      </c>
      <c r="AD39" s="244">
        <v>-8888</v>
      </c>
      <c r="AE39" s="244">
        <v>7.4999999999999997E-2</v>
      </c>
      <c r="AF39" s="244">
        <v>0.06</v>
      </c>
      <c r="AG39" s="244">
        <v>0.113</v>
      </c>
      <c r="AH39" s="244">
        <v>0.91300000000000003</v>
      </c>
      <c r="AI39" s="244">
        <v>0.159</v>
      </c>
      <c r="AJ39" s="244">
        <v>8.9999999999999993E-3</v>
      </c>
      <c r="AK39" s="244">
        <v>0.24099999999999999</v>
      </c>
      <c r="AL39" s="244">
        <v>8.1000000000000003E-2</v>
      </c>
      <c r="AM39" s="244">
        <v>0.125</v>
      </c>
      <c r="AN39" s="244">
        <v>0.10299999999999999</v>
      </c>
      <c r="AO39" s="244">
        <v>-8888</v>
      </c>
      <c r="AP39" s="244">
        <v>2.4E-2</v>
      </c>
      <c r="AQ39" s="244">
        <v>8.0000000000000002E-3</v>
      </c>
      <c r="AR39" s="244">
        <v>1.4E-2</v>
      </c>
      <c r="AS39" s="244">
        <v>1.7000000000000001E-2</v>
      </c>
      <c r="AT39" s="244">
        <v>2.5999999999999999E-2</v>
      </c>
      <c r="AU39" s="244">
        <v>-8888</v>
      </c>
      <c r="AV39" s="244">
        <v>1.631</v>
      </c>
      <c r="AW39" s="244">
        <v>0.27300000000000002</v>
      </c>
      <c r="AX39" s="244">
        <v>0.377</v>
      </c>
      <c r="AY39" s="244">
        <v>2.008</v>
      </c>
      <c r="AZ39" s="244">
        <v>0.65</v>
      </c>
      <c r="BA39" s="244">
        <v>1.2</v>
      </c>
      <c r="BB39" s="244">
        <v>2.2809999999999997</v>
      </c>
      <c r="BC39" s="244">
        <v>0.84799999999999998</v>
      </c>
      <c r="BD39" s="245">
        <v>1.1100000000000001</v>
      </c>
      <c r="BE39" s="245">
        <v>0.57999999999999996</v>
      </c>
      <c r="BF39" s="245">
        <v>0.42</v>
      </c>
      <c r="BG39" s="245">
        <v>2.5099999999999998</v>
      </c>
      <c r="BH39" s="245">
        <v>0.12</v>
      </c>
      <c r="BI39" s="245">
        <v>0.88</v>
      </c>
      <c r="BJ39" s="245">
        <v>0.47</v>
      </c>
      <c r="BK39" s="242"/>
      <c r="BL39" s="242"/>
    </row>
    <row r="40" spans="1:64">
      <c r="A40" s="210"/>
      <c r="B40" s="220"/>
      <c r="C40" s="220"/>
      <c r="D40" s="220"/>
      <c r="E40" s="220"/>
      <c r="F40" s="220"/>
      <c r="G40" s="220"/>
      <c r="H40" s="220"/>
      <c r="I40" s="220"/>
      <c r="J40" s="220"/>
      <c r="K40" s="220"/>
      <c r="L40" s="220"/>
      <c r="M40" s="220"/>
      <c r="N40" s="220"/>
      <c r="O40" s="220"/>
      <c r="P40" s="221"/>
      <c r="Q40" s="220"/>
      <c r="R40" s="220"/>
      <c r="S40" s="220"/>
      <c r="T40" s="220"/>
      <c r="U40" s="210" t="s">
        <v>22</v>
      </c>
      <c r="V40" s="210">
        <f t="shared" ref="V40:BC40" si="30">ROUND(AVERAGE((IF(V38=-8888,0,V38)),(IF(V39=-8888,0,V39))),3)</f>
        <v>1.087</v>
      </c>
      <c r="W40" s="210">
        <f t="shared" si="30"/>
        <v>0.32100000000000001</v>
      </c>
      <c r="X40" s="210">
        <f t="shared" si="30"/>
        <v>0.23100000000000001</v>
      </c>
      <c r="Y40" s="210">
        <f t="shared" si="30"/>
        <v>0.10100000000000001</v>
      </c>
      <c r="Z40" s="210">
        <f t="shared" si="30"/>
        <v>4.1000000000000002E-2</v>
      </c>
      <c r="AA40" s="210">
        <f t="shared" si="30"/>
        <v>0.20499999999999999</v>
      </c>
      <c r="AB40" s="210">
        <f t="shared" si="30"/>
        <v>3.5999999999999997E-2</v>
      </c>
      <c r="AC40" s="210">
        <f t="shared" si="30"/>
        <v>2.4E-2</v>
      </c>
      <c r="AD40" s="210">
        <f t="shared" si="30"/>
        <v>0</v>
      </c>
      <c r="AE40" s="210">
        <f t="shared" si="30"/>
        <v>7.5999999999999998E-2</v>
      </c>
      <c r="AF40" s="210">
        <f t="shared" si="30"/>
        <v>6.0999999999999999E-2</v>
      </c>
      <c r="AG40" s="210">
        <f t="shared" si="30"/>
        <v>0.113</v>
      </c>
      <c r="AH40" s="210">
        <f t="shared" si="30"/>
        <v>0.92</v>
      </c>
      <c r="AI40" s="210">
        <f t="shared" si="30"/>
        <v>0.159</v>
      </c>
      <c r="AJ40" s="210">
        <f t="shared" si="30"/>
        <v>8.9999999999999993E-3</v>
      </c>
      <c r="AK40" s="210">
        <f t="shared" si="30"/>
        <v>0.24099999999999999</v>
      </c>
      <c r="AL40" s="210">
        <f t="shared" si="30"/>
        <v>0.08</v>
      </c>
      <c r="AM40" s="210">
        <f t="shared" si="30"/>
        <v>0.126</v>
      </c>
      <c r="AN40" s="210">
        <f t="shared" si="30"/>
        <v>0.105</v>
      </c>
      <c r="AO40" s="210">
        <f t="shared" si="30"/>
        <v>0</v>
      </c>
      <c r="AP40" s="210">
        <f t="shared" si="30"/>
        <v>2.4E-2</v>
      </c>
      <c r="AQ40" s="210">
        <f t="shared" si="30"/>
        <v>8.0000000000000002E-3</v>
      </c>
      <c r="AR40" s="210">
        <f t="shared" si="30"/>
        <v>1.4E-2</v>
      </c>
      <c r="AS40" s="210">
        <f t="shared" si="30"/>
        <v>1.7999999999999999E-2</v>
      </c>
      <c r="AT40" s="210">
        <f t="shared" si="30"/>
        <v>2.7E-2</v>
      </c>
      <c r="AU40" s="210">
        <f t="shared" si="30"/>
        <v>0</v>
      </c>
      <c r="AV40" s="210">
        <f t="shared" si="30"/>
        <v>1.6379999999999999</v>
      </c>
      <c r="AW40" s="210">
        <f t="shared" si="30"/>
        <v>0.27400000000000002</v>
      </c>
      <c r="AX40" s="210">
        <f t="shared" si="30"/>
        <v>0.38200000000000001</v>
      </c>
      <c r="AY40" s="210">
        <f t="shared" si="30"/>
        <v>2.02</v>
      </c>
      <c r="AZ40" s="210">
        <f t="shared" si="30"/>
        <v>0.65500000000000003</v>
      </c>
      <c r="BA40" s="210">
        <f t="shared" si="30"/>
        <v>1.206</v>
      </c>
      <c r="BB40" s="210">
        <f t="shared" si="30"/>
        <v>2.2930000000000001</v>
      </c>
      <c r="BC40" s="210">
        <f t="shared" si="30"/>
        <v>0.85099999999999998</v>
      </c>
      <c r="BD40" s="209">
        <f>ROUND(AVERAGE((IF(BD38=-8888,0,BD38)),(IF(BD39=-8888,0,BD39))),2)</f>
        <v>1.1100000000000001</v>
      </c>
      <c r="BE40" s="209">
        <f t="shared" ref="BE40:BJ40" si="31">ROUND(AVERAGE((IF(BE38=-8888,0,BE38)),(IF(BE39=-8888,0,BE39))),2)</f>
        <v>0.57999999999999996</v>
      </c>
      <c r="BF40" s="209">
        <f t="shared" si="31"/>
        <v>0.42</v>
      </c>
      <c r="BG40" s="209">
        <f t="shared" si="31"/>
        <v>2.5</v>
      </c>
      <c r="BH40" s="209">
        <f t="shared" si="31"/>
        <v>0.12</v>
      </c>
      <c r="BI40" s="209">
        <f t="shared" si="31"/>
        <v>0.88</v>
      </c>
      <c r="BJ40" s="209">
        <f t="shared" si="31"/>
        <v>0.47</v>
      </c>
      <c r="BK40" s="211"/>
      <c r="BL40" s="211"/>
    </row>
    <row r="41" spans="1:64">
      <c r="A41" s="214"/>
      <c r="B41" s="222"/>
      <c r="C41" s="222"/>
      <c r="D41" s="222"/>
      <c r="E41" s="222"/>
      <c r="F41" s="222"/>
      <c r="G41" s="222"/>
      <c r="H41" s="222"/>
      <c r="I41" s="222"/>
      <c r="J41" s="222"/>
      <c r="K41" s="222"/>
      <c r="L41" s="222"/>
      <c r="M41" s="222"/>
      <c r="N41" s="222"/>
      <c r="O41" s="222"/>
      <c r="P41" s="223"/>
      <c r="Q41" s="222"/>
      <c r="R41" s="222"/>
      <c r="S41" s="222"/>
      <c r="T41" s="222"/>
      <c r="U41" s="214" t="s">
        <v>1015</v>
      </c>
      <c r="V41" s="214">
        <f t="shared" ref="V41:BC41" si="32">ROUND(STDEV((IF(V38=-8888,0,V38)),(IF(V39=-8888,0,V39))),3)</f>
        <v>8.0000000000000002E-3</v>
      </c>
      <c r="W41" s="214">
        <f t="shared" si="32"/>
        <v>2E-3</v>
      </c>
      <c r="X41" s="214">
        <f t="shared" si="32"/>
        <v>4.0000000000000001E-3</v>
      </c>
      <c r="Y41" s="214">
        <f t="shared" si="32"/>
        <v>0</v>
      </c>
      <c r="Z41" s="214">
        <f t="shared" si="32"/>
        <v>1E-3</v>
      </c>
      <c r="AA41" s="214">
        <f t="shared" si="32"/>
        <v>4.0000000000000001E-3</v>
      </c>
      <c r="AB41" s="214">
        <f t="shared" si="32"/>
        <v>0</v>
      </c>
      <c r="AC41" s="214">
        <f t="shared" si="32"/>
        <v>1E-3</v>
      </c>
      <c r="AD41" s="214">
        <f t="shared" si="32"/>
        <v>0</v>
      </c>
      <c r="AE41" s="214">
        <f t="shared" si="32"/>
        <v>1E-3</v>
      </c>
      <c r="AF41" s="214">
        <f t="shared" si="32"/>
        <v>1E-3</v>
      </c>
      <c r="AG41" s="214">
        <f t="shared" si="32"/>
        <v>0</v>
      </c>
      <c r="AH41" s="214">
        <f t="shared" si="32"/>
        <v>8.9999999999999993E-3</v>
      </c>
      <c r="AI41" s="214">
        <f t="shared" si="32"/>
        <v>1E-3</v>
      </c>
      <c r="AJ41" s="214">
        <f t="shared" si="32"/>
        <v>0</v>
      </c>
      <c r="AK41" s="214">
        <f t="shared" si="32"/>
        <v>1E-3</v>
      </c>
      <c r="AL41" s="214">
        <f t="shared" si="32"/>
        <v>1E-3</v>
      </c>
      <c r="AM41" s="214">
        <f t="shared" si="32"/>
        <v>1E-3</v>
      </c>
      <c r="AN41" s="214">
        <f t="shared" si="32"/>
        <v>2E-3</v>
      </c>
      <c r="AO41" s="214">
        <f t="shared" si="32"/>
        <v>0</v>
      </c>
      <c r="AP41" s="214">
        <f t="shared" si="32"/>
        <v>0</v>
      </c>
      <c r="AQ41" s="214">
        <f t="shared" si="32"/>
        <v>0</v>
      </c>
      <c r="AR41" s="214">
        <f t="shared" si="32"/>
        <v>0</v>
      </c>
      <c r="AS41" s="214">
        <f t="shared" si="32"/>
        <v>1E-3</v>
      </c>
      <c r="AT41" s="214">
        <f t="shared" si="32"/>
        <v>1E-3</v>
      </c>
      <c r="AU41" s="214">
        <f t="shared" si="32"/>
        <v>0</v>
      </c>
      <c r="AV41" s="214">
        <f t="shared" si="32"/>
        <v>0.01</v>
      </c>
      <c r="AW41" s="214">
        <f t="shared" si="32"/>
        <v>1E-3</v>
      </c>
      <c r="AX41" s="214">
        <f t="shared" si="32"/>
        <v>6.0000000000000001E-3</v>
      </c>
      <c r="AY41" s="214">
        <f t="shared" si="32"/>
        <v>1.6E-2</v>
      </c>
      <c r="AZ41" s="214">
        <f t="shared" si="32"/>
        <v>7.0000000000000001E-3</v>
      </c>
      <c r="BA41" s="214">
        <f t="shared" si="32"/>
        <v>8.0000000000000002E-3</v>
      </c>
      <c r="BB41" s="214">
        <f t="shared" si="32"/>
        <v>1.7000000000000001E-2</v>
      </c>
      <c r="BC41" s="214">
        <f t="shared" si="32"/>
        <v>4.0000000000000001E-3</v>
      </c>
      <c r="BD41" s="213">
        <f>ROUND(STDEV((IF(BD38=-8888,0,BD38)),(IF(BD39=-8888,0,BD39))),2)</f>
        <v>0</v>
      </c>
      <c r="BE41" s="213">
        <f t="shared" ref="BE41:BJ41" si="33">ROUND(STDEV((IF(BE38=-8888,0,BE38)),(IF(BE39=-8888,0,BE39))),2)</f>
        <v>0</v>
      </c>
      <c r="BF41" s="213">
        <f t="shared" si="33"/>
        <v>0</v>
      </c>
      <c r="BG41" s="213">
        <f t="shared" si="33"/>
        <v>0.01</v>
      </c>
      <c r="BH41" s="213">
        <f t="shared" si="33"/>
        <v>0</v>
      </c>
      <c r="BI41" s="213">
        <f t="shared" si="33"/>
        <v>0</v>
      </c>
      <c r="BJ41" s="213">
        <f t="shared" si="33"/>
        <v>0</v>
      </c>
      <c r="BK41" s="215"/>
      <c r="BL41" s="215"/>
    </row>
    <row r="42" spans="1:64">
      <c r="A42" s="216"/>
      <c r="B42" s="224"/>
      <c r="C42" s="224"/>
      <c r="D42" s="224"/>
      <c r="E42" s="224"/>
      <c r="F42" s="224"/>
      <c r="G42" s="224"/>
      <c r="H42" s="224"/>
      <c r="I42" s="224"/>
      <c r="J42" s="224"/>
      <c r="K42" s="224"/>
      <c r="L42" s="224"/>
      <c r="M42" s="224"/>
      <c r="N42" s="224"/>
      <c r="O42" s="224"/>
      <c r="P42" s="225"/>
      <c r="Q42" s="224"/>
      <c r="R42" s="224"/>
      <c r="S42" s="224"/>
      <c r="T42" s="224"/>
      <c r="U42" s="217" t="s">
        <v>148</v>
      </c>
      <c r="V42" s="218">
        <f>IF((V40=0),"N/A",ROUND((V41/V40),4))</f>
        <v>7.4000000000000003E-3</v>
      </c>
      <c r="W42" s="218">
        <f t="shared" ref="W42:BJ42" si="34">IF((W40=0),"N/A",ROUND((W41/W40),4))</f>
        <v>6.1999999999999998E-3</v>
      </c>
      <c r="X42" s="218">
        <f t="shared" si="34"/>
        <v>1.7299999999999999E-2</v>
      </c>
      <c r="Y42" s="218">
        <f t="shared" si="34"/>
        <v>0</v>
      </c>
      <c r="Z42" s="218">
        <f t="shared" si="34"/>
        <v>2.4400000000000002E-2</v>
      </c>
      <c r="AA42" s="218">
        <f t="shared" si="34"/>
        <v>1.95E-2</v>
      </c>
      <c r="AB42" s="218">
        <f t="shared" si="34"/>
        <v>0</v>
      </c>
      <c r="AC42" s="218">
        <f t="shared" si="34"/>
        <v>4.1700000000000001E-2</v>
      </c>
      <c r="AD42" s="218" t="str">
        <f t="shared" si="34"/>
        <v>N/A</v>
      </c>
      <c r="AE42" s="218">
        <f t="shared" si="34"/>
        <v>1.32E-2</v>
      </c>
      <c r="AF42" s="218">
        <f t="shared" si="34"/>
        <v>1.6400000000000001E-2</v>
      </c>
      <c r="AG42" s="218">
        <f t="shared" si="34"/>
        <v>0</v>
      </c>
      <c r="AH42" s="218">
        <f t="shared" si="34"/>
        <v>9.7999999999999997E-3</v>
      </c>
      <c r="AI42" s="218">
        <f t="shared" si="34"/>
        <v>6.3E-3</v>
      </c>
      <c r="AJ42" s="218">
        <f t="shared" si="34"/>
        <v>0</v>
      </c>
      <c r="AK42" s="218">
        <f t="shared" si="34"/>
        <v>4.1000000000000003E-3</v>
      </c>
      <c r="AL42" s="218">
        <f t="shared" si="34"/>
        <v>1.2500000000000001E-2</v>
      </c>
      <c r="AM42" s="218">
        <f t="shared" si="34"/>
        <v>7.9000000000000008E-3</v>
      </c>
      <c r="AN42" s="218">
        <f t="shared" si="34"/>
        <v>1.9E-2</v>
      </c>
      <c r="AO42" s="218" t="str">
        <f t="shared" si="34"/>
        <v>N/A</v>
      </c>
      <c r="AP42" s="218">
        <f t="shared" si="34"/>
        <v>0</v>
      </c>
      <c r="AQ42" s="218">
        <f t="shared" si="34"/>
        <v>0</v>
      </c>
      <c r="AR42" s="218">
        <f t="shared" si="34"/>
        <v>0</v>
      </c>
      <c r="AS42" s="218">
        <f t="shared" si="34"/>
        <v>5.5599999999999997E-2</v>
      </c>
      <c r="AT42" s="218">
        <f t="shared" si="34"/>
        <v>3.6999999999999998E-2</v>
      </c>
      <c r="AU42" s="218" t="str">
        <f t="shared" si="34"/>
        <v>N/A</v>
      </c>
      <c r="AV42" s="218">
        <f t="shared" si="34"/>
        <v>6.1000000000000004E-3</v>
      </c>
      <c r="AW42" s="218">
        <f t="shared" si="34"/>
        <v>3.5999999999999999E-3</v>
      </c>
      <c r="AX42" s="218">
        <f t="shared" si="34"/>
        <v>1.5699999999999999E-2</v>
      </c>
      <c r="AY42" s="218">
        <f t="shared" si="34"/>
        <v>7.9000000000000008E-3</v>
      </c>
      <c r="AZ42" s="218">
        <f t="shared" si="34"/>
        <v>1.0699999999999999E-2</v>
      </c>
      <c r="BA42" s="218">
        <f t="shared" si="34"/>
        <v>6.6E-3</v>
      </c>
      <c r="BB42" s="218">
        <f t="shared" si="34"/>
        <v>7.4000000000000003E-3</v>
      </c>
      <c r="BC42" s="218">
        <f t="shared" si="34"/>
        <v>4.7000000000000002E-3</v>
      </c>
      <c r="BD42" s="218">
        <f t="shared" si="34"/>
        <v>0</v>
      </c>
      <c r="BE42" s="218">
        <f t="shared" si="34"/>
        <v>0</v>
      </c>
      <c r="BF42" s="218">
        <f t="shared" si="34"/>
        <v>0</v>
      </c>
      <c r="BG42" s="218">
        <f t="shared" si="34"/>
        <v>4.0000000000000001E-3</v>
      </c>
      <c r="BH42" s="218">
        <f t="shared" si="34"/>
        <v>0</v>
      </c>
      <c r="BI42" s="218">
        <f t="shared" si="34"/>
        <v>0</v>
      </c>
      <c r="BJ42" s="218">
        <f t="shared" si="34"/>
        <v>0</v>
      </c>
      <c r="BK42" s="219">
        <f>V42</f>
        <v>7.4000000000000003E-3</v>
      </c>
      <c r="BL42" s="219">
        <f>AVERAGE(V42:AG42)</f>
        <v>1.3281818181818183E-2</v>
      </c>
    </row>
    <row r="43" spans="1:64">
      <c r="A43" s="243" t="s">
        <v>359</v>
      </c>
      <c r="B43" s="165" t="s">
        <v>511</v>
      </c>
      <c r="C43" s="165" t="s">
        <v>690</v>
      </c>
      <c r="D43" s="165" t="s">
        <v>647</v>
      </c>
      <c r="E43" s="165" t="s">
        <v>173</v>
      </c>
      <c r="F43" s="165">
        <v>547</v>
      </c>
      <c r="G43" s="165">
        <v>15</v>
      </c>
      <c r="H43" s="165">
        <v>11</v>
      </c>
      <c r="I43" s="165">
        <v>24.6</v>
      </c>
      <c r="J43" s="165">
        <v>137</v>
      </c>
      <c r="K43" s="166" t="s">
        <v>514</v>
      </c>
      <c r="L43" s="165">
        <v>2024</v>
      </c>
      <c r="M43" s="165" t="s">
        <v>648</v>
      </c>
      <c r="N43" s="165">
        <v>9</v>
      </c>
      <c r="O43" s="181">
        <v>253</v>
      </c>
      <c r="P43" s="165" t="s">
        <v>659</v>
      </c>
      <c r="Q43" s="165">
        <v>-70.884</v>
      </c>
      <c r="R43" s="165">
        <v>40.15</v>
      </c>
      <c r="S43" s="165" t="s">
        <v>172</v>
      </c>
      <c r="T43" s="165">
        <v>25</v>
      </c>
      <c r="U43" s="166" t="s">
        <v>516</v>
      </c>
      <c r="V43" s="244">
        <v>1.863</v>
      </c>
      <c r="W43" s="244">
        <v>0.35299999999999998</v>
      </c>
      <c r="X43" s="244">
        <v>0.47699999999999998</v>
      </c>
      <c r="Y43" s="244">
        <v>9.6000000000000002E-2</v>
      </c>
      <c r="Z43" s="244">
        <v>7.2999999999999995E-2</v>
      </c>
      <c r="AA43" s="244">
        <v>0.49399999999999999</v>
      </c>
      <c r="AB43" s="244">
        <v>4.8000000000000001E-2</v>
      </c>
      <c r="AC43" s="244">
        <v>6.4000000000000001E-2</v>
      </c>
      <c r="AD43" s="244">
        <v>-8888</v>
      </c>
      <c r="AE43" s="244">
        <v>0.27500000000000002</v>
      </c>
      <c r="AF43" s="244">
        <v>7.1999999999999995E-2</v>
      </c>
      <c r="AG43" s="244">
        <v>5.8999999999999997E-2</v>
      </c>
      <c r="AH43" s="244">
        <v>1.853</v>
      </c>
      <c r="AI43" s="244">
        <v>-8888</v>
      </c>
      <c r="AJ43" s="244">
        <v>0.01</v>
      </c>
      <c r="AK43" s="244">
        <v>0.34699999999999998</v>
      </c>
      <c r="AL43" s="244">
        <v>6.0000000000000001E-3</v>
      </c>
      <c r="AM43" s="244">
        <v>0.23599999999999999</v>
      </c>
      <c r="AN43" s="244">
        <v>0.24099999999999999</v>
      </c>
      <c r="AO43" s="244">
        <v>7.0000000000000001E-3</v>
      </c>
      <c r="AP43" s="244">
        <v>3.5999999999999997E-2</v>
      </c>
      <c r="AQ43" s="244">
        <v>2.5000000000000001E-2</v>
      </c>
      <c r="AR43" s="244">
        <v>1.7000000000000001E-2</v>
      </c>
      <c r="AS43" s="244">
        <v>1.9E-2</v>
      </c>
      <c r="AT43" s="244">
        <v>6.8000000000000005E-2</v>
      </c>
      <c r="AU43" s="244">
        <v>-8888</v>
      </c>
      <c r="AV43" s="244">
        <v>2.6930000000000001</v>
      </c>
      <c r="AW43" s="244">
        <v>0.26700000000000002</v>
      </c>
      <c r="AX43" s="244">
        <v>0.91400000000000003</v>
      </c>
      <c r="AY43" s="244">
        <v>3.6070000000000002</v>
      </c>
      <c r="AZ43" s="244">
        <v>1.181</v>
      </c>
      <c r="BA43" s="244">
        <v>2.0110000000000001</v>
      </c>
      <c r="BB43" s="244">
        <v>3.8740000000000001</v>
      </c>
      <c r="BC43" s="244">
        <v>1.3740000000000001</v>
      </c>
      <c r="BD43" s="245">
        <v>1.08</v>
      </c>
      <c r="BE43" s="245">
        <v>0.77</v>
      </c>
      <c r="BF43" s="245">
        <v>0.23</v>
      </c>
      <c r="BG43" s="245">
        <v>2.2799999999999998</v>
      </c>
      <c r="BH43" s="245">
        <v>7.0000000000000007E-2</v>
      </c>
      <c r="BI43" s="245">
        <v>0.93</v>
      </c>
      <c r="BJ43" s="245">
        <v>0.48</v>
      </c>
      <c r="BK43" s="242"/>
      <c r="BL43" s="242"/>
    </row>
    <row r="44" spans="1:64">
      <c r="A44" s="243" t="s">
        <v>360</v>
      </c>
      <c r="B44" s="165" t="s">
        <v>511</v>
      </c>
      <c r="C44" s="165" t="s">
        <v>691</v>
      </c>
      <c r="D44" s="165" t="s">
        <v>647</v>
      </c>
      <c r="E44" s="165" t="s">
        <v>173</v>
      </c>
      <c r="F44" s="165">
        <v>547</v>
      </c>
      <c r="G44" s="165">
        <v>15</v>
      </c>
      <c r="H44" s="165">
        <v>11</v>
      </c>
      <c r="I44" s="165">
        <v>24.6</v>
      </c>
      <c r="J44" s="165">
        <v>137</v>
      </c>
      <c r="K44" s="166" t="s">
        <v>514</v>
      </c>
      <c r="L44" s="165">
        <v>2024</v>
      </c>
      <c r="M44" s="165" t="s">
        <v>648</v>
      </c>
      <c r="N44" s="165">
        <v>9</v>
      </c>
      <c r="O44" s="181">
        <v>253</v>
      </c>
      <c r="P44" s="165" t="s">
        <v>659</v>
      </c>
      <c r="Q44" s="165">
        <v>-70.884</v>
      </c>
      <c r="R44" s="165">
        <v>40.15</v>
      </c>
      <c r="S44" s="165" t="s">
        <v>172</v>
      </c>
      <c r="T44" s="165">
        <v>25</v>
      </c>
      <c r="U44" s="166" t="s">
        <v>516</v>
      </c>
      <c r="V44" s="244">
        <v>2.0129999999999999</v>
      </c>
      <c r="W44" s="244">
        <v>0.36599999999999999</v>
      </c>
      <c r="X44" s="244">
        <v>0.54200000000000004</v>
      </c>
      <c r="Y44" s="244">
        <v>9.9000000000000005E-2</v>
      </c>
      <c r="Z44" s="244">
        <v>7.8E-2</v>
      </c>
      <c r="AA44" s="244">
        <v>0.60399999999999998</v>
      </c>
      <c r="AB44" s="244">
        <v>5.1999999999999998E-2</v>
      </c>
      <c r="AC44" s="244">
        <v>7.3999999999999996E-2</v>
      </c>
      <c r="AD44" s="244">
        <v>-8888</v>
      </c>
      <c r="AE44" s="244">
        <v>0.28100000000000003</v>
      </c>
      <c r="AF44" s="244">
        <v>8.7999999999999995E-2</v>
      </c>
      <c r="AG44" s="244">
        <v>4.7E-2</v>
      </c>
      <c r="AH44" s="244">
        <v>2.0030000000000001</v>
      </c>
      <c r="AI44" s="244">
        <v>-8888</v>
      </c>
      <c r="AJ44" s="244">
        <v>0.01</v>
      </c>
      <c r="AK44" s="244">
        <v>0.36</v>
      </c>
      <c r="AL44" s="244">
        <v>6.0000000000000001E-3</v>
      </c>
      <c r="AM44" s="244">
        <v>0.26400000000000001</v>
      </c>
      <c r="AN44" s="244">
        <v>0.27800000000000002</v>
      </c>
      <c r="AO44" s="244">
        <v>7.0000000000000001E-3</v>
      </c>
      <c r="AP44" s="244">
        <v>3.9E-2</v>
      </c>
      <c r="AQ44" s="244">
        <v>2.5000000000000001E-2</v>
      </c>
      <c r="AR44" s="244">
        <v>1.9E-2</v>
      </c>
      <c r="AS44" s="244">
        <v>1.9E-2</v>
      </c>
      <c r="AT44" s="244">
        <v>7.0999999999999994E-2</v>
      </c>
      <c r="AU44" s="244">
        <v>-8888</v>
      </c>
      <c r="AV44" s="244">
        <v>2.9210000000000003</v>
      </c>
      <c r="AW44" s="244">
        <v>0.27200000000000002</v>
      </c>
      <c r="AX44" s="244">
        <v>1.0510000000000002</v>
      </c>
      <c r="AY44" s="244">
        <v>3.9720000000000004</v>
      </c>
      <c r="AZ44" s="244">
        <v>1.3230000000000002</v>
      </c>
      <c r="BA44" s="244">
        <v>2.2309999999999999</v>
      </c>
      <c r="BB44" s="244">
        <v>4.2439999999999998</v>
      </c>
      <c r="BC44" s="244">
        <v>1.516</v>
      </c>
      <c r="BD44" s="245">
        <v>1.1100000000000001</v>
      </c>
      <c r="BE44" s="245">
        <v>0.79</v>
      </c>
      <c r="BF44" s="245">
        <v>0.21</v>
      </c>
      <c r="BG44" s="245">
        <v>2.21</v>
      </c>
      <c r="BH44" s="245">
        <v>0.06</v>
      </c>
      <c r="BI44" s="245">
        <v>0.94</v>
      </c>
      <c r="BJ44" s="245">
        <v>0.47</v>
      </c>
      <c r="BK44" s="242"/>
      <c r="BL44" s="242"/>
    </row>
    <row r="45" spans="1:64">
      <c r="A45" s="210"/>
      <c r="B45" s="220"/>
      <c r="C45" s="220"/>
      <c r="D45" s="220"/>
      <c r="E45" s="220"/>
      <c r="F45" s="220"/>
      <c r="G45" s="220"/>
      <c r="H45" s="220"/>
      <c r="I45" s="220"/>
      <c r="J45" s="220"/>
      <c r="K45" s="220"/>
      <c r="L45" s="220"/>
      <c r="M45" s="220"/>
      <c r="N45" s="220"/>
      <c r="O45" s="220"/>
      <c r="P45" s="221"/>
      <c r="Q45" s="220"/>
      <c r="R45" s="220"/>
      <c r="S45" s="220"/>
      <c r="T45" s="220"/>
      <c r="U45" s="210" t="s">
        <v>22</v>
      </c>
      <c r="V45" s="210">
        <f t="shared" ref="V45:BC45" si="35">ROUND(AVERAGE((IF(V43=-8888,0,V43)),(IF(V44=-8888,0,V44))),3)</f>
        <v>1.9379999999999999</v>
      </c>
      <c r="W45" s="210">
        <f t="shared" si="35"/>
        <v>0.36</v>
      </c>
      <c r="X45" s="210">
        <f t="shared" si="35"/>
        <v>0.51</v>
      </c>
      <c r="Y45" s="210">
        <f t="shared" si="35"/>
        <v>9.8000000000000004E-2</v>
      </c>
      <c r="Z45" s="210">
        <f t="shared" si="35"/>
        <v>7.5999999999999998E-2</v>
      </c>
      <c r="AA45" s="210">
        <f t="shared" si="35"/>
        <v>0.54900000000000004</v>
      </c>
      <c r="AB45" s="210">
        <f t="shared" si="35"/>
        <v>0.05</v>
      </c>
      <c r="AC45" s="210">
        <f t="shared" si="35"/>
        <v>6.9000000000000006E-2</v>
      </c>
      <c r="AD45" s="210">
        <f t="shared" si="35"/>
        <v>0</v>
      </c>
      <c r="AE45" s="210">
        <f t="shared" si="35"/>
        <v>0.27800000000000002</v>
      </c>
      <c r="AF45" s="210">
        <f t="shared" si="35"/>
        <v>0.08</v>
      </c>
      <c r="AG45" s="210">
        <f t="shared" si="35"/>
        <v>5.2999999999999999E-2</v>
      </c>
      <c r="AH45" s="210">
        <f t="shared" si="35"/>
        <v>1.9279999999999999</v>
      </c>
      <c r="AI45" s="210">
        <f t="shared" si="35"/>
        <v>0</v>
      </c>
      <c r="AJ45" s="210">
        <f t="shared" si="35"/>
        <v>0.01</v>
      </c>
      <c r="AK45" s="210">
        <f t="shared" si="35"/>
        <v>0.35399999999999998</v>
      </c>
      <c r="AL45" s="210">
        <f t="shared" si="35"/>
        <v>6.0000000000000001E-3</v>
      </c>
      <c r="AM45" s="210">
        <f t="shared" si="35"/>
        <v>0.25</v>
      </c>
      <c r="AN45" s="210">
        <f t="shared" si="35"/>
        <v>0.26</v>
      </c>
      <c r="AO45" s="210">
        <f t="shared" si="35"/>
        <v>7.0000000000000001E-3</v>
      </c>
      <c r="AP45" s="210">
        <f t="shared" si="35"/>
        <v>3.7999999999999999E-2</v>
      </c>
      <c r="AQ45" s="210">
        <f t="shared" si="35"/>
        <v>2.5000000000000001E-2</v>
      </c>
      <c r="AR45" s="210">
        <f t="shared" si="35"/>
        <v>1.7999999999999999E-2</v>
      </c>
      <c r="AS45" s="210">
        <f t="shared" si="35"/>
        <v>1.9E-2</v>
      </c>
      <c r="AT45" s="210">
        <f t="shared" si="35"/>
        <v>7.0000000000000007E-2</v>
      </c>
      <c r="AU45" s="210">
        <f t="shared" si="35"/>
        <v>0</v>
      </c>
      <c r="AV45" s="210">
        <f t="shared" si="35"/>
        <v>2.8069999999999999</v>
      </c>
      <c r="AW45" s="210">
        <f t="shared" si="35"/>
        <v>0.27</v>
      </c>
      <c r="AX45" s="210">
        <f t="shared" si="35"/>
        <v>0.98299999999999998</v>
      </c>
      <c r="AY45" s="210">
        <f t="shared" si="35"/>
        <v>3.79</v>
      </c>
      <c r="AZ45" s="210">
        <f t="shared" si="35"/>
        <v>1.252</v>
      </c>
      <c r="BA45" s="210">
        <f t="shared" si="35"/>
        <v>2.121</v>
      </c>
      <c r="BB45" s="210">
        <f t="shared" si="35"/>
        <v>4.0590000000000002</v>
      </c>
      <c r="BC45" s="210">
        <f t="shared" si="35"/>
        <v>1.4450000000000001</v>
      </c>
      <c r="BD45" s="209">
        <f>ROUND(AVERAGE((IF(BD43=-8888,0,BD43)),(IF(BD44=-8888,0,BD44))),2)</f>
        <v>1.1000000000000001</v>
      </c>
      <c r="BE45" s="209">
        <f t="shared" ref="BE45:BJ45" si="36">ROUND(AVERAGE((IF(BE43=-8888,0,BE43)),(IF(BE44=-8888,0,BE44))),2)</f>
        <v>0.78</v>
      </c>
      <c r="BF45" s="209">
        <f t="shared" si="36"/>
        <v>0.22</v>
      </c>
      <c r="BG45" s="209">
        <f t="shared" si="36"/>
        <v>2.25</v>
      </c>
      <c r="BH45" s="209">
        <f t="shared" si="36"/>
        <v>7.0000000000000007E-2</v>
      </c>
      <c r="BI45" s="209">
        <f t="shared" si="36"/>
        <v>0.94</v>
      </c>
      <c r="BJ45" s="209">
        <f t="shared" si="36"/>
        <v>0.48</v>
      </c>
      <c r="BK45" s="211"/>
      <c r="BL45" s="211"/>
    </row>
    <row r="46" spans="1:64">
      <c r="A46" s="214"/>
      <c r="B46" s="222"/>
      <c r="C46" s="222"/>
      <c r="D46" s="222"/>
      <c r="E46" s="222"/>
      <c r="F46" s="222"/>
      <c r="G46" s="222"/>
      <c r="H46" s="222"/>
      <c r="I46" s="222"/>
      <c r="J46" s="222"/>
      <c r="K46" s="222"/>
      <c r="L46" s="222"/>
      <c r="M46" s="222"/>
      <c r="N46" s="222"/>
      <c r="O46" s="222"/>
      <c r="P46" s="223"/>
      <c r="Q46" s="222"/>
      <c r="R46" s="222"/>
      <c r="S46" s="222"/>
      <c r="T46" s="222"/>
      <c r="U46" s="214" t="s">
        <v>1015</v>
      </c>
      <c r="V46" s="214">
        <f t="shared" ref="V46:BC46" si="37">ROUND(STDEV((IF(V43=-8888,0,V43)),(IF(V44=-8888,0,V44))),3)</f>
        <v>0.106</v>
      </c>
      <c r="W46" s="214">
        <f t="shared" si="37"/>
        <v>8.9999999999999993E-3</v>
      </c>
      <c r="X46" s="214">
        <f t="shared" si="37"/>
        <v>4.5999999999999999E-2</v>
      </c>
      <c r="Y46" s="214">
        <f t="shared" si="37"/>
        <v>2E-3</v>
      </c>
      <c r="Z46" s="214">
        <f t="shared" si="37"/>
        <v>4.0000000000000001E-3</v>
      </c>
      <c r="AA46" s="214">
        <f t="shared" si="37"/>
        <v>7.8E-2</v>
      </c>
      <c r="AB46" s="214">
        <f t="shared" si="37"/>
        <v>3.0000000000000001E-3</v>
      </c>
      <c r="AC46" s="214">
        <f t="shared" si="37"/>
        <v>7.0000000000000001E-3</v>
      </c>
      <c r="AD46" s="214">
        <f t="shared" si="37"/>
        <v>0</v>
      </c>
      <c r="AE46" s="214">
        <f t="shared" si="37"/>
        <v>4.0000000000000001E-3</v>
      </c>
      <c r="AF46" s="214">
        <f t="shared" si="37"/>
        <v>1.0999999999999999E-2</v>
      </c>
      <c r="AG46" s="214">
        <f t="shared" si="37"/>
        <v>8.0000000000000002E-3</v>
      </c>
      <c r="AH46" s="214">
        <f t="shared" si="37"/>
        <v>0.106</v>
      </c>
      <c r="AI46" s="214">
        <f t="shared" si="37"/>
        <v>0</v>
      </c>
      <c r="AJ46" s="214">
        <f t="shared" si="37"/>
        <v>0</v>
      </c>
      <c r="AK46" s="214">
        <f t="shared" si="37"/>
        <v>8.9999999999999993E-3</v>
      </c>
      <c r="AL46" s="214">
        <f t="shared" si="37"/>
        <v>0</v>
      </c>
      <c r="AM46" s="214">
        <f t="shared" si="37"/>
        <v>0.02</v>
      </c>
      <c r="AN46" s="214">
        <f t="shared" si="37"/>
        <v>2.5999999999999999E-2</v>
      </c>
      <c r="AO46" s="214">
        <f t="shared" si="37"/>
        <v>0</v>
      </c>
      <c r="AP46" s="214">
        <f t="shared" si="37"/>
        <v>2E-3</v>
      </c>
      <c r="AQ46" s="214">
        <f t="shared" si="37"/>
        <v>0</v>
      </c>
      <c r="AR46" s="214">
        <f t="shared" si="37"/>
        <v>1E-3</v>
      </c>
      <c r="AS46" s="214">
        <f t="shared" si="37"/>
        <v>0</v>
      </c>
      <c r="AT46" s="214">
        <f t="shared" si="37"/>
        <v>2E-3</v>
      </c>
      <c r="AU46" s="214">
        <f t="shared" si="37"/>
        <v>0</v>
      </c>
      <c r="AV46" s="214">
        <f t="shared" si="37"/>
        <v>0.161</v>
      </c>
      <c r="AW46" s="214">
        <f t="shared" si="37"/>
        <v>4.0000000000000001E-3</v>
      </c>
      <c r="AX46" s="214">
        <f t="shared" si="37"/>
        <v>9.7000000000000003E-2</v>
      </c>
      <c r="AY46" s="214">
        <f t="shared" si="37"/>
        <v>0.25800000000000001</v>
      </c>
      <c r="AZ46" s="214">
        <f t="shared" si="37"/>
        <v>0.1</v>
      </c>
      <c r="BA46" s="214">
        <f t="shared" si="37"/>
        <v>0.156</v>
      </c>
      <c r="BB46" s="214">
        <f t="shared" si="37"/>
        <v>0.26200000000000001</v>
      </c>
      <c r="BC46" s="214">
        <f t="shared" si="37"/>
        <v>0.1</v>
      </c>
      <c r="BD46" s="213">
        <f>ROUND(STDEV((IF(BD43=-8888,0,BD43)),(IF(BD44=-8888,0,BD44))),2)</f>
        <v>0.02</v>
      </c>
      <c r="BE46" s="213">
        <f t="shared" ref="BE46:BJ46" si="38">ROUND(STDEV((IF(BE43=-8888,0,BE43)),(IF(BE44=-8888,0,BE44))),2)</f>
        <v>0.01</v>
      </c>
      <c r="BF46" s="213">
        <f t="shared" si="38"/>
        <v>0.01</v>
      </c>
      <c r="BG46" s="213">
        <f t="shared" si="38"/>
        <v>0.05</v>
      </c>
      <c r="BH46" s="213">
        <f t="shared" si="38"/>
        <v>0.01</v>
      </c>
      <c r="BI46" s="213">
        <f t="shared" si="38"/>
        <v>0.01</v>
      </c>
      <c r="BJ46" s="213">
        <f t="shared" si="38"/>
        <v>0.01</v>
      </c>
      <c r="BK46" s="215"/>
      <c r="BL46" s="215"/>
    </row>
    <row r="47" spans="1:64">
      <c r="A47" s="216"/>
      <c r="B47" s="224"/>
      <c r="C47" s="224"/>
      <c r="D47" s="224"/>
      <c r="E47" s="224"/>
      <c r="F47" s="224"/>
      <c r="G47" s="224"/>
      <c r="H47" s="224"/>
      <c r="I47" s="224"/>
      <c r="J47" s="224"/>
      <c r="K47" s="224"/>
      <c r="L47" s="224"/>
      <c r="M47" s="224"/>
      <c r="N47" s="224"/>
      <c r="O47" s="224"/>
      <c r="P47" s="225"/>
      <c r="Q47" s="224"/>
      <c r="R47" s="224"/>
      <c r="S47" s="224"/>
      <c r="T47" s="224"/>
      <c r="U47" s="217" t="s">
        <v>148</v>
      </c>
      <c r="V47" s="218">
        <f>IF((V45=0),"N/A",ROUND((V46/V45),4))</f>
        <v>5.4699999999999999E-2</v>
      </c>
      <c r="W47" s="218">
        <f t="shared" ref="W47:BJ47" si="39">IF((W45=0),"N/A",ROUND((W46/W45),4))</f>
        <v>2.5000000000000001E-2</v>
      </c>
      <c r="X47" s="218">
        <f t="shared" si="39"/>
        <v>9.0200000000000002E-2</v>
      </c>
      <c r="Y47" s="218">
        <f t="shared" si="39"/>
        <v>2.0400000000000001E-2</v>
      </c>
      <c r="Z47" s="218">
        <f t="shared" si="39"/>
        <v>5.2600000000000001E-2</v>
      </c>
      <c r="AA47" s="218">
        <f t="shared" si="39"/>
        <v>0.1421</v>
      </c>
      <c r="AB47" s="218">
        <f t="shared" si="39"/>
        <v>0.06</v>
      </c>
      <c r="AC47" s="218">
        <f t="shared" si="39"/>
        <v>0.1014</v>
      </c>
      <c r="AD47" s="218" t="str">
        <f t="shared" si="39"/>
        <v>N/A</v>
      </c>
      <c r="AE47" s="218">
        <f t="shared" si="39"/>
        <v>1.44E-2</v>
      </c>
      <c r="AF47" s="218">
        <f t="shared" si="39"/>
        <v>0.13750000000000001</v>
      </c>
      <c r="AG47" s="218">
        <f t="shared" si="39"/>
        <v>0.15090000000000001</v>
      </c>
      <c r="AH47" s="218">
        <f t="shared" si="39"/>
        <v>5.5E-2</v>
      </c>
      <c r="AI47" s="218" t="str">
        <f t="shared" si="39"/>
        <v>N/A</v>
      </c>
      <c r="AJ47" s="218">
        <f t="shared" si="39"/>
        <v>0</v>
      </c>
      <c r="AK47" s="218">
        <f t="shared" si="39"/>
        <v>2.5399999999999999E-2</v>
      </c>
      <c r="AL47" s="218">
        <f t="shared" si="39"/>
        <v>0</v>
      </c>
      <c r="AM47" s="218">
        <f t="shared" si="39"/>
        <v>0.08</v>
      </c>
      <c r="AN47" s="218">
        <f t="shared" si="39"/>
        <v>0.1</v>
      </c>
      <c r="AO47" s="218">
        <f t="shared" si="39"/>
        <v>0</v>
      </c>
      <c r="AP47" s="218">
        <f t="shared" si="39"/>
        <v>5.2600000000000001E-2</v>
      </c>
      <c r="AQ47" s="218">
        <f t="shared" si="39"/>
        <v>0</v>
      </c>
      <c r="AR47" s="218">
        <f t="shared" si="39"/>
        <v>5.5599999999999997E-2</v>
      </c>
      <c r="AS47" s="218">
        <f t="shared" si="39"/>
        <v>0</v>
      </c>
      <c r="AT47" s="218">
        <f t="shared" si="39"/>
        <v>2.86E-2</v>
      </c>
      <c r="AU47" s="218" t="str">
        <f t="shared" si="39"/>
        <v>N/A</v>
      </c>
      <c r="AV47" s="218">
        <f t="shared" si="39"/>
        <v>5.74E-2</v>
      </c>
      <c r="AW47" s="218">
        <f t="shared" si="39"/>
        <v>1.4800000000000001E-2</v>
      </c>
      <c r="AX47" s="218">
        <f t="shared" si="39"/>
        <v>9.8699999999999996E-2</v>
      </c>
      <c r="AY47" s="218">
        <f t="shared" si="39"/>
        <v>6.8099999999999994E-2</v>
      </c>
      <c r="AZ47" s="218">
        <f t="shared" si="39"/>
        <v>7.9899999999999999E-2</v>
      </c>
      <c r="BA47" s="218">
        <f t="shared" si="39"/>
        <v>7.3599999999999999E-2</v>
      </c>
      <c r="BB47" s="218">
        <f t="shared" si="39"/>
        <v>6.4500000000000002E-2</v>
      </c>
      <c r="BC47" s="218">
        <f t="shared" si="39"/>
        <v>6.9199999999999998E-2</v>
      </c>
      <c r="BD47" s="218">
        <f t="shared" si="39"/>
        <v>1.8200000000000001E-2</v>
      </c>
      <c r="BE47" s="218">
        <f t="shared" si="39"/>
        <v>1.2800000000000001E-2</v>
      </c>
      <c r="BF47" s="218">
        <f t="shared" si="39"/>
        <v>4.5499999999999999E-2</v>
      </c>
      <c r="BG47" s="218">
        <f t="shared" si="39"/>
        <v>2.2200000000000001E-2</v>
      </c>
      <c r="BH47" s="218">
        <f t="shared" si="39"/>
        <v>0.1429</v>
      </c>
      <c r="BI47" s="218">
        <f t="shared" si="39"/>
        <v>1.06E-2</v>
      </c>
      <c r="BJ47" s="218">
        <f t="shared" si="39"/>
        <v>2.0799999999999999E-2</v>
      </c>
      <c r="BK47" s="219">
        <f>V47</f>
        <v>5.4699999999999999E-2</v>
      </c>
      <c r="BL47" s="219">
        <f>AVERAGE(V47:AG47)</f>
        <v>7.7199999999999991E-2</v>
      </c>
    </row>
    <row r="48" spans="1:64">
      <c r="A48" s="243" t="s">
        <v>365</v>
      </c>
      <c r="B48" s="165" t="s">
        <v>511</v>
      </c>
      <c r="C48" s="165" t="s">
        <v>698</v>
      </c>
      <c r="D48" s="165" t="s">
        <v>647</v>
      </c>
      <c r="E48" s="165" t="s">
        <v>173</v>
      </c>
      <c r="F48" s="165">
        <v>542</v>
      </c>
      <c r="G48" s="165">
        <v>19</v>
      </c>
      <c r="H48" s="165">
        <v>10</v>
      </c>
      <c r="I48" s="165">
        <v>39.6</v>
      </c>
      <c r="J48" s="165">
        <v>205</v>
      </c>
      <c r="K48" s="166" t="s">
        <v>514</v>
      </c>
      <c r="L48" s="165">
        <v>2024</v>
      </c>
      <c r="M48" s="165" t="s">
        <v>648</v>
      </c>
      <c r="N48" s="165">
        <v>10</v>
      </c>
      <c r="O48" s="181">
        <v>254</v>
      </c>
      <c r="P48" s="165" t="s">
        <v>699</v>
      </c>
      <c r="Q48" s="165">
        <v>-70.885000000000005</v>
      </c>
      <c r="R48" s="165">
        <v>40.042999999999999</v>
      </c>
      <c r="S48" s="165" t="s">
        <v>172</v>
      </c>
      <c r="T48" s="165">
        <v>25</v>
      </c>
      <c r="U48" s="166" t="s">
        <v>516</v>
      </c>
      <c r="V48" s="244">
        <v>1.45</v>
      </c>
      <c r="W48" s="244">
        <v>0.33399999999999996</v>
      </c>
      <c r="X48" s="244">
        <v>0.39300000000000002</v>
      </c>
      <c r="Y48" s="244">
        <v>0.08</v>
      </c>
      <c r="Z48" s="244">
        <v>0.127</v>
      </c>
      <c r="AA48" s="244">
        <v>0.41199999999999998</v>
      </c>
      <c r="AB48" s="244">
        <v>5.8999999999999997E-2</v>
      </c>
      <c r="AC48" s="244">
        <v>4.2000000000000003E-2</v>
      </c>
      <c r="AD48" s="244">
        <v>2E-3</v>
      </c>
      <c r="AE48" s="244">
        <v>0.1</v>
      </c>
      <c r="AF48" s="244">
        <v>3.5000000000000003E-2</v>
      </c>
      <c r="AG48" s="244">
        <v>6.0999999999999999E-2</v>
      </c>
      <c r="AH48" s="244">
        <v>1.3620000000000001</v>
      </c>
      <c r="AI48" s="244">
        <v>7.6999999999999999E-2</v>
      </c>
      <c r="AJ48" s="244">
        <v>1.0999999999999999E-2</v>
      </c>
      <c r="AK48" s="244">
        <v>0.30099999999999999</v>
      </c>
      <c r="AL48" s="244">
        <v>3.3000000000000002E-2</v>
      </c>
      <c r="AM48" s="244">
        <v>0.19</v>
      </c>
      <c r="AN48" s="244">
        <v>0.20300000000000001</v>
      </c>
      <c r="AO48" s="244">
        <v>3.0000000000000001E-3</v>
      </c>
      <c r="AP48" s="244">
        <v>2.8000000000000001E-2</v>
      </c>
      <c r="AQ48" s="244">
        <v>1.4E-2</v>
      </c>
      <c r="AR48" s="244">
        <v>1.2999999999999999E-2</v>
      </c>
      <c r="AS48" s="244">
        <v>1.2999999999999999E-2</v>
      </c>
      <c r="AT48" s="244">
        <v>0.04</v>
      </c>
      <c r="AU48" s="244">
        <v>-8888</v>
      </c>
      <c r="AV48" s="244">
        <v>2.1769999999999996</v>
      </c>
      <c r="AW48" s="244">
        <v>0.24399999999999999</v>
      </c>
      <c r="AX48" s="244">
        <v>0.67400000000000004</v>
      </c>
      <c r="AY48" s="244">
        <v>2.8509999999999995</v>
      </c>
      <c r="AZ48" s="244">
        <v>0.91800000000000004</v>
      </c>
      <c r="BA48" s="244">
        <v>1.645</v>
      </c>
      <c r="BB48" s="244">
        <v>3.0949999999999998</v>
      </c>
      <c r="BC48" s="244">
        <v>1.1280000000000001</v>
      </c>
      <c r="BD48" s="245">
        <v>1.1299999999999999</v>
      </c>
      <c r="BE48" s="245">
        <v>0.73</v>
      </c>
      <c r="BF48" s="245">
        <v>0.27</v>
      </c>
      <c r="BG48" s="245">
        <v>2.37</v>
      </c>
      <c r="BH48" s="245">
        <v>0.08</v>
      </c>
      <c r="BI48" s="245">
        <v>0.92</v>
      </c>
      <c r="BJ48" s="245">
        <v>0.47</v>
      </c>
      <c r="BK48" s="242"/>
      <c r="BL48" s="242"/>
    </row>
    <row r="49" spans="1:64">
      <c r="A49" s="243" t="s">
        <v>366</v>
      </c>
      <c r="B49" s="165" t="s">
        <v>511</v>
      </c>
      <c r="C49" s="165" t="s">
        <v>701</v>
      </c>
      <c r="D49" s="165" t="s">
        <v>647</v>
      </c>
      <c r="E49" s="165" t="s">
        <v>173</v>
      </c>
      <c r="F49" s="165">
        <v>547</v>
      </c>
      <c r="G49" s="165">
        <v>19</v>
      </c>
      <c r="H49" s="165">
        <v>10</v>
      </c>
      <c r="I49" s="165">
        <v>39.6</v>
      </c>
      <c r="J49" s="165">
        <v>205</v>
      </c>
      <c r="K49" s="166" t="s">
        <v>514</v>
      </c>
      <c r="L49" s="165">
        <v>2024</v>
      </c>
      <c r="M49" s="165" t="s">
        <v>648</v>
      </c>
      <c r="N49" s="165">
        <v>10</v>
      </c>
      <c r="O49" s="181">
        <v>254</v>
      </c>
      <c r="P49" s="165" t="s">
        <v>699</v>
      </c>
      <c r="Q49" s="165">
        <v>-70.885000000000005</v>
      </c>
      <c r="R49" s="165">
        <v>40.042999999999999</v>
      </c>
      <c r="S49" s="165" t="s">
        <v>172</v>
      </c>
      <c r="T49" s="165">
        <v>25</v>
      </c>
      <c r="U49" s="166" t="s">
        <v>516</v>
      </c>
      <c r="V49" s="244">
        <v>1.5209999999999999</v>
      </c>
      <c r="W49" s="244">
        <v>0.35099999999999998</v>
      </c>
      <c r="X49" s="244">
        <v>0.41100000000000003</v>
      </c>
      <c r="Y49" s="244">
        <v>8.6999999999999994E-2</v>
      </c>
      <c r="Z49" s="244">
        <v>0.13200000000000001</v>
      </c>
      <c r="AA49" s="244">
        <v>0.434</v>
      </c>
      <c r="AB49" s="244">
        <v>6.6000000000000003E-2</v>
      </c>
      <c r="AC49" s="244">
        <v>4.3999999999999997E-2</v>
      </c>
      <c r="AD49" s="244">
        <v>3.0000000000000001E-3</v>
      </c>
      <c r="AE49" s="244">
        <v>0.104</v>
      </c>
      <c r="AF49" s="244">
        <v>3.9E-2</v>
      </c>
      <c r="AG49" s="244">
        <v>6.4000000000000001E-2</v>
      </c>
      <c r="AH49" s="244">
        <v>1.4319999999999999</v>
      </c>
      <c r="AI49" s="244">
        <v>0.08</v>
      </c>
      <c r="AJ49" s="244">
        <v>8.9999999999999993E-3</v>
      </c>
      <c r="AK49" s="244">
        <v>0.317</v>
      </c>
      <c r="AL49" s="244">
        <v>3.4000000000000002E-2</v>
      </c>
      <c r="AM49" s="244">
        <v>0.19900000000000001</v>
      </c>
      <c r="AN49" s="244">
        <v>0.21199999999999999</v>
      </c>
      <c r="AO49" s="244">
        <v>4.0000000000000001E-3</v>
      </c>
      <c r="AP49" s="244">
        <v>2.8000000000000001E-2</v>
      </c>
      <c r="AQ49" s="244">
        <v>1.4E-2</v>
      </c>
      <c r="AR49" s="244">
        <v>1.4E-2</v>
      </c>
      <c r="AS49" s="244">
        <v>1.2999999999999999E-2</v>
      </c>
      <c r="AT49" s="244">
        <v>0.04</v>
      </c>
      <c r="AU49" s="244">
        <v>-8888</v>
      </c>
      <c r="AV49" s="244">
        <v>2.2829999999999999</v>
      </c>
      <c r="AW49" s="244">
        <v>0.26400000000000001</v>
      </c>
      <c r="AX49" s="244">
        <v>0.70899999999999996</v>
      </c>
      <c r="AY49" s="244">
        <v>2.992</v>
      </c>
      <c r="AZ49" s="244">
        <v>0.97299999999999998</v>
      </c>
      <c r="BA49" s="244">
        <v>1.7349999999999999</v>
      </c>
      <c r="BB49" s="244">
        <v>3.2559999999999998</v>
      </c>
      <c r="BC49" s="244">
        <v>1.19</v>
      </c>
      <c r="BD49" s="245">
        <v>1.1399999999999999</v>
      </c>
      <c r="BE49" s="245">
        <v>0.73</v>
      </c>
      <c r="BF49" s="245">
        <v>0.27</v>
      </c>
      <c r="BG49" s="245">
        <v>2.35</v>
      </c>
      <c r="BH49" s="245">
        <v>0.08</v>
      </c>
      <c r="BI49" s="245">
        <v>0.92</v>
      </c>
      <c r="BJ49" s="245">
        <v>0.47</v>
      </c>
      <c r="BK49" s="242"/>
      <c r="BL49" s="242"/>
    </row>
    <row r="50" spans="1:64">
      <c r="A50" s="210"/>
      <c r="B50" s="220"/>
      <c r="C50" s="220"/>
      <c r="D50" s="220"/>
      <c r="E50" s="220"/>
      <c r="F50" s="220"/>
      <c r="G50" s="220"/>
      <c r="H50" s="220"/>
      <c r="I50" s="220"/>
      <c r="J50" s="220"/>
      <c r="K50" s="220"/>
      <c r="L50" s="220"/>
      <c r="M50" s="220"/>
      <c r="N50" s="220"/>
      <c r="O50" s="220"/>
      <c r="P50" s="221"/>
      <c r="Q50" s="220"/>
      <c r="R50" s="220"/>
      <c r="S50" s="220"/>
      <c r="T50" s="220"/>
      <c r="U50" s="210" t="s">
        <v>22</v>
      </c>
      <c r="V50" s="210">
        <f t="shared" ref="V50:BC50" si="40">ROUND(AVERAGE((IF(V48=-8888,0,V48)),(IF(V49=-8888,0,V49))),3)</f>
        <v>1.486</v>
      </c>
      <c r="W50" s="210">
        <f t="shared" si="40"/>
        <v>0.34300000000000003</v>
      </c>
      <c r="X50" s="210">
        <f t="shared" si="40"/>
        <v>0.40200000000000002</v>
      </c>
      <c r="Y50" s="210">
        <f t="shared" si="40"/>
        <v>8.4000000000000005E-2</v>
      </c>
      <c r="Z50" s="210">
        <f t="shared" si="40"/>
        <v>0.13</v>
      </c>
      <c r="AA50" s="210">
        <f t="shared" si="40"/>
        <v>0.42299999999999999</v>
      </c>
      <c r="AB50" s="210">
        <f t="shared" si="40"/>
        <v>6.3E-2</v>
      </c>
      <c r="AC50" s="210">
        <f t="shared" si="40"/>
        <v>4.2999999999999997E-2</v>
      </c>
      <c r="AD50" s="210">
        <f t="shared" si="40"/>
        <v>3.0000000000000001E-3</v>
      </c>
      <c r="AE50" s="210">
        <f t="shared" si="40"/>
        <v>0.10199999999999999</v>
      </c>
      <c r="AF50" s="210">
        <f t="shared" si="40"/>
        <v>3.6999999999999998E-2</v>
      </c>
      <c r="AG50" s="210">
        <f t="shared" si="40"/>
        <v>6.3E-2</v>
      </c>
      <c r="AH50" s="210">
        <f t="shared" si="40"/>
        <v>1.397</v>
      </c>
      <c r="AI50" s="210">
        <f t="shared" si="40"/>
        <v>7.9000000000000001E-2</v>
      </c>
      <c r="AJ50" s="210">
        <f t="shared" si="40"/>
        <v>0.01</v>
      </c>
      <c r="AK50" s="210">
        <f t="shared" si="40"/>
        <v>0.309</v>
      </c>
      <c r="AL50" s="210">
        <f t="shared" si="40"/>
        <v>3.4000000000000002E-2</v>
      </c>
      <c r="AM50" s="210">
        <f t="shared" si="40"/>
        <v>0.19500000000000001</v>
      </c>
      <c r="AN50" s="210">
        <f t="shared" si="40"/>
        <v>0.20799999999999999</v>
      </c>
      <c r="AO50" s="210">
        <f t="shared" si="40"/>
        <v>4.0000000000000001E-3</v>
      </c>
      <c r="AP50" s="210">
        <f t="shared" si="40"/>
        <v>2.8000000000000001E-2</v>
      </c>
      <c r="AQ50" s="210">
        <f t="shared" si="40"/>
        <v>1.4E-2</v>
      </c>
      <c r="AR50" s="210">
        <f t="shared" si="40"/>
        <v>1.4E-2</v>
      </c>
      <c r="AS50" s="210">
        <f t="shared" si="40"/>
        <v>1.2999999999999999E-2</v>
      </c>
      <c r="AT50" s="210">
        <f t="shared" si="40"/>
        <v>0.04</v>
      </c>
      <c r="AU50" s="210">
        <f t="shared" si="40"/>
        <v>0</v>
      </c>
      <c r="AV50" s="210">
        <f t="shared" si="40"/>
        <v>2.23</v>
      </c>
      <c r="AW50" s="210">
        <f t="shared" si="40"/>
        <v>0.254</v>
      </c>
      <c r="AX50" s="210">
        <f t="shared" si="40"/>
        <v>0.69199999999999995</v>
      </c>
      <c r="AY50" s="210">
        <f t="shared" si="40"/>
        <v>2.9220000000000002</v>
      </c>
      <c r="AZ50" s="210">
        <f t="shared" si="40"/>
        <v>0.94599999999999995</v>
      </c>
      <c r="BA50" s="210">
        <f t="shared" si="40"/>
        <v>1.69</v>
      </c>
      <c r="BB50" s="210">
        <f t="shared" si="40"/>
        <v>3.1760000000000002</v>
      </c>
      <c r="BC50" s="210">
        <f t="shared" si="40"/>
        <v>1.159</v>
      </c>
      <c r="BD50" s="209">
        <f>ROUND(AVERAGE((IF(BD48=-8888,0,BD48)),(IF(BD49=-8888,0,BD49))),2)</f>
        <v>1.1399999999999999</v>
      </c>
      <c r="BE50" s="209">
        <f t="shared" ref="BE50:BJ50" si="41">ROUND(AVERAGE((IF(BE48=-8888,0,BE48)),(IF(BE49=-8888,0,BE49))),2)</f>
        <v>0.73</v>
      </c>
      <c r="BF50" s="209">
        <f t="shared" si="41"/>
        <v>0.27</v>
      </c>
      <c r="BG50" s="209">
        <f t="shared" si="41"/>
        <v>2.36</v>
      </c>
      <c r="BH50" s="209">
        <f t="shared" si="41"/>
        <v>0.08</v>
      </c>
      <c r="BI50" s="209">
        <f t="shared" si="41"/>
        <v>0.92</v>
      </c>
      <c r="BJ50" s="209">
        <f t="shared" si="41"/>
        <v>0.47</v>
      </c>
      <c r="BK50" s="211"/>
      <c r="BL50" s="211"/>
    </row>
    <row r="51" spans="1:64">
      <c r="A51" s="214"/>
      <c r="B51" s="222"/>
      <c r="C51" s="222"/>
      <c r="D51" s="222"/>
      <c r="E51" s="222"/>
      <c r="F51" s="222"/>
      <c r="G51" s="222"/>
      <c r="H51" s="222"/>
      <c r="I51" s="222"/>
      <c r="J51" s="222"/>
      <c r="K51" s="222"/>
      <c r="L51" s="222"/>
      <c r="M51" s="222"/>
      <c r="N51" s="222"/>
      <c r="O51" s="222"/>
      <c r="P51" s="223"/>
      <c r="Q51" s="222"/>
      <c r="R51" s="222"/>
      <c r="S51" s="222"/>
      <c r="T51" s="222"/>
      <c r="U51" s="214" t="s">
        <v>1015</v>
      </c>
      <c r="V51" s="214">
        <f t="shared" ref="V51:BC51" si="42">ROUND(STDEV((IF(V48=-8888,0,V48)),(IF(V49=-8888,0,V49))),3)</f>
        <v>0.05</v>
      </c>
      <c r="W51" s="214">
        <f t="shared" si="42"/>
        <v>1.2E-2</v>
      </c>
      <c r="X51" s="214">
        <f t="shared" si="42"/>
        <v>1.2999999999999999E-2</v>
      </c>
      <c r="Y51" s="214">
        <f t="shared" si="42"/>
        <v>5.0000000000000001E-3</v>
      </c>
      <c r="Z51" s="214">
        <f t="shared" si="42"/>
        <v>4.0000000000000001E-3</v>
      </c>
      <c r="AA51" s="214">
        <f t="shared" si="42"/>
        <v>1.6E-2</v>
      </c>
      <c r="AB51" s="214">
        <f t="shared" si="42"/>
        <v>5.0000000000000001E-3</v>
      </c>
      <c r="AC51" s="214">
        <f t="shared" si="42"/>
        <v>1E-3</v>
      </c>
      <c r="AD51" s="214">
        <f t="shared" si="42"/>
        <v>1E-3</v>
      </c>
      <c r="AE51" s="214">
        <f t="shared" si="42"/>
        <v>3.0000000000000001E-3</v>
      </c>
      <c r="AF51" s="214">
        <f t="shared" si="42"/>
        <v>3.0000000000000001E-3</v>
      </c>
      <c r="AG51" s="214">
        <f t="shared" si="42"/>
        <v>2E-3</v>
      </c>
      <c r="AH51" s="214">
        <f t="shared" si="42"/>
        <v>4.9000000000000002E-2</v>
      </c>
      <c r="AI51" s="214">
        <f t="shared" si="42"/>
        <v>2E-3</v>
      </c>
      <c r="AJ51" s="214">
        <f t="shared" si="42"/>
        <v>1E-3</v>
      </c>
      <c r="AK51" s="214">
        <f t="shared" si="42"/>
        <v>1.0999999999999999E-2</v>
      </c>
      <c r="AL51" s="214">
        <f t="shared" si="42"/>
        <v>1E-3</v>
      </c>
      <c r="AM51" s="214">
        <f t="shared" si="42"/>
        <v>6.0000000000000001E-3</v>
      </c>
      <c r="AN51" s="214">
        <f t="shared" si="42"/>
        <v>6.0000000000000001E-3</v>
      </c>
      <c r="AO51" s="214">
        <f t="shared" si="42"/>
        <v>1E-3</v>
      </c>
      <c r="AP51" s="214">
        <f t="shared" si="42"/>
        <v>0</v>
      </c>
      <c r="AQ51" s="214">
        <f t="shared" si="42"/>
        <v>0</v>
      </c>
      <c r="AR51" s="214">
        <f t="shared" si="42"/>
        <v>1E-3</v>
      </c>
      <c r="AS51" s="214">
        <f t="shared" si="42"/>
        <v>0</v>
      </c>
      <c r="AT51" s="214">
        <f t="shared" si="42"/>
        <v>0</v>
      </c>
      <c r="AU51" s="214">
        <f t="shared" si="42"/>
        <v>0</v>
      </c>
      <c r="AV51" s="214">
        <f t="shared" si="42"/>
        <v>7.4999999999999997E-2</v>
      </c>
      <c r="AW51" s="214">
        <f t="shared" si="42"/>
        <v>1.4E-2</v>
      </c>
      <c r="AX51" s="214">
        <f t="shared" si="42"/>
        <v>2.5000000000000001E-2</v>
      </c>
      <c r="AY51" s="214">
        <f t="shared" si="42"/>
        <v>0.1</v>
      </c>
      <c r="AZ51" s="214">
        <f t="shared" si="42"/>
        <v>3.9E-2</v>
      </c>
      <c r="BA51" s="214">
        <f t="shared" si="42"/>
        <v>6.4000000000000001E-2</v>
      </c>
      <c r="BB51" s="214">
        <f t="shared" si="42"/>
        <v>0.114</v>
      </c>
      <c r="BC51" s="214">
        <f t="shared" si="42"/>
        <v>4.3999999999999997E-2</v>
      </c>
      <c r="BD51" s="213">
        <f>ROUND(STDEV((IF(BD48=-8888,0,BD48)),(IF(BD49=-8888,0,BD49))),2)</f>
        <v>0.01</v>
      </c>
      <c r="BE51" s="213">
        <f t="shared" ref="BE51:BJ51" si="43">ROUND(STDEV((IF(BE48=-8888,0,BE48)),(IF(BE49=-8888,0,BE49))),2)</f>
        <v>0</v>
      </c>
      <c r="BF51" s="213">
        <f t="shared" si="43"/>
        <v>0</v>
      </c>
      <c r="BG51" s="213">
        <f t="shared" si="43"/>
        <v>0.01</v>
      </c>
      <c r="BH51" s="213">
        <f t="shared" si="43"/>
        <v>0</v>
      </c>
      <c r="BI51" s="213">
        <f t="shared" si="43"/>
        <v>0</v>
      </c>
      <c r="BJ51" s="213">
        <f t="shared" si="43"/>
        <v>0</v>
      </c>
      <c r="BK51" s="215"/>
      <c r="BL51" s="215"/>
    </row>
    <row r="52" spans="1:64">
      <c r="A52" s="216"/>
      <c r="B52" s="224"/>
      <c r="C52" s="224"/>
      <c r="D52" s="224"/>
      <c r="E52" s="224"/>
      <c r="F52" s="224"/>
      <c r="G52" s="224"/>
      <c r="H52" s="224"/>
      <c r="I52" s="224"/>
      <c r="J52" s="224"/>
      <c r="K52" s="224"/>
      <c r="L52" s="224"/>
      <c r="M52" s="224"/>
      <c r="N52" s="224"/>
      <c r="O52" s="224"/>
      <c r="P52" s="225"/>
      <c r="Q52" s="224"/>
      <c r="R52" s="224"/>
      <c r="S52" s="224"/>
      <c r="T52" s="224"/>
      <c r="U52" s="217" t="s">
        <v>148</v>
      </c>
      <c r="V52" s="218">
        <f>IF((V50=0),"N/A",ROUND((V51/V50),4))</f>
        <v>3.3599999999999998E-2</v>
      </c>
      <c r="W52" s="218">
        <f t="shared" ref="W52:BJ52" si="44">IF((W50=0),"N/A",ROUND((W51/W50),4))</f>
        <v>3.5000000000000003E-2</v>
      </c>
      <c r="X52" s="218">
        <f t="shared" si="44"/>
        <v>3.2300000000000002E-2</v>
      </c>
      <c r="Y52" s="218">
        <f t="shared" si="44"/>
        <v>5.9499999999999997E-2</v>
      </c>
      <c r="Z52" s="218">
        <f t="shared" si="44"/>
        <v>3.0800000000000001E-2</v>
      </c>
      <c r="AA52" s="218">
        <f t="shared" si="44"/>
        <v>3.78E-2</v>
      </c>
      <c r="AB52" s="218">
        <f t="shared" si="44"/>
        <v>7.9399999999999998E-2</v>
      </c>
      <c r="AC52" s="218">
        <f t="shared" si="44"/>
        <v>2.3300000000000001E-2</v>
      </c>
      <c r="AD52" s="218">
        <f t="shared" si="44"/>
        <v>0.33329999999999999</v>
      </c>
      <c r="AE52" s="218">
        <f t="shared" si="44"/>
        <v>2.9399999999999999E-2</v>
      </c>
      <c r="AF52" s="218">
        <f t="shared" si="44"/>
        <v>8.1100000000000005E-2</v>
      </c>
      <c r="AG52" s="218">
        <f t="shared" si="44"/>
        <v>3.1699999999999999E-2</v>
      </c>
      <c r="AH52" s="218">
        <f t="shared" si="44"/>
        <v>3.5099999999999999E-2</v>
      </c>
      <c r="AI52" s="218">
        <f t="shared" si="44"/>
        <v>2.53E-2</v>
      </c>
      <c r="AJ52" s="218">
        <f t="shared" si="44"/>
        <v>0.1</v>
      </c>
      <c r="AK52" s="218">
        <f t="shared" si="44"/>
        <v>3.56E-2</v>
      </c>
      <c r="AL52" s="218">
        <f t="shared" si="44"/>
        <v>2.9399999999999999E-2</v>
      </c>
      <c r="AM52" s="218">
        <f t="shared" si="44"/>
        <v>3.0800000000000001E-2</v>
      </c>
      <c r="AN52" s="218">
        <f t="shared" si="44"/>
        <v>2.8799999999999999E-2</v>
      </c>
      <c r="AO52" s="218">
        <f t="shared" si="44"/>
        <v>0.25</v>
      </c>
      <c r="AP52" s="218">
        <f t="shared" si="44"/>
        <v>0</v>
      </c>
      <c r="AQ52" s="218">
        <f t="shared" si="44"/>
        <v>0</v>
      </c>
      <c r="AR52" s="218">
        <f t="shared" si="44"/>
        <v>7.1400000000000005E-2</v>
      </c>
      <c r="AS52" s="218">
        <f t="shared" si="44"/>
        <v>0</v>
      </c>
      <c r="AT52" s="218">
        <f t="shared" si="44"/>
        <v>0</v>
      </c>
      <c r="AU52" s="218" t="str">
        <f t="shared" si="44"/>
        <v>N/A</v>
      </c>
      <c r="AV52" s="218">
        <f t="shared" si="44"/>
        <v>3.3599999999999998E-2</v>
      </c>
      <c r="AW52" s="218">
        <f t="shared" si="44"/>
        <v>5.5100000000000003E-2</v>
      </c>
      <c r="AX52" s="218">
        <f t="shared" si="44"/>
        <v>3.61E-2</v>
      </c>
      <c r="AY52" s="218">
        <f t="shared" si="44"/>
        <v>3.4200000000000001E-2</v>
      </c>
      <c r="AZ52" s="218">
        <f t="shared" si="44"/>
        <v>4.1200000000000001E-2</v>
      </c>
      <c r="BA52" s="218">
        <f t="shared" si="44"/>
        <v>3.7900000000000003E-2</v>
      </c>
      <c r="BB52" s="218">
        <f t="shared" si="44"/>
        <v>3.5900000000000001E-2</v>
      </c>
      <c r="BC52" s="218">
        <f t="shared" si="44"/>
        <v>3.7999999999999999E-2</v>
      </c>
      <c r="BD52" s="218">
        <f t="shared" si="44"/>
        <v>8.8000000000000005E-3</v>
      </c>
      <c r="BE52" s="218">
        <f t="shared" si="44"/>
        <v>0</v>
      </c>
      <c r="BF52" s="218">
        <f t="shared" si="44"/>
        <v>0</v>
      </c>
      <c r="BG52" s="218">
        <f t="shared" si="44"/>
        <v>4.1999999999999997E-3</v>
      </c>
      <c r="BH52" s="218">
        <f t="shared" si="44"/>
        <v>0</v>
      </c>
      <c r="BI52" s="218">
        <f t="shared" si="44"/>
        <v>0</v>
      </c>
      <c r="BJ52" s="218">
        <f t="shared" si="44"/>
        <v>0</v>
      </c>
      <c r="BK52" s="219">
        <f>V52</f>
        <v>3.3599999999999998E-2</v>
      </c>
      <c r="BL52" s="219">
        <f>AVERAGE(V52:AG52)</f>
        <v>6.7266666666666669E-2</v>
      </c>
    </row>
    <row r="53" spans="1:64">
      <c r="A53" s="243" t="s">
        <v>388</v>
      </c>
      <c r="B53" s="169" t="s">
        <v>511</v>
      </c>
      <c r="C53" s="169" t="s">
        <v>757</v>
      </c>
      <c r="D53" s="169" t="s">
        <v>712</v>
      </c>
      <c r="E53" s="169" t="s">
        <v>173</v>
      </c>
      <c r="F53" s="169">
        <v>547</v>
      </c>
      <c r="G53" s="169">
        <v>15</v>
      </c>
      <c r="H53" s="169">
        <v>14</v>
      </c>
      <c r="I53" s="165">
        <v>20</v>
      </c>
      <c r="J53" s="165">
        <v>122</v>
      </c>
      <c r="K53" s="166" t="s">
        <v>514</v>
      </c>
      <c r="L53" s="165">
        <v>2024</v>
      </c>
      <c r="M53" s="165" t="s">
        <v>713</v>
      </c>
      <c r="N53" s="165">
        <v>10</v>
      </c>
      <c r="O53" s="181">
        <v>315</v>
      </c>
      <c r="P53" s="165" t="s">
        <v>758</v>
      </c>
      <c r="Q53" s="165">
        <v>-70.882999999999996</v>
      </c>
      <c r="R53" s="165">
        <v>40.256999999999998</v>
      </c>
      <c r="S53" s="165" t="s">
        <v>172</v>
      </c>
      <c r="T53" s="165">
        <v>25</v>
      </c>
      <c r="U53" s="166" t="s">
        <v>516</v>
      </c>
      <c r="V53" s="244">
        <v>1.764</v>
      </c>
      <c r="W53" s="244">
        <v>0.23899999999999999</v>
      </c>
      <c r="X53" s="244">
        <v>0.35099999999999998</v>
      </c>
      <c r="Y53" s="244">
        <v>8.1000000000000003E-2</v>
      </c>
      <c r="Z53" s="244">
        <v>3.1E-2</v>
      </c>
      <c r="AA53" s="244">
        <v>0.153</v>
      </c>
      <c r="AB53" s="244">
        <v>4.9000000000000002E-2</v>
      </c>
      <c r="AC53" s="244">
        <v>7.0999999999999994E-2</v>
      </c>
      <c r="AD53" s="244">
        <v>6.0000000000000001E-3</v>
      </c>
      <c r="AE53" s="244">
        <v>0.505</v>
      </c>
      <c r="AF53" s="244">
        <v>7.8E-2</v>
      </c>
      <c r="AG53" s="244">
        <v>3.1E-2</v>
      </c>
      <c r="AH53" s="244">
        <v>1.7470000000000001</v>
      </c>
      <c r="AI53" s="244">
        <v>-8888</v>
      </c>
      <c r="AJ53" s="244">
        <v>1.7000000000000001E-2</v>
      </c>
      <c r="AK53" s="244">
        <v>0.23899999999999999</v>
      </c>
      <c r="AL53" s="244">
        <v>-8888</v>
      </c>
      <c r="AM53" s="244">
        <v>0.21199999999999999</v>
      </c>
      <c r="AN53" s="244">
        <v>0.13900000000000001</v>
      </c>
      <c r="AO53" s="244">
        <v>8.9999999999999993E-3</v>
      </c>
      <c r="AP53" s="244">
        <v>2.7E-2</v>
      </c>
      <c r="AQ53" s="244">
        <v>2.1999999999999999E-2</v>
      </c>
      <c r="AR53" s="244">
        <v>2.1000000000000001E-2</v>
      </c>
      <c r="AS53" s="244">
        <v>4.7E-2</v>
      </c>
      <c r="AT53" s="244">
        <v>4.8000000000000001E-2</v>
      </c>
      <c r="AU53" s="244">
        <v>-8888</v>
      </c>
      <c r="AV53" s="244">
        <v>2.3540000000000001</v>
      </c>
      <c r="AW53" s="244">
        <v>0.23799999999999999</v>
      </c>
      <c r="AX53" s="244">
        <v>0.76700000000000002</v>
      </c>
      <c r="AY53" s="244">
        <v>3.121</v>
      </c>
      <c r="AZ53" s="244">
        <v>1.0049999999999999</v>
      </c>
      <c r="BA53" s="244">
        <v>1.5949999999999998</v>
      </c>
      <c r="BB53" s="244">
        <v>3.359</v>
      </c>
      <c r="BC53" s="244">
        <v>1.0859999999999999</v>
      </c>
      <c r="BD53" s="245">
        <v>0.9</v>
      </c>
      <c r="BE53" s="245">
        <v>0.76</v>
      </c>
      <c r="BF53" s="245">
        <v>0.24</v>
      </c>
      <c r="BG53" s="245">
        <v>2.34</v>
      </c>
      <c r="BH53" s="245">
        <v>7.0000000000000007E-2</v>
      </c>
      <c r="BI53" s="245">
        <v>0.93</v>
      </c>
      <c r="BJ53" s="245">
        <v>0.53</v>
      </c>
      <c r="BK53" s="242"/>
      <c r="BL53" s="242"/>
    </row>
    <row r="54" spans="1:64">
      <c r="A54" s="243" t="s">
        <v>389</v>
      </c>
      <c r="B54" s="169" t="s">
        <v>511</v>
      </c>
      <c r="C54" s="169" t="s">
        <v>759</v>
      </c>
      <c r="D54" s="169" t="s">
        <v>712</v>
      </c>
      <c r="E54" s="169" t="s">
        <v>173</v>
      </c>
      <c r="F54" s="169">
        <v>547</v>
      </c>
      <c r="G54" s="169">
        <v>15</v>
      </c>
      <c r="H54" s="169">
        <v>14</v>
      </c>
      <c r="I54" s="165">
        <v>20</v>
      </c>
      <c r="J54" s="165">
        <v>122</v>
      </c>
      <c r="K54" s="166" t="s">
        <v>514</v>
      </c>
      <c r="L54" s="165">
        <v>2024</v>
      </c>
      <c r="M54" s="165" t="s">
        <v>713</v>
      </c>
      <c r="N54" s="165">
        <v>10</v>
      </c>
      <c r="O54" s="181">
        <v>315</v>
      </c>
      <c r="P54" s="165" t="s">
        <v>758</v>
      </c>
      <c r="Q54" s="165">
        <v>-70.882999999999996</v>
      </c>
      <c r="R54" s="165">
        <v>40.256999999999998</v>
      </c>
      <c r="S54" s="165" t="s">
        <v>172</v>
      </c>
      <c r="T54" s="165">
        <v>25</v>
      </c>
      <c r="U54" s="166" t="s">
        <v>516</v>
      </c>
      <c r="V54" s="244">
        <v>1.6919999999999999</v>
      </c>
      <c r="W54" s="244">
        <v>0.23699999999999999</v>
      </c>
      <c r="X54" s="244">
        <v>0.33200000000000002</v>
      </c>
      <c r="Y54" s="244">
        <v>7.6999999999999999E-2</v>
      </c>
      <c r="Z54" s="244">
        <v>3.2000000000000001E-2</v>
      </c>
      <c r="AA54" s="244">
        <v>0.152</v>
      </c>
      <c r="AB54" s="244">
        <v>4.9000000000000002E-2</v>
      </c>
      <c r="AC54" s="244">
        <v>6.9000000000000006E-2</v>
      </c>
      <c r="AD54" s="244">
        <v>6.0000000000000001E-3</v>
      </c>
      <c r="AE54" s="244">
        <v>0.47099999999999997</v>
      </c>
      <c r="AF54" s="244">
        <v>8.2000000000000003E-2</v>
      </c>
      <c r="AG54" s="244">
        <v>2.9000000000000001E-2</v>
      </c>
      <c r="AH54" s="244">
        <v>1.675</v>
      </c>
      <c r="AI54" s="244">
        <v>-8888</v>
      </c>
      <c r="AJ54" s="244">
        <v>1.7000000000000001E-2</v>
      </c>
      <c r="AK54" s="244">
        <v>0.23699999999999999</v>
      </c>
      <c r="AL54" s="244">
        <v>-8888</v>
      </c>
      <c r="AM54" s="244">
        <v>0.20100000000000001</v>
      </c>
      <c r="AN54" s="244">
        <v>0.13100000000000001</v>
      </c>
      <c r="AO54" s="244">
        <v>8.9999999999999993E-3</v>
      </c>
      <c r="AP54" s="244">
        <v>2.7E-2</v>
      </c>
      <c r="AQ54" s="244">
        <v>2.1999999999999999E-2</v>
      </c>
      <c r="AR54" s="244">
        <v>0.02</v>
      </c>
      <c r="AS54" s="244">
        <v>4.7E-2</v>
      </c>
      <c r="AT54" s="244">
        <v>5.7000000000000002E-2</v>
      </c>
      <c r="AU54" s="244">
        <v>-8888</v>
      </c>
      <c r="AV54" s="244">
        <v>2.2609999999999997</v>
      </c>
      <c r="AW54" s="244">
        <v>0.23000000000000004</v>
      </c>
      <c r="AX54" s="244">
        <v>0.73699999999999999</v>
      </c>
      <c r="AY54" s="244">
        <v>2.9979999999999998</v>
      </c>
      <c r="AZ54" s="244">
        <v>0.96700000000000008</v>
      </c>
      <c r="BA54" s="244">
        <v>1.5360000000000003</v>
      </c>
      <c r="BB54" s="244">
        <v>3.2280000000000002</v>
      </c>
      <c r="BC54" s="244">
        <v>1.052</v>
      </c>
      <c r="BD54" s="245">
        <v>0.91</v>
      </c>
      <c r="BE54" s="245">
        <v>0.76</v>
      </c>
      <c r="BF54" s="245">
        <v>0.24</v>
      </c>
      <c r="BG54" s="245">
        <v>2.34</v>
      </c>
      <c r="BH54" s="245">
        <v>7.0000000000000007E-2</v>
      </c>
      <c r="BI54" s="245">
        <v>0.93</v>
      </c>
      <c r="BJ54" s="245">
        <v>0.52</v>
      </c>
      <c r="BK54" s="242"/>
      <c r="BL54" s="242"/>
    </row>
    <row r="55" spans="1:64">
      <c r="A55" s="210"/>
      <c r="B55" s="220"/>
      <c r="C55" s="220"/>
      <c r="D55" s="220"/>
      <c r="E55" s="220"/>
      <c r="F55" s="220"/>
      <c r="G55" s="220"/>
      <c r="H55" s="220"/>
      <c r="I55" s="220"/>
      <c r="J55" s="220"/>
      <c r="K55" s="220"/>
      <c r="L55" s="220"/>
      <c r="M55" s="220"/>
      <c r="N55" s="220"/>
      <c r="O55" s="220"/>
      <c r="P55" s="221"/>
      <c r="Q55" s="220"/>
      <c r="R55" s="220"/>
      <c r="S55" s="220"/>
      <c r="T55" s="220"/>
      <c r="U55" s="210" t="s">
        <v>22</v>
      </c>
      <c r="V55" s="210">
        <f t="shared" ref="V55:BC55" si="45">ROUND(AVERAGE((IF(V53=-8888,0,V53)),(IF(V54=-8888,0,V54))),3)</f>
        <v>1.728</v>
      </c>
      <c r="W55" s="210">
        <f t="shared" si="45"/>
        <v>0.23799999999999999</v>
      </c>
      <c r="X55" s="210">
        <f t="shared" si="45"/>
        <v>0.34200000000000003</v>
      </c>
      <c r="Y55" s="210">
        <f t="shared" si="45"/>
        <v>7.9000000000000001E-2</v>
      </c>
      <c r="Z55" s="210">
        <f t="shared" si="45"/>
        <v>3.2000000000000001E-2</v>
      </c>
      <c r="AA55" s="210">
        <f t="shared" si="45"/>
        <v>0.153</v>
      </c>
      <c r="AB55" s="210">
        <f t="shared" si="45"/>
        <v>4.9000000000000002E-2</v>
      </c>
      <c r="AC55" s="210">
        <f t="shared" si="45"/>
        <v>7.0000000000000007E-2</v>
      </c>
      <c r="AD55" s="210">
        <f t="shared" si="45"/>
        <v>6.0000000000000001E-3</v>
      </c>
      <c r="AE55" s="210">
        <f t="shared" si="45"/>
        <v>0.48799999999999999</v>
      </c>
      <c r="AF55" s="210">
        <f t="shared" si="45"/>
        <v>0.08</v>
      </c>
      <c r="AG55" s="210">
        <f t="shared" si="45"/>
        <v>0.03</v>
      </c>
      <c r="AH55" s="210">
        <f t="shared" si="45"/>
        <v>1.7110000000000001</v>
      </c>
      <c r="AI55" s="210">
        <f t="shared" si="45"/>
        <v>0</v>
      </c>
      <c r="AJ55" s="210">
        <f t="shared" si="45"/>
        <v>1.7000000000000001E-2</v>
      </c>
      <c r="AK55" s="210">
        <f t="shared" si="45"/>
        <v>0.23799999999999999</v>
      </c>
      <c r="AL55" s="210">
        <f t="shared" si="45"/>
        <v>0</v>
      </c>
      <c r="AM55" s="210">
        <f t="shared" si="45"/>
        <v>0.20699999999999999</v>
      </c>
      <c r="AN55" s="210">
        <f t="shared" si="45"/>
        <v>0.13500000000000001</v>
      </c>
      <c r="AO55" s="210">
        <f t="shared" si="45"/>
        <v>8.9999999999999993E-3</v>
      </c>
      <c r="AP55" s="210">
        <f t="shared" si="45"/>
        <v>2.7E-2</v>
      </c>
      <c r="AQ55" s="210">
        <f t="shared" si="45"/>
        <v>2.1999999999999999E-2</v>
      </c>
      <c r="AR55" s="210">
        <f t="shared" si="45"/>
        <v>2.1000000000000001E-2</v>
      </c>
      <c r="AS55" s="210">
        <f t="shared" si="45"/>
        <v>4.7E-2</v>
      </c>
      <c r="AT55" s="210">
        <f t="shared" si="45"/>
        <v>5.2999999999999999E-2</v>
      </c>
      <c r="AU55" s="210">
        <f t="shared" si="45"/>
        <v>0</v>
      </c>
      <c r="AV55" s="210">
        <f t="shared" si="45"/>
        <v>2.3079999999999998</v>
      </c>
      <c r="AW55" s="210">
        <f t="shared" si="45"/>
        <v>0.23400000000000001</v>
      </c>
      <c r="AX55" s="210">
        <f t="shared" si="45"/>
        <v>0.752</v>
      </c>
      <c r="AY55" s="210">
        <f t="shared" si="45"/>
        <v>3.06</v>
      </c>
      <c r="AZ55" s="210">
        <f t="shared" si="45"/>
        <v>0.98599999999999999</v>
      </c>
      <c r="BA55" s="210">
        <f t="shared" si="45"/>
        <v>1.5660000000000001</v>
      </c>
      <c r="BB55" s="210">
        <f t="shared" si="45"/>
        <v>3.294</v>
      </c>
      <c r="BC55" s="210">
        <f t="shared" si="45"/>
        <v>1.069</v>
      </c>
      <c r="BD55" s="209">
        <f>ROUND(AVERAGE((IF(BD53=-8888,0,BD53)),(IF(BD54=-8888,0,BD54))),2)</f>
        <v>0.91</v>
      </c>
      <c r="BE55" s="209">
        <f t="shared" ref="BE55:BJ55" si="46">ROUND(AVERAGE((IF(BE53=-8888,0,BE53)),(IF(BE54=-8888,0,BE54))),2)</f>
        <v>0.76</v>
      </c>
      <c r="BF55" s="209">
        <f t="shared" si="46"/>
        <v>0.24</v>
      </c>
      <c r="BG55" s="209">
        <f t="shared" si="46"/>
        <v>2.34</v>
      </c>
      <c r="BH55" s="209">
        <f t="shared" si="46"/>
        <v>7.0000000000000007E-2</v>
      </c>
      <c r="BI55" s="209">
        <f t="shared" si="46"/>
        <v>0.93</v>
      </c>
      <c r="BJ55" s="209">
        <f t="shared" si="46"/>
        <v>0.53</v>
      </c>
      <c r="BK55" s="211"/>
      <c r="BL55" s="211"/>
    </row>
    <row r="56" spans="1:64">
      <c r="A56" s="214"/>
      <c r="B56" s="222"/>
      <c r="C56" s="222"/>
      <c r="D56" s="222"/>
      <c r="E56" s="222"/>
      <c r="F56" s="222"/>
      <c r="G56" s="222"/>
      <c r="H56" s="222"/>
      <c r="I56" s="222"/>
      <c r="J56" s="222"/>
      <c r="K56" s="222"/>
      <c r="L56" s="222"/>
      <c r="M56" s="222"/>
      <c r="N56" s="222"/>
      <c r="O56" s="222"/>
      <c r="P56" s="223"/>
      <c r="Q56" s="222"/>
      <c r="R56" s="222"/>
      <c r="S56" s="222"/>
      <c r="T56" s="222"/>
      <c r="U56" s="214" t="s">
        <v>1015</v>
      </c>
      <c r="V56" s="214">
        <f t="shared" ref="V56:BC56" si="47">ROUND(STDEV((IF(V53=-8888,0,V53)),(IF(V54=-8888,0,V54))),3)</f>
        <v>5.0999999999999997E-2</v>
      </c>
      <c r="W56" s="214">
        <f t="shared" si="47"/>
        <v>1E-3</v>
      </c>
      <c r="X56" s="214">
        <f t="shared" si="47"/>
        <v>1.2999999999999999E-2</v>
      </c>
      <c r="Y56" s="214">
        <f t="shared" si="47"/>
        <v>3.0000000000000001E-3</v>
      </c>
      <c r="Z56" s="214">
        <f t="shared" si="47"/>
        <v>1E-3</v>
      </c>
      <c r="AA56" s="214">
        <f t="shared" si="47"/>
        <v>1E-3</v>
      </c>
      <c r="AB56" s="214">
        <f t="shared" si="47"/>
        <v>0</v>
      </c>
      <c r="AC56" s="214">
        <f t="shared" si="47"/>
        <v>1E-3</v>
      </c>
      <c r="AD56" s="214">
        <f t="shared" si="47"/>
        <v>0</v>
      </c>
      <c r="AE56" s="214">
        <f t="shared" si="47"/>
        <v>2.4E-2</v>
      </c>
      <c r="AF56" s="214">
        <f t="shared" si="47"/>
        <v>3.0000000000000001E-3</v>
      </c>
      <c r="AG56" s="214">
        <f t="shared" si="47"/>
        <v>1E-3</v>
      </c>
      <c r="AH56" s="214">
        <f t="shared" si="47"/>
        <v>5.0999999999999997E-2</v>
      </c>
      <c r="AI56" s="214">
        <f t="shared" si="47"/>
        <v>0</v>
      </c>
      <c r="AJ56" s="214">
        <f t="shared" si="47"/>
        <v>0</v>
      </c>
      <c r="AK56" s="214">
        <f t="shared" si="47"/>
        <v>1E-3</v>
      </c>
      <c r="AL56" s="214">
        <f t="shared" si="47"/>
        <v>0</v>
      </c>
      <c r="AM56" s="214">
        <f t="shared" si="47"/>
        <v>8.0000000000000002E-3</v>
      </c>
      <c r="AN56" s="214">
        <f t="shared" si="47"/>
        <v>6.0000000000000001E-3</v>
      </c>
      <c r="AO56" s="214">
        <f t="shared" si="47"/>
        <v>0</v>
      </c>
      <c r="AP56" s="214">
        <f t="shared" si="47"/>
        <v>0</v>
      </c>
      <c r="AQ56" s="214">
        <f t="shared" si="47"/>
        <v>0</v>
      </c>
      <c r="AR56" s="214">
        <f t="shared" si="47"/>
        <v>1E-3</v>
      </c>
      <c r="AS56" s="214">
        <f t="shared" si="47"/>
        <v>0</v>
      </c>
      <c r="AT56" s="214">
        <f t="shared" si="47"/>
        <v>6.0000000000000001E-3</v>
      </c>
      <c r="AU56" s="214">
        <f t="shared" si="47"/>
        <v>0</v>
      </c>
      <c r="AV56" s="214">
        <f t="shared" si="47"/>
        <v>6.6000000000000003E-2</v>
      </c>
      <c r="AW56" s="214">
        <f t="shared" si="47"/>
        <v>6.0000000000000001E-3</v>
      </c>
      <c r="AX56" s="214">
        <f t="shared" si="47"/>
        <v>2.1000000000000001E-2</v>
      </c>
      <c r="AY56" s="214">
        <f t="shared" si="47"/>
        <v>8.6999999999999994E-2</v>
      </c>
      <c r="AZ56" s="214">
        <f t="shared" si="47"/>
        <v>2.7E-2</v>
      </c>
      <c r="BA56" s="214">
        <f t="shared" si="47"/>
        <v>4.2000000000000003E-2</v>
      </c>
      <c r="BB56" s="214">
        <f t="shared" si="47"/>
        <v>9.2999999999999999E-2</v>
      </c>
      <c r="BC56" s="214">
        <f t="shared" si="47"/>
        <v>2.4E-2</v>
      </c>
      <c r="BD56" s="213">
        <f>ROUND(STDEV((IF(BD53=-8888,0,BD53)),(IF(BD54=-8888,0,BD54))),2)</f>
        <v>0.01</v>
      </c>
      <c r="BE56" s="213">
        <f t="shared" ref="BE56:BJ56" si="48">ROUND(STDEV((IF(BE53=-8888,0,BE53)),(IF(BE54=-8888,0,BE54))),2)</f>
        <v>0</v>
      </c>
      <c r="BF56" s="213">
        <f t="shared" si="48"/>
        <v>0</v>
      </c>
      <c r="BG56" s="213">
        <f t="shared" si="48"/>
        <v>0</v>
      </c>
      <c r="BH56" s="213">
        <f t="shared" si="48"/>
        <v>0</v>
      </c>
      <c r="BI56" s="213">
        <f t="shared" si="48"/>
        <v>0</v>
      </c>
      <c r="BJ56" s="213">
        <f t="shared" si="48"/>
        <v>0.01</v>
      </c>
      <c r="BK56" s="215"/>
      <c r="BL56" s="215"/>
    </row>
    <row r="57" spans="1:64">
      <c r="A57" s="216"/>
      <c r="B57" s="224"/>
      <c r="C57" s="224"/>
      <c r="D57" s="224"/>
      <c r="E57" s="224"/>
      <c r="F57" s="224"/>
      <c r="G57" s="224"/>
      <c r="H57" s="224"/>
      <c r="I57" s="224"/>
      <c r="J57" s="224"/>
      <c r="K57" s="224"/>
      <c r="L57" s="224"/>
      <c r="M57" s="224"/>
      <c r="N57" s="224"/>
      <c r="O57" s="224"/>
      <c r="P57" s="225"/>
      <c r="Q57" s="224"/>
      <c r="R57" s="224"/>
      <c r="S57" s="224"/>
      <c r="T57" s="224"/>
      <c r="U57" s="217" t="s">
        <v>148</v>
      </c>
      <c r="V57" s="218">
        <f>IF((V55=0),"N/A",ROUND((V56/V55),4))</f>
        <v>2.9499999999999998E-2</v>
      </c>
      <c r="W57" s="218">
        <f t="shared" ref="W57:BJ57" si="49">IF((W55=0),"N/A",ROUND((W56/W55),4))</f>
        <v>4.1999999999999997E-3</v>
      </c>
      <c r="X57" s="218">
        <f t="shared" si="49"/>
        <v>3.7999999999999999E-2</v>
      </c>
      <c r="Y57" s="218">
        <f t="shared" si="49"/>
        <v>3.7999999999999999E-2</v>
      </c>
      <c r="Z57" s="218">
        <f t="shared" si="49"/>
        <v>3.1300000000000001E-2</v>
      </c>
      <c r="AA57" s="218">
        <f t="shared" si="49"/>
        <v>6.4999999999999997E-3</v>
      </c>
      <c r="AB57" s="218">
        <f t="shared" si="49"/>
        <v>0</v>
      </c>
      <c r="AC57" s="218">
        <f t="shared" si="49"/>
        <v>1.43E-2</v>
      </c>
      <c r="AD57" s="218">
        <f t="shared" si="49"/>
        <v>0</v>
      </c>
      <c r="AE57" s="218">
        <f t="shared" si="49"/>
        <v>4.9200000000000001E-2</v>
      </c>
      <c r="AF57" s="218">
        <f t="shared" si="49"/>
        <v>3.7499999999999999E-2</v>
      </c>
      <c r="AG57" s="218">
        <f t="shared" si="49"/>
        <v>3.3300000000000003E-2</v>
      </c>
      <c r="AH57" s="218">
        <f t="shared" si="49"/>
        <v>2.98E-2</v>
      </c>
      <c r="AI57" s="218" t="str">
        <f t="shared" si="49"/>
        <v>N/A</v>
      </c>
      <c r="AJ57" s="218">
        <f t="shared" si="49"/>
        <v>0</v>
      </c>
      <c r="AK57" s="218">
        <f t="shared" si="49"/>
        <v>4.1999999999999997E-3</v>
      </c>
      <c r="AL57" s="218" t="str">
        <f t="shared" si="49"/>
        <v>N/A</v>
      </c>
      <c r="AM57" s="218">
        <f t="shared" si="49"/>
        <v>3.8600000000000002E-2</v>
      </c>
      <c r="AN57" s="218">
        <f t="shared" si="49"/>
        <v>4.4400000000000002E-2</v>
      </c>
      <c r="AO57" s="218">
        <f t="shared" si="49"/>
        <v>0</v>
      </c>
      <c r="AP57" s="218">
        <f t="shared" si="49"/>
        <v>0</v>
      </c>
      <c r="AQ57" s="218">
        <f t="shared" si="49"/>
        <v>0</v>
      </c>
      <c r="AR57" s="218">
        <f t="shared" si="49"/>
        <v>4.7600000000000003E-2</v>
      </c>
      <c r="AS57" s="218">
        <f t="shared" si="49"/>
        <v>0</v>
      </c>
      <c r="AT57" s="218">
        <f t="shared" si="49"/>
        <v>0.1132</v>
      </c>
      <c r="AU57" s="218" t="str">
        <f t="shared" si="49"/>
        <v>N/A</v>
      </c>
      <c r="AV57" s="218">
        <f t="shared" si="49"/>
        <v>2.86E-2</v>
      </c>
      <c r="AW57" s="218">
        <f t="shared" si="49"/>
        <v>2.5600000000000001E-2</v>
      </c>
      <c r="AX57" s="218">
        <f t="shared" si="49"/>
        <v>2.7900000000000001E-2</v>
      </c>
      <c r="AY57" s="218">
        <f t="shared" si="49"/>
        <v>2.8400000000000002E-2</v>
      </c>
      <c r="AZ57" s="218">
        <f t="shared" si="49"/>
        <v>2.7400000000000001E-2</v>
      </c>
      <c r="BA57" s="218">
        <f t="shared" si="49"/>
        <v>2.6800000000000001E-2</v>
      </c>
      <c r="BB57" s="218">
        <f t="shared" si="49"/>
        <v>2.8199999999999999E-2</v>
      </c>
      <c r="BC57" s="218">
        <f t="shared" si="49"/>
        <v>2.2499999999999999E-2</v>
      </c>
      <c r="BD57" s="218">
        <f t="shared" si="49"/>
        <v>1.0999999999999999E-2</v>
      </c>
      <c r="BE57" s="218">
        <f t="shared" si="49"/>
        <v>0</v>
      </c>
      <c r="BF57" s="218">
        <f t="shared" si="49"/>
        <v>0</v>
      </c>
      <c r="BG57" s="218">
        <f t="shared" si="49"/>
        <v>0</v>
      </c>
      <c r="BH57" s="218">
        <f t="shared" si="49"/>
        <v>0</v>
      </c>
      <c r="BI57" s="218">
        <f t="shared" si="49"/>
        <v>0</v>
      </c>
      <c r="BJ57" s="218">
        <f t="shared" si="49"/>
        <v>1.89E-2</v>
      </c>
      <c r="BK57" s="219">
        <f>V57</f>
        <v>2.9499999999999998E-2</v>
      </c>
      <c r="BL57" s="219">
        <f>AVERAGE(V57:AG57)</f>
        <v>2.3483333333333332E-2</v>
      </c>
    </row>
    <row r="58" spans="1:64">
      <c r="A58" s="243" t="s">
        <v>390</v>
      </c>
      <c r="B58" s="169" t="s">
        <v>511</v>
      </c>
      <c r="C58" s="169" t="s">
        <v>760</v>
      </c>
      <c r="D58" s="169" t="s">
        <v>712</v>
      </c>
      <c r="E58" s="169" t="s">
        <v>173</v>
      </c>
      <c r="F58" s="169">
        <v>548</v>
      </c>
      <c r="G58" s="169">
        <v>15</v>
      </c>
      <c r="H58" s="169">
        <v>18</v>
      </c>
      <c r="I58" s="165">
        <v>3.8</v>
      </c>
      <c r="J58" s="165">
        <v>122</v>
      </c>
      <c r="K58" s="166" t="s">
        <v>514</v>
      </c>
      <c r="L58" s="165">
        <v>2024</v>
      </c>
      <c r="M58" s="165" t="s">
        <v>713</v>
      </c>
      <c r="N58" s="165">
        <v>10</v>
      </c>
      <c r="O58" s="181">
        <v>315</v>
      </c>
      <c r="P58" s="165" t="s">
        <v>761</v>
      </c>
      <c r="Q58" s="165">
        <v>-70.882999999999996</v>
      </c>
      <c r="R58" s="165">
        <v>40.256999999999998</v>
      </c>
      <c r="S58" s="165" t="s">
        <v>172</v>
      </c>
      <c r="T58" s="165">
        <v>25</v>
      </c>
      <c r="U58" s="166" t="s">
        <v>516</v>
      </c>
      <c r="V58" s="244">
        <v>1.68</v>
      </c>
      <c r="W58" s="244">
        <v>0.23499999999999999</v>
      </c>
      <c r="X58" s="244">
        <v>0.32600000000000001</v>
      </c>
      <c r="Y58" s="244">
        <v>7.9000000000000001E-2</v>
      </c>
      <c r="Z58" s="244">
        <v>3.2000000000000001E-2</v>
      </c>
      <c r="AA58" s="244">
        <v>0.154</v>
      </c>
      <c r="AB58" s="244">
        <v>5.1999999999999998E-2</v>
      </c>
      <c r="AC58" s="244">
        <v>7.0000000000000007E-2</v>
      </c>
      <c r="AD58" s="244">
        <v>6.0000000000000001E-3</v>
      </c>
      <c r="AE58" s="244">
        <v>0.45800000000000002</v>
      </c>
      <c r="AF58" s="244">
        <v>8.2000000000000003E-2</v>
      </c>
      <c r="AG58" s="244">
        <v>0.03</v>
      </c>
      <c r="AH58" s="244">
        <v>1.671</v>
      </c>
      <c r="AI58" s="244">
        <v>-8888</v>
      </c>
      <c r="AJ58" s="244">
        <v>8.9999999999999993E-3</v>
      </c>
      <c r="AK58" s="244">
        <v>0.23499999999999999</v>
      </c>
      <c r="AL58" s="244">
        <v>-8888</v>
      </c>
      <c r="AM58" s="244">
        <v>0.19800000000000001</v>
      </c>
      <c r="AN58" s="244">
        <v>0.128</v>
      </c>
      <c r="AO58" s="244">
        <v>8.0000000000000002E-3</v>
      </c>
      <c r="AP58" s="244">
        <v>2.7E-2</v>
      </c>
      <c r="AQ58" s="244">
        <v>2.1999999999999999E-2</v>
      </c>
      <c r="AR58" s="244">
        <v>2.1999999999999999E-2</v>
      </c>
      <c r="AS58" s="244">
        <v>4.7E-2</v>
      </c>
      <c r="AT58" s="244">
        <v>4.2999999999999997E-2</v>
      </c>
      <c r="AU58" s="244">
        <v>-8888</v>
      </c>
      <c r="AV58" s="244">
        <v>2.2410000000000001</v>
      </c>
      <c r="AW58" s="244">
        <v>0.23699999999999999</v>
      </c>
      <c r="AX58" s="244">
        <v>0.72599999999999998</v>
      </c>
      <c r="AY58" s="244">
        <v>2.9670000000000001</v>
      </c>
      <c r="AZ58" s="244">
        <v>0.96299999999999997</v>
      </c>
      <c r="BA58" s="244">
        <v>1.524</v>
      </c>
      <c r="BB58" s="244">
        <v>3.2039999999999997</v>
      </c>
      <c r="BC58" s="244">
        <v>1.0429999999999999</v>
      </c>
      <c r="BD58" s="245">
        <v>0.91</v>
      </c>
      <c r="BE58" s="245">
        <v>0.75</v>
      </c>
      <c r="BF58" s="245">
        <v>0.25</v>
      </c>
      <c r="BG58" s="245">
        <v>2.33</v>
      </c>
      <c r="BH58" s="245">
        <v>7.0000000000000007E-2</v>
      </c>
      <c r="BI58" s="245">
        <v>0.93</v>
      </c>
      <c r="BJ58" s="245">
        <v>0.52</v>
      </c>
      <c r="BK58" s="242"/>
      <c r="BL58" s="242"/>
    </row>
    <row r="59" spans="1:64">
      <c r="A59" s="243" t="s">
        <v>391</v>
      </c>
      <c r="B59" s="169" t="s">
        <v>511</v>
      </c>
      <c r="C59" s="169" t="s">
        <v>762</v>
      </c>
      <c r="D59" s="169" t="s">
        <v>712</v>
      </c>
      <c r="E59" s="169" t="s">
        <v>173</v>
      </c>
      <c r="F59" s="169">
        <v>548</v>
      </c>
      <c r="G59" s="169">
        <v>15</v>
      </c>
      <c r="H59" s="169">
        <v>18</v>
      </c>
      <c r="I59" s="165">
        <v>3.8</v>
      </c>
      <c r="J59" s="165">
        <v>122</v>
      </c>
      <c r="K59" s="166" t="s">
        <v>514</v>
      </c>
      <c r="L59" s="165">
        <v>2024</v>
      </c>
      <c r="M59" s="165" t="s">
        <v>713</v>
      </c>
      <c r="N59" s="165">
        <v>10</v>
      </c>
      <c r="O59" s="181">
        <v>315</v>
      </c>
      <c r="P59" s="165" t="s">
        <v>761</v>
      </c>
      <c r="Q59" s="165">
        <v>-70.882999999999996</v>
      </c>
      <c r="R59" s="165">
        <v>40.256999999999998</v>
      </c>
      <c r="S59" s="165" t="s">
        <v>172</v>
      </c>
      <c r="T59" s="165">
        <v>25</v>
      </c>
      <c r="U59" s="166" t="s">
        <v>516</v>
      </c>
      <c r="V59" s="244">
        <v>1.649</v>
      </c>
      <c r="W59" s="244">
        <v>0.23699999999999999</v>
      </c>
      <c r="X59" s="244">
        <v>0.32800000000000001</v>
      </c>
      <c r="Y59" s="244">
        <v>7.4999999999999997E-2</v>
      </c>
      <c r="Z59" s="244">
        <v>3.1E-2</v>
      </c>
      <c r="AA59" s="244">
        <v>0.151</v>
      </c>
      <c r="AB59" s="244">
        <v>0.05</v>
      </c>
      <c r="AC59" s="244">
        <v>6.7000000000000004E-2</v>
      </c>
      <c r="AD59" s="244">
        <v>6.0000000000000001E-3</v>
      </c>
      <c r="AE59" s="244">
        <v>0.443</v>
      </c>
      <c r="AF59" s="244">
        <v>8.1000000000000003E-2</v>
      </c>
      <c r="AG59" s="244">
        <v>3.2000000000000001E-2</v>
      </c>
      <c r="AH59" s="244">
        <v>1.635</v>
      </c>
      <c r="AI59" s="244">
        <v>-8888</v>
      </c>
      <c r="AJ59" s="244">
        <v>1.4E-2</v>
      </c>
      <c r="AK59" s="244">
        <v>0.23699999999999999</v>
      </c>
      <c r="AL59" s="244">
        <v>-8888</v>
      </c>
      <c r="AM59" s="244">
        <v>0.19700000000000001</v>
      </c>
      <c r="AN59" s="244">
        <v>0.13100000000000001</v>
      </c>
      <c r="AO59" s="244">
        <v>8.9999999999999993E-3</v>
      </c>
      <c r="AP59" s="244">
        <v>2.5999999999999999E-2</v>
      </c>
      <c r="AQ59" s="244">
        <v>2.1000000000000001E-2</v>
      </c>
      <c r="AR59" s="244">
        <v>1.9E-2</v>
      </c>
      <c r="AS59" s="244">
        <v>4.1000000000000002E-2</v>
      </c>
      <c r="AT59" s="244">
        <v>4.4999999999999998E-2</v>
      </c>
      <c r="AU59" s="244">
        <v>-8888</v>
      </c>
      <c r="AV59" s="244">
        <v>2.214</v>
      </c>
      <c r="AW59" s="244">
        <v>0.23000000000000004</v>
      </c>
      <c r="AX59" s="244">
        <v>0.70599999999999996</v>
      </c>
      <c r="AY59" s="244">
        <v>2.92</v>
      </c>
      <c r="AZ59" s="244">
        <v>0.93599999999999994</v>
      </c>
      <c r="BA59" s="244">
        <v>1.5010000000000001</v>
      </c>
      <c r="BB59" s="244">
        <v>3.1500000000000004</v>
      </c>
      <c r="BC59" s="244">
        <v>1.0249999999999999</v>
      </c>
      <c r="BD59" s="245">
        <v>0.91</v>
      </c>
      <c r="BE59" s="245">
        <v>0.75</v>
      </c>
      <c r="BF59" s="245">
        <v>0.25</v>
      </c>
      <c r="BG59" s="245">
        <v>2.37</v>
      </c>
      <c r="BH59" s="245">
        <v>7.0000000000000007E-2</v>
      </c>
      <c r="BI59" s="245">
        <v>0.93</v>
      </c>
      <c r="BJ59" s="245">
        <v>0.52</v>
      </c>
      <c r="BK59" s="242"/>
      <c r="BL59" s="242"/>
    </row>
    <row r="60" spans="1:64">
      <c r="A60" s="210"/>
      <c r="B60" s="220"/>
      <c r="C60" s="220"/>
      <c r="D60" s="220"/>
      <c r="E60" s="220"/>
      <c r="F60" s="220"/>
      <c r="G60" s="220"/>
      <c r="H60" s="220"/>
      <c r="I60" s="220"/>
      <c r="J60" s="220"/>
      <c r="K60" s="220"/>
      <c r="L60" s="220"/>
      <c r="M60" s="220"/>
      <c r="N60" s="220"/>
      <c r="O60" s="220"/>
      <c r="P60" s="221"/>
      <c r="Q60" s="220"/>
      <c r="R60" s="220"/>
      <c r="S60" s="220"/>
      <c r="T60" s="220"/>
      <c r="U60" s="210" t="s">
        <v>22</v>
      </c>
      <c r="V60" s="210">
        <f t="shared" ref="V60:BC60" si="50">ROUND(AVERAGE((IF(V58=-8888,0,V58)),(IF(V59=-8888,0,V59))),3)</f>
        <v>1.665</v>
      </c>
      <c r="W60" s="210">
        <f t="shared" si="50"/>
        <v>0.23599999999999999</v>
      </c>
      <c r="X60" s="210">
        <f t="shared" si="50"/>
        <v>0.32700000000000001</v>
      </c>
      <c r="Y60" s="210">
        <f t="shared" si="50"/>
        <v>7.6999999999999999E-2</v>
      </c>
      <c r="Z60" s="210">
        <f t="shared" si="50"/>
        <v>3.2000000000000001E-2</v>
      </c>
      <c r="AA60" s="210">
        <f t="shared" si="50"/>
        <v>0.153</v>
      </c>
      <c r="AB60" s="210">
        <f t="shared" si="50"/>
        <v>5.0999999999999997E-2</v>
      </c>
      <c r="AC60" s="210">
        <f t="shared" si="50"/>
        <v>6.9000000000000006E-2</v>
      </c>
      <c r="AD60" s="210">
        <f t="shared" si="50"/>
        <v>6.0000000000000001E-3</v>
      </c>
      <c r="AE60" s="210">
        <f t="shared" si="50"/>
        <v>0.45100000000000001</v>
      </c>
      <c r="AF60" s="210">
        <f t="shared" si="50"/>
        <v>8.2000000000000003E-2</v>
      </c>
      <c r="AG60" s="210">
        <f t="shared" si="50"/>
        <v>3.1E-2</v>
      </c>
      <c r="AH60" s="210">
        <f t="shared" si="50"/>
        <v>1.653</v>
      </c>
      <c r="AI60" s="210">
        <f t="shared" si="50"/>
        <v>0</v>
      </c>
      <c r="AJ60" s="210">
        <f t="shared" si="50"/>
        <v>1.2E-2</v>
      </c>
      <c r="AK60" s="210">
        <f t="shared" si="50"/>
        <v>0.23599999999999999</v>
      </c>
      <c r="AL60" s="210">
        <f t="shared" si="50"/>
        <v>0</v>
      </c>
      <c r="AM60" s="210">
        <f t="shared" si="50"/>
        <v>0.19800000000000001</v>
      </c>
      <c r="AN60" s="210">
        <f t="shared" si="50"/>
        <v>0.13</v>
      </c>
      <c r="AO60" s="210">
        <f t="shared" si="50"/>
        <v>8.9999999999999993E-3</v>
      </c>
      <c r="AP60" s="210">
        <f t="shared" si="50"/>
        <v>2.7E-2</v>
      </c>
      <c r="AQ60" s="210">
        <f t="shared" si="50"/>
        <v>2.1999999999999999E-2</v>
      </c>
      <c r="AR60" s="210">
        <f t="shared" si="50"/>
        <v>2.1000000000000001E-2</v>
      </c>
      <c r="AS60" s="210">
        <f t="shared" si="50"/>
        <v>4.3999999999999997E-2</v>
      </c>
      <c r="AT60" s="210">
        <f t="shared" si="50"/>
        <v>4.3999999999999997E-2</v>
      </c>
      <c r="AU60" s="210">
        <f t="shared" si="50"/>
        <v>0</v>
      </c>
      <c r="AV60" s="210">
        <f t="shared" si="50"/>
        <v>2.2280000000000002</v>
      </c>
      <c r="AW60" s="210">
        <f t="shared" si="50"/>
        <v>0.23400000000000001</v>
      </c>
      <c r="AX60" s="210">
        <f t="shared" si="50"/>
        <v>0.71599999999999997</v>
      </c>
      <c r="AY60" s="210">
        <f t="shared" si="50"/>
        <v>2.944</v>
      </c>
      <c r="AZ60" s="210">
        <f t="shared" si="50"/>
        <v>0.95</v>
      </c>
      <c r="BA60" s="210">
        <f t="shared" si="50"/>
        <v>1.5129999999999999</v>
      </c>
      <c r="BB60" s="210">
        <f t="shared" si="50"/>
        <v>3.177</v>
      </c>
      <c r="BC60" s="210">
        <f t="shared" si="50"/>
        <v>1.034</v>
      </c>
      <c r="BD60" s="209">
        <f>ROUND(AVERAGE((IF(BD58=-8888,0,BD58)),(IF(BD59=-8888,0,BD59))),2)</f>
        <v>0.91</v>
      </c>
      <c r="BE60" s="209">
        <f t="shared" ref="BE60:BJ60" si="51">ROUND(AVERAGE((IF(BE58=-8888,0,BE58)),(IF(BE59=-8888,0,BE59))),2)</f>
        <v>0.75</v>
      </c>
      <c r="BF60" s="209">
        <f t="shared" si="51"/>
        <v>0.25</v>
      </c>
      <c r="BG60" s="209">
        <f t="shared" si="51"/>
        <v>2.35</v>
      </c>
      <c r="BH60" s="209">
        <f t="shared" si="51"/>
        <v>7.0000000000000007E-2</v>
      </c>
      <c r="BI60" s="209">
        <f t="shared" si="51"/>
        <v>0.93</v>
      </c>
      <c r="BJ60" s="209">
        <f t="shared" si="51"/>
        <v>0.52</v>
      </c>
      <c r="BK60" s="211"/>
      <c r="BL60" s="211"/>
    </row>
    <row r="61" spans="1:64">
      <c r="A61" s="214"/>
      <c r="B61" s="222"/>
      <c r="C61" s="222"/>
      <c r="D61" s="222"/>
      <c r="E61" s="222"/>
      <c r="F61" s="222"/>
      <c r="G61" s="222"/>
      <c r="H61" s="222"/>
      <c r="I61" s="222"/>
      <c r="J61" s="222"/>
      <c r="K61" s="222"/>
      <c r="L61" s="222"/>
      <c r="M61" s="222"/>
      <c r="N61" s="222"/>
      <c r="O61" s="222"/>
      <c r="P61" s="223"/>
      <c r="Q61" s="222"/>
      <c r="R61" s="222"/>
      <c r="S61" s="222"/>
      <c r="T61" s="222"/>
      <c r="U61" s="214" t="s">
        <v>1015</v>
      </c>
      <c r="V61" s="214">
        <f t="shared" ref="V61:BC61" si="52">ROUND(STDEV((IF(V58=-8888,0,V58)),(IF(V59=-8888,0,V59))),3)</f>
        <v>2.1999999999999999E-2</v>
      </c>
      <c r="W61" s="214">
        <f t="shared" si="52"/>
        <v>1E-3</v>
      </c>
      <c r="X61" s="214">
        <f t="shared" si="52"/>
        <v>1E-3</v>
      </c>
      <c r="Y61" s="214">
        <f t="shared" si="52"/>
        <v>3.0000000000000001E-3</v>
      </c>
      <c r="Z61" s="214">
        <f t="shared" si="52"/>
        <v>1E-3</v>
      </c>
      <c r="AA61" s="214">
        <f t="shared" si="52"/>
        <v>2E-3</v>
      </c>
      <c r="AB61" s="214">
        <f t="shared" si="52"/>
        <v>1E-3</v>
      </c>
      <c r="AC61" s="214">
        <f t="shared" si="52"/>
        <v>2E-3</v>
      </c>
      <c r="AD61" s="214">
        <f t="shared" si="52"/>
        <v>0</v>
      </c>
      <c r="AE61" s="214">
        <f t="shared" si="52"/>
        <v>1.0999999999999999E-2</v>
      </c>
      <c r="AF61" s="214">
        <f t="shared" si="52"/>
        <v>1E-3</v>
      </c>
      <c r="AG61" s="214">
        <f t="shared" si="52"/>
        <v>1E-3</v>
      </c>
      <c r="AH61" s="214">
        <f t="shared" si="52"/>
        <v>2.5000000000000001E-2</v>
      </c>
      <c r="AI61" s="214">
        <f t="shared" si="52"/>
        <v>0</v>
      </c>
      <c r="AJ61" s="214">
        <f t="shared" si="52"/>
        <v>4.0000000000000001E-3</v>
      </c>
      <c r="AK61" s="214">
        <f t="shared" si="52"/>
        <v>1E-3</v>
      </c>
      <c r="AL61" s="214">
        <f t="shared" si="52"/>
        <v>0</v>
      </c>
      <c r="AM61" s="214">
        <f t="shared" si="52"/>
        <v>1E-3</v>
      </c>
      <c r="AN61" s="214">
        <f t="shared" si="52"/>
        <v>2E-3</v>
      </c>
      <c r="AO61" s="214">
        <f t="shared" si="52"/>
        <v>1E-3</v>
      </c>
      <c r="AP61" s="214">
        <f t="shared" si="52"/>
        <v>1E-3</v>
      </c>
      <c r="AQ61" s="214">
        <f t="shared" si="52"/>
        <v>1E-3</v>
      </c>
      <c r="AR61" s="214">
        <f t="shared" si="52"/>
        <v>2E-3</v>
      </c>
      <c r="AS61" s="214">
        <f t="shared" si="52"/>
        <v>4.0000000000000001E-3</v>
      </c>
      <c r="AT61" s="214">
        <f t="shared" si="52"/>
        <v>1E-3</v>
      </c>
      <c r="AU61" s="214">
        <f t="shared" si="52"/>
        <v>0</v>
      </c>
      <c r="AV61" s="214">
        <f t="shared" si="52"/>
        <v>1.9E-2</v>
      </c>
      <c r="AW61" s="214">
        <f t="shared" si="52"/>
        <v>5.0000000000000001E-3</v>
      </c>
      <c r="AX61" s="214">
        <f t="shared" si="52"/>
        <v>1.4E-2</v>
      </c>
      <c r="AY61" s="214">
        <f t="shared" si="52"/>
        <v>3.3000000000000002E-2</v>
      </c>
      <c r="AZ61" s="214">
        <f t="shared" si="52"/>
        <v>1.9E-2</v>
      </c>
      <c r="BA61" s="214">
        <f t="shared" si="52"/>
        <v>1.6E-2</v>
      </c>
      <c r="BB61" s="214">
        <f t="shared" si="52"/>
        <v>3.7999999999999999E-2</v>
      </c>
      <c r="BC61" s="214">
        <f t="shared" si="52"/>
        <v>1.2999999999999999E-2</v>
      </c>
      <c r="BD61" s="213">
        <f>ROUND(STDEV((IF(BD58=-8888,0,BD58)),(IF(BD59=-8888,0,BD59))),2)</f>
        <v>0</v>
      </c>
      <c r="BE61" s="213">
        <f t="shared" ref="BE61:BJ61" si="53">ROUND(STDEV((IF(BE58=-8888,0,BE58)),(IF(BE59=-8888,0,BE59))),2)</f>
        <v>0</v>
      </c>
      <c r="BF61" s="213">
        <f t="shared" si="53"/>
        <v>0</v>
      </c>
      <c r="BG61" s="213">
        <f t="shared" si="53"/>
        <v>0.03</v>
      </c>
      <c r="BH61" s="213">
        <f t="shared" si="53"/>
        <v>0</v>
      </c>
      <c r="BI61" s="213">
        <f t="shared" si="53"/>
        <v>0</v>
      </c>
      <c r="BJ61" s="213">
        <f t="shared" si="53"/>
        <v>0</v>
      </c>
      <c r="BK61" s="215"/>
      <c r="BL61" s="215"/>
    </row>
    <row r="62" spans="1:64">
      <c r="A62" s="216"/>
      <c r="B62" s="224"/>
      <c r="C62" s="224"/>
      <c r="D62" s="224"/>
      <c r="E62" s="224"/>
      <c r="F62" s="224"/>
      <c r="G62" s="224"/>
      <c r="H62" s="224"/>
      <c r="I62" s="224"/>
      <c r="J62" s="224"/>
      <c r="K62" s="224"/>
      <c r="L62" s="224"/>
      <c r="M62" s="224"/>
      <c r="N62" s="224"/>
      <c r="O62" s="224"/>
      <c r="P62" s="225"/>
      <c r="Q62" s="224"/>
      <c r="R62" s="224"/>
      <c r="S62" s="224"/>
      <c r="T62" s="224"/>
      <c r="U62" s="217" t="s">
        <v>148</v>
      </c>
      <c r="V62" s="218">
        <f>IF((V60=0),"N/A",ROUND((V61/V60),4))</f>
        <v>1.32E-2</v>
      </c>
      <c r="W62" s="218">
        <f t="shared" ref="W62:BJ62" si="54">IF((W60=0),"N/A",ROUND((W61/W60),4))</f>
        <v>4.1999999999999997E-3</v>
      </c>
      <c r="X62" s="218">
        <f t="shared" si="54"/>
        <v>3.0999999999999999E-3</v>
      </c>
      <c r="Y62" s="218">
        <f t="shared" si="54"/>
        <v>3.9E-2</v>
      </c>
      <c r="Z62" s="218">
        <f t="shared" si="54"/>
        <v>3.1300000000000001E-2</v>
      </c>
      <c r="AA62" s="218">
        <f t="shared" si="54"/>
        <v>1.3100000000000001E-2</v>
      </c>
      <c r="AB62" s="218">
        <f t="shared" si="54"/>
        <v>1.9599999999999999E-2</v>
      </c>
      <c r="AC62" s="218">
        <f t="shared" si="54"/>
        <v>2.9000000000000001E-2</v>
      </c>
      <c r="AD62" s="218">
        <f t="shared" si="54"/>
        <v>0</v>
      </c>
      <c r="AE62" s="218">
        <f t="shared" si="54"/>
        <v>2.4400000000000002E-2</v>
      </c>
      <c r="AF62" s="218">
        <f t="shared" si="54"/>
        <v>1.2200000000000001E-2</v>
      </c>
      <c r="AG62" s="218">
        <f t="shared" si="54"/>
        <v>3.2300000000000002E-2</v>
      </c>
      <c r="AH62" s="218">
        <f t="shared" si="54"/>
        <v>1.5100000000000001E-2</v>
      </c>
      <c r="AI62" s="218" t="str">
        <f t="shared" si="54"/>
        <v>N/A</v>
      </c>
      <c r="AJ62" s="218">
        <f t="shared" si="54"/>
        <v>0.33329999999999999</v>
      </c>
      <c r="AK62" s="218">
        <f t="shared" si="54"/>
        <v>4.1999999999999997E-3</v>
      </c>
      <c r="AL62" s="218" t="str">
        <f t="shared" si="54"/>
        <v>N/A</v>
      </c>
      <c r="AM62" s="218">
        <f t="shared" si="54"/>
        <v>5.1000000000000004E-3</v>
      </c>
      <c r="AN62" s="218">
        <f t="shared" si="54"/>
        <v>1.54E-2</v>
      </c>
      <c r="AO62" s="218">
        <f t="shared" si="54"/>
        <v>0.1111</v>
      </c>
      <c r="AP62" s="218">
        <f t="shared" si="54"/>
        <v>3.6999999999999998E-2</v>
      </c>
      <c r="AQ62" s="218">
        <f t="shared" si="54"/>
        <v>4.5499999999999999E-2</v>
      </c>
      <c r="AR62" s="218">
        <f t="shared" si="54"/>
        <v>9.5200000000000007E-2</v>
      </c>
      <c r="AS62" s="218">
        <f t="shared" si="54"/>
        <v>9.0899999999999995E-2</v>
      </c>
      <c r="AT62" s="218">
        <f t="shared" si="54"/>
        <v>2.2700000000000001E-2</v>
      </c>
      <c r="AU62" s="218" t="str">
        <f t="shared" si="54"/>
        <v>N/A</v>
      </c>
      <c r="AV62" s="218">
        <f t="shared" si="54"/>
        <v>8.5000000000000006E-3</v>
      </c>
      <c r="AW62" s="218">
        <f t="shared" si="54"/>
        <v>2.1399999999999999E-2</v>
      </c>
      <c r="AX62" s="218">
        <f t="shared" si="54"/>
        <v>1.9599999999999999E-2</v>
      </c>
      <c r="AY62" s="218">
        <f t="shared" si="54"/>
        <v>1.12E-2</v>
      </c>
      <c r="AZ62" s="218">
        <f t="shared" si="54"/>
        <v>0.02</v>
      </c>
      <c r="BA62" s="218">
        <f t="shared" si="54"/>
        <v>1.06E-2</v>
      </c>
      <c r="BB62" s="218">
        <f t="shared" si="54"/>
        <v>1.2E-2</v>
      </c>
      <c r="BC62" s="218">
        <f t="shared" si="54"/>
        <v>1.26E-2</v>
      </c>
      <c r="BD62" s="218">
        <f t="shared" si="54"/>
        <v>0</v>
      </c>
      <c r="BE62" s="218">
        <f t="shared" si="54"/>
        <v>0</v>
      </c>
      <c r="BF62" s="218">
        <f t="shared" si="54"/>
        <v>0</v>
      </c>
      <c r="BG62" s="218">
        <f t="shared" si="54"/>
        <v>1.2800000000000001E-2</v>
      </c>
      <c r="BH62" s="218">
        <f t="shared" si="54"/>
        <v>0</v>
      </c>
      <c r="BI62" s="218">
        <f t="shared" si="54"/>
        <v>0</v>
      </c>
      <c r="BJ62" s="218">
        <f t="shared" si="54"/>
        <v>0</v>
      </c>
      <c r="BK62" s="219">
        <f>V62</f>
        <v>1.32E-2</v>
      </c>
      <c r="BL62" s="219">
        <f>AVERAGE(V62:AG62)</f>
        <v>1.8449999999999998E-2</v>
      </c>
    </row>
    <row r="63" spans="1:64">
      <c r="A63" s="243" t="s">
        <v>393</v>
      </c>
      <c r="B63" s="169" t="s">
        <v>511</v>
      </c>
      <c r="C63" s="169" t="s">
        <v>763</v>
      </c>
      <c r="D63" s="169" t="s">
        <v>712</v>
      </c>
      <c r="E63" s="169" t="s">
        <v>173</v>
      </c>
      <c r="F63" s="169">
        <v>1060</v>
      </c>
      <c r="G63" s="169">
        <v>16</v>
      </c>
      <c r="H63" s="169">
        <v>6</v>
      </c>
      <c r="I63" s="165">
        <v>65.099999999999994</v>
      </c>
      <c r="J63" s="165">
        <v>139</v>
      </c>
      <c r="K63" s="166" t="s">
        <v>514</v>
      </c>
      <c r="L63" s="165">
        <v>2024</v>
      </c>
      <c r="M63" s="165" t="s">
        <v>713</v>
      </c>
      <c r="N63" s="165">
        <v>10</v>
      </c>
      <c r="O63" s="181">
        <v>315</v>
      </c>
      <c r="P63" s="165" t="s">
        <v>764</v>
      </c>
      <c r="Q63" s="165">
        <v>-70.891000000000005</v>
      </c>
      <c r="R63" s="165">
        <v>40.149000000000001</v>
      </c>
      <c r="S63" s="165" t="s">
        <v>172</v>
      </c>
      <c r="T63" s="165">
        <v>25</v>
      </c>
      <c r="U63" s="166" t="s">
        <v>516</v>
      </c>
      <c r="V63" s="244">
        <v>0.10400000000000001</v>
      </c>
      <c r="W63" s="244">
        <v>1.6E-2</v>
      </c>
      <c r="X63" s="244">
        <v>2.8999999999999998E-2</v>
      </c>
      <c r="Y63" s="244">
        <v>6.0000000000000001E-3</v>
      </c>
      <c r="Z63" s="244">
        <v>7.0000000000000001E-3</v>
      </c>
      <c r="AA63" s="244">
        <v>8.0000000000000002E-3</v>
      </c>
      <c r="AB63" s="244">
        <v>3.0000000000000001E-3</v>
      </c>
      <c r="AC63" s="244">
        <v>4.0000000000000001E-3</v>
      </c>
      <c r="AD63" s="244">
        <v>-8888</v>
      </c>
      <c r="AE63" s="244">
        <v>4.4999999999999998E-2</v>
      </c>
      <c r="AF63" s="244">
        <v>5.0000000000000001E-3</v>
      </c>
      <c r="AG63" s="244">
        <v>3.0000000000000001E-3</v>
      </c>
      <c r="AH63" s="244">
        <v>0.1</v>
      </c>
      <c r="AI63" s="244">
        <v>2E-3</v>
      </c>
      <c r="AJ63" s="244">
        <v>2E-3</v>
      </c>
      <c r="AK63" s="244">
        <v>1.2E-2</v>
      </c>
      <c r="AL63" s="244">
        <v>4.0000000000000001E-3</v>
      </c>
      <c r="AM63" s="244">
        <v>1.2999999999999999E-2</v>
      </c>
      <c r="AN63" s="244">
        <v>1.6E-2</v>
      </c>
      <c r="AO63" s="244">
        <v>1E-3</v>
      </c>
      <c r="AP63" s="244">
        <v>1E-3</v>
      </c>
      <c r="AQ63" s="244">
        <v>1E-3</v>
      </c>
      <c r="AR63" s="244">
        <v>4.0000000000000001E-3</v>
      </c>
      <c r="AS63" s="244">
        <v>1.2E-2</v>
      </c>
      <c r="AT63" s="244">
        <v>3.0000000000000001E-3</v>
      </c>
      <c r="AU63" s="244">
        <v>-8888</v>
      </c>
      <c r="AV63" s="244">
        <v>0.14900000000000002</v>
      </c>
      <c r="AW63" s="244">
        <v>1.6E-2</v>
      </c>
      <c r="AX63" s="244">
        <v>6.5000000000000002E-2</v>
      </c>
      <c r="AY63" s="244">
        <v>0.21400000000000002</v>
      </c>
      <c r="AZ63" s="244">
        <v>8.1000000000000003E-2</v>
      </c>
      <c r="BA63" s="244">
        <v>0.126</v>
      </c>
      <c r="BB63" s="244">
        <v>0.23</v>
      </c>
      <c r="BC63" s="244">
        <v>8.6999999999999994E-2</v>
      </c>
      <c r="BD63" s="245">
        <v>1.21</v>
      </c>
      <c r="BE63" s="245">
        <v>0.8</v>
      </c>
      <c r="BF63" s="245">
        <v>0.2</v>
      </c>
      <c r="BG63" s="245">
        <v>1.84</v>
      </c>
      <c r="BH63" s="245">
        <v>7.0000000000000007E-2</v>
      </c>
      <c r="BI63" s="245">
        <v>0.93</v>
      </c>
      <c r="BJ63" s="245">
        <v>0.45</v>
      </c>
      <c r="BK63" s="242"/>
      <c r="BL63" s="242"/>
    </row>
    <row r="64" spans="1:64">
      <c r="A64" s="243" t="s">
        <v>394</v>
      </c>
      <c r="B64" s="169" t="s">
        <v>511</v>
      </c>
      <c r="C64" s="169" t="s">
        <v>765</v>
      </c>
      <c r="D64" s="169" t="s">
        <v>712</v>
      </c>
      <c r="E64" s="169" t="s">
        <v>173</v>
      </c>
      <c r="F64" s="169">
        <v>1055</v>
      </c>
      <c r="G64" s="169">
        <v>16</v>
      </c>
      <c r="H64" s="169">
        <v>6</v>
      </c>
      <c r="I64" s="165">
        <v>65.099999999999994</v>
      </c>
      <c r="J64" s="165">
        <v>139</v>
      </c>
      <c r="K64" s="166" t="s">
        <v>514</v>
      </c>
      <c r="L64" s="165">
        <v>2024</v>
      </c>
      <c r="M64" s="165" t="s">
        <v>713</v>
      </c>
      <c r="N64" s="165">
        <v>10</v>
      </c>
      <c r="O64" s="181">
        <v>315</v>
      </c>
      <c r="P64" s="165" t="s">
        <v>764</v>
      </c>
      <c r="Q64" s="165">
        <v>-70.891000000000005</v>
      </c>
      <c r="R64" s="165">
        <v>40.149000000000001</v>
      </c>
      <c r="S64" s="165" t="s">
        <v>172</v>
      </c>
      <c r="T64" s="165">
        <v>25</v>
      </c>
      <c r="U64" s="166" t="s">
        <v>516</v>
      </c>
      <c r="V64" s="244">
        <v>0.128</v>
      </c>
      <c r="W64" s="244">
        <v>1.7000000000000001E-2</v>
      </c>
      <c r="X64" s="244">
        <v>3.5000000000000003E-2</v>
      </c>
      <c r="Y64" s="244">
        <v>6.0000000000000001E-3</v>
      </c>
      <c r="Z64" s="244">
        <v>7.0000000000000001E-3</v>
      </c>
      <c r="AA64" s="244">
        <v>8.9999999999999993E-3</v>
      </c>
      <c r="AB64" s="244">
        <v>1E-3</v>
      </c>
      <c r="AC64" s="244">
        <v>4.0000000000000001E-3</v>
      </c>
      <c r="AD64" s="244">
        <v>-8888</v>
      </c>
      <c r="AE64" s="244">
        <v>5.6000000000000001E-2</v>
      </c>
      <c r="AF64" s="244">
        <v>5.0000000000000001E-3</v>
      </c>
      <c r="AG64" s="244">
        <v>3.0000000000000001E-3</v>
      </c>
      <c r="AH64" s="244">
        <v>0.122</v>
      </c>
      <c r="AI64" s="244">
        <v>3.0000000000000001E-3</v>
      </c>
      <c r="AJ64" s="244">
        <v>3.0000000000000001E-3</v>
      </c>
      <c r="AK64" s="244">
        <v>1.2999999999999999E-2</v>
      </c>
      <c r="AL64" s="244">
        <v>4.0000000000000001E-3</v>
      </c>
      <c r="AM64" s="244">
        <v>1.6E-2</v>
      </c>
      <c r="AN64" s="244">
        <v>1.9E-2</v>
      </c>
      <c r="AO64" s="244">
        <v>1E-3</v>
      </c>
      <c r="AP64" s="244">
        <v>1E-3</v>
      </c>
      <c r="AQ64" s="244">
        <v>1E-3</v>
      </c>
      <c r="AR64" s="244">
        <v>4.0000000000000001E-3</v>
      </c>
      <c r="AS64" s="244">
        <v>1.2999999999999999E-2</v>
      </c>
      <c r="AT64" s="244">
        <v>3.0000000000000001E-3</v>
      </c>
      <c r="AU64" s="244">
        <v>-8888</v>
      </c>
      <c r="AV64" s="244">
        <v>0.18000000000000002</v>
      </c>
      <c r="AW64" s="244">
        <v>1.4E-2</v>
      </c>
      <c r="AX64" s="244">
        <v>7.6999999999999999E-2</v>
      </c>
      <c r="AY64" s="244">
        <v>0.25700000000000001</v>
      </c>
      <c r="AZ64" s="244">
        <v>9.0999999999999998E-2</v>
      </c>
      <c r="BA64" s="244">
        <v>0.14300000000000002</v>
      </c>
      <c r="BB64" s="244">
        <v>0.27100000000000002</v>
      </c>
      <c r="BC64" s="244">
        <v>9.8000000000000004E-2</v>
      </c>
      <c r="BD64" s="245">
        <v>1.1200000000000001</v>
      </c>
      <c r="BE64" s="245">
        <v>0.85</v>
      </c>
      <c r="BF64" s="245">
        <v>0.15</v>
      </c>
      <c r="BG64" s="245">
        <v>1.98</v>
      </c>
      <c r="BH64" s="245">
        <v>0.05</v>
      </c>
      <c r="BI64" s="245">
        <v>0.95</v>
      </c>
      <c r="BJ64" s="245">
        <v>0.47</v>
      </c>
      <c r="BK64" s="242"/>
      <c r="BL64" s="242"/>
    </row>
    <row r="65" spans="1:64">
      <c r="A65" s="210"/>
      <c r="B65" s="220"/>
      <c r="C65" s="220"/>
      <c r="D65" s="220"/>
      <c r="E65" s="220"/>
      <c r="F65" s="220"/>
      <c r="G65" s="220"/>
      <c r="H65" s="220"/>
      <c r="I65" s="220"/>
      <c r="J65" s="220"/>
      <c r="K65" s="220"/>
      <c r="L65" s="220"/>
      <c r="M65" s="220"/>
      <c r="N65" s="220"/>
      <c r="O65" s="220"/>
      <c r="P65" s="221"/>
      <c r="Q65" s="220"/>
      <c r="R65" s="220"/>
      <c r="S65" s="220"/>
      <c r="T65" s="220"/>
      <c r="U65" s="210" t="s">
        <v>22</v>
      </c>
      <c r="V65" s="210">
        <f t="shared" ref="V65:BC65" si="55">ROUND(AVERAGE((IF(V63=-8888,0,V63)),(IF(V64=-8888,0,V64))),3)</f>
        <v>0.11600000000000001</v>
      </c>
      <c r="W65" s="210">
        <f t="shared" si="55"/>
        <v>1.7000000000000001E-2</v>
      </c>
      <c r="X65" s="210">
        <f t="shared" si="55"/>
        <v>3.2000000000000001E-2</v>
      </c>
      <c r="Y65" s="210">
        <f t="shared" si="55"/>
        <v>6.0000000000000001E-3</v>
      </c>
      <c r="Z65" s="210">
        <f t="shared" si="55"/>
        <v>7.0000000000000001E-3</v>
      </c>
      <c r="AA65" s="210">
        <f t="shared" si="55"/>
        <v>8.9999999999999993E-3</v>
      </c>
      <c r="AB65" s="210">
        <f t="shared" si="55"/>
        <v>2E-3</v>
      </c>
      <c r="AC65" s="210">
        <f t="shared" si="55"/>
        <v>4.0000000000000001E-3</v>
      </c>
      <c r="AD65" s="210">
        <f t="shared" si="55"/>
        <v>0</v>
      </c>
      <c r="AE65" s="210">
        <f t="shared" si="55"/>
        <v>5.0999999999999997E-2</v>
      </c>
      <c r="AF65" s="210">
        <f t="shared" si="55"/>
        <v>5.0000000000000001E-3</v>
      </c>
      <c r="AG65" s="210">
        <f t="shared" si="55"/>
        <v>3.0000000000000001E-3</v>
      </c>
      <c r="AH65" s="210">
        <f t="shared" si="55"/>
        <v>0.111</v>
      </c>
      <c r="AI65" s="210">
        <f t="shared" si="55"/>
        <v>3.0000000000000001E-3</v>
      </c>
      <c r="AJ65" s="210">
        <f t="shared" si="55"/>
        <v>3.0000000000000001E-3</v>
      </c>
      <c r="AK65" s="210">
        <f t="shared" si="55"/>
        <v>1.2999999999999999E-2</v>
      </c>
      <c r="AL65" s="210">
        <f t="shared" si="55"/>
        <v>4.0000000000000001E-3</v>
      </c>
      <c r="AM65" s="210">
        <f t="shared" si="55"/>
        <v>1.4999999999999999E-2</v>
      </c>
      <c r="AN65" s="210">
        <f t="shared" si="55"/>
        <v>1.7999999999999999E-2</v>
      </c>
      <c r="AO65" s="210">
        <f t="shared" si="55"/>
        <v>1E-3</v>
      </c>
      <c r="AP65" s="210">
        <f t="shared" si="55"/>
        <v>1E-3</v>
      </c>
      <c r="AQ65" s="210">
        <f t="shared" si="55"/>
        <v>1E-3</v>
      </c>
      <c r="AR65" s="210">
        <f t="shared" si="55"/>
        <v>4.0000000000000001E-3</v>
      </c>
      <c r="AS65" s="210">
        <f t="shared" si="55"/>
        <v>1.2999999999999999E-2</v>
      </c>
      <c r="AT65" s="210">
        <f t="shared" si="55"/>
        <v>3.0000000000000001E-3</v>
      </c>
      <c r="AU65" s="210">
        <f t="shared" si="55"/>
        <v>0</v>
      </c>
      <c r="AV65" s="210">
        <f t="shared" si="55"/>
        <v>0.16500000000000001</v>
      </c>
      <c r="AW65" s="210">
        <f t="shared" si="55"/>
        <v>1.4999999999999999E-2</v>
      </c>
      <c r="AX65" s="210">
        <f t="shared" si="55"/>
        <v>7.0999999999999994E-2</v>
      </c>
      <c r="AY65" s="210">
        <f t="shared" si="55"/>
        <v>0.23599999999999999</v>
      </c>
      <c r="AZ65" s="210">
        <f t="shared" si="55"/>
        <v>8.5999999999999993E-2</v>
      </c>
      <c r="BA65" s="210">
        <f t="shared" si="55"/>
        <v>0.13500000000000001</v>
      </c>
      <c r="BB65" s="210">
        <f t="shared" si="55"/>
        <v>0.251</v>
      </c>
      <c r="BC65" s="210">
        <f t="shared" si="55"/>
        <v>9.2999999999999999E-2</v>
      </c>
      <c r="BD65" s="209">
        <f>ROUND(AVERAGE((IF(BD63=-8888,0,BD63)),(IF(BD64=-8888,0,BD64))),2)</f>
        <v>1.17</v>
      </c>
      <c r="BE65" s="209">
        <f t="shared" ref="BE65:BJ65" si="56">ROUND(AVERAGE((IF(BE63=-8888,0,BE63)),(IF(BE64=-8888,0,BE64))),2)</f>
        <v>0.83</v>
      </c>
      <c r="BF65" s="209">
        <f t="shared" si="56"/>
        <v>0.18</v>
      </c>
      <c r="BG65" s="209">
        <f t="shared" si="56"/>
        <v>1.91</v>
      </c>
      <c r="BH65" s="209">
        <f t="shared" si="56"/>
        <v>0.06</v>
      </c>
      <c r="BI65" s="209">
        <f t="shared" si="56"/>
        <v>0.94</v>
      </c>
      <c r="BJ65" s="209">
        <f t="shared" si="56"/>
        <v>0.46</v>
      </c>
      <c r="BK65" s="211"/>
      <c r="BL65" s="211"/>
    </row>
    <row r="66" spans="1:64">
      <c r="A66" s="214"/>
      <c r="B66" s="222"/>
      <c r="C66" s="222"/>
      <c r="D66" s="222"/>
      <c r="E66" s="222"/>
      <c r="F66" s="222"/>
      <c r="G66" s="222"/>
      <c r="H66" s="222"/>
      <c r="I66" s="222"/>
      <c r="J66" s="222"/>
      <c r="K66" s="222"/>
      <c r="L66" s="222"/>
      <c r="M66" s="222"/>
      <c r="N66" s="222"/>
      <c r="O66" s="222"/>
      <c r="P66" s="223"/>
      <c r="Q66" s="222"/>
      <c r="R66" s="222"/>
      <c r="S66" s="222"/>
      <c r="T66" s="222"/>
      <c r="U66" s="214" t="s">
        <v>1015</v>
      </c>
      <c r="V66" s="214">
        <f t="shared" ref="V66:BC66" si="57">ROUND(STDEV((IF(V63=-8888,0,V63)),(IF(V64=-8888,0,V64))),3)</f>
        <v>1.7000000000000001E-2</v>
      </c>
      <c r="W66" s="214">
        <f t="shared" si="57"/>
        <v>1E-3</v>
      </c>
      <c r="X66" s="214">
        <f t="shared" si="57"/>
        <v>4.0000000000000001E-3</v>
      </c>
      <c r="Y66" s="214">
        <f t="shared" si="57"/>
        <v>0</v>
      </c>
      <c r="Z66" s="214">
        <f t="shared" si="57"/>
        <v>0</v>
      </c>
      <c r="AA66" s="214">
        <f t="shared" si="57"/>
        <v>1E-3</v>
      </c>
      <c r="AB66" s="214">
        <f t="shared" si="57"/>
        <v>1E-3</v>
      </c>
      <c r="AC66" s="214">
        <f t="shared" si="57"/>
        <v>0</v>
      </c>
      <c r="AD66" s="214">
        <f t="shared" si="57"/>
        <v>0</v>
      </c>
      <c r="AE66" s="214">
        <f t="shared" si="57"/>
        <v>8.0000000000000002E-3</v>
      </c>
      <c r="AF66" s="214">
        <f t="shared" si="57"/>
        <v>0</v>
      </c>
      <c r="AG66" s="214">
        <f t="shared" si="57"/>
        <v>0</v>
      </c>
      <c r="AH66" s="214">
        <f t="shared" si="57"/>
        <v>1.6E-2</v>
      </c>
      <c r="AI66" s="214">
        <f t="shared" si="57"/>
        <v>1E-3</v>
      </c>
      <c r="AJ66" s="214">
        <f t="shared" si="57"/>
        <v>1E-3</v>
      </c>
      <c r="AK66" s="214">
        <f t="shared" si="57"/>
        <v>1E-3</v>
      </c>
      <c r="AL66" s="214">
        <f t="shared" si="57"/>
        <v>0</v>
      </c>
      <c r="AM66" s="214">
        <f t="shared" si="57"/>
        <v>2E-3</v>
      </c>
      <c r="AN66" s="214">
        <f t="shared" si="57"/>
        <v>2E-3</v>
      </c>
      <c r="AO66" s="214">
        <f t="shared" si="57"/>
        <v>0</v>
      </c>
      <c r="AP66" s="214">
        <f t="shared" si="57"/>
        <v>0</v>
      </c>
      <c r="AQ66" s="214">
        <f t="shared" si="57"/>
        <v>0</v>
      </c>
      <c r="AR66" s="214">
        <f t="shared" si="57"/>
        <v>0</v>
      </c>
      <c r="AS66" s="214">
        <f t="shared" si="57"/>
        <v>1E-3</v>
      </c>
      <c r="AT66" s="214">
        <f t="shared" si="57"/>
        <v>0</v>
      </c>
      <c r="AU66" s="214">
        <f t="shared" si="57"/>
        <v>0</v>
      </c>
      <c r="AV66" s="214">
        <f t="shared" si="57"/>
        <v>2.1999999999999999E-2</v>
      </c>
      <c r="AW66" s="214">
        <f t="shared" si="57"/>
        <v>1E-3</v>
      </c>
      <c r="AX66" s="214">
        <f t="shared" si="57"/>
        <v>8.0000000000000002E-3</v>
      </c>
      <c r="AY66" s="214">
        <f t="shared" si="57"/>
        <v>0.03</v>
      </c>
      <c r="AZ66" s="214">
        <f t="shared" si="57"/>
        <v>7.0000000000000001E-3</v>
      </c>
      <c r="BA66" s="214">
        <f t="shared" si="57"/>
        <v>1.2E-2</v>
      </c>
      <c r="BB66" s="214">
        <f t="shared" si="57"/>
        <v>2.9000000000000001E-2</v>
      </c>
      <c r="BC66" s="214">
        <f t="shared" si="57"/>
        <v>8.0000000000000002E-3</v>
      </c>
      <c r="BD66" s="213">
        <f>ROUND(STDEV((IF(BD63=-8888,0,BD63)),(IF(BD64=-8888,0,BD64))),2)</f>
        <v>0.06</v>
      </c>
      <c r="BE66" s="213">
        <f t="shared" ref="BE66:BJ66" si="58">ROUND(STDEV((IF(BE63=-8888,0,BE63)),(IF(BE64=-8888,0,BE64))),2)</f>
        <v>0.04</v>
      </c>
      <c r="BF66" s="213">
        <f t="shared" si="58"/>
        <v>0.04</v>
      </c>
      <c r="BG66" s="213">
        <f t="shared" si="58"/>
        <v>0.1</v>
      </c>
      <c r="BH66" s="213">
        <f t="shared" si="58"/>
        <v>0.01</v>
      </c>
      <c r="BI66" s="213">
        <f t="shared" si="58"/>
        <v>0.01</v>
      </c>
      <c r="BJ66" s="213">
        <f t="shared" si="58"/>
        <v>0.01</v>
      </c>
      <c r="BK66" s="215"/>
      <c r="BL66" s="215"/>
    </row>
    <row r="67" spans="1:64">
      <c r="A67" s="216"/>
      <c r="B67" s="224"/>
      <c r="C67" s="224"/>
      <c r="D67" s="224"/>
      <c r="E67" s="224"/>
      <c r="F67" s="224"/>
      <c r="G67" s="224"/>
      <c r="H67" s="224"/>
      <c r="I67" s="224"/>
      <c r="J67" s="224"/>
      <c r="K67" s="224"/>
      <c r="L67" s="224"/>
      <c r="M67" s="224"/>
      <c r="N67" s="224"/>
      <c r="O67" s="224"/>
      <c r="P67" s="225"/>
      <c r="Q67" s="224"/>
      <c r="R67" s="224"/>
      <c r="S67" s="224"/>
      <c r="T67" s="224"/>
      <c r="U67" s="217" t="s">
        <v>148</v>
      </c>
      <c r="V67" s="218">
        <f>IF((V65=0),"N/A",ROUND((V66/V65),4))</f>
        <v>0.14660000000000001</v>
      </c>
      <c r="W67" s="218">
        <f t="shared" ref="W67:BJ67" si="59">IF((W65=0),"N/A",ROUND((W66/W65),4))</f>
        <v>5.8799999999999998E-2</v>
      </c>
      <c r="X67" s="218">
        <f t="shared" si="59"/>
        <v>0.125</v>
      </c>
      <c r="Y67" s="218">
        <f t="shared" si="59"/>
        <v>0</v>
      </c>
      <c r="Z67" s="218">
        <f t="shared" si="59"/>
        <v>0</v>
      </c>
      <c r="AA67" s="218">
        <f t="shared" si="59"/>
        <v>0.1111</v>
      </c>
      <c r="AB67" s="218">
        <f t="shared" si="59"/>
        <v>0.5</v>
      </c>
      <c r="AC67" s="218">
        <f t="shared" si="59"/>
        <v>0</v>
      </c>
      <c r="AD67" s="218" t="str">
        <f t="shared" si="59"/>
        <v>N/A</v>
      </c>
      <c r="AE67" s="218">
        <f t="shared" si="59"/>
        <v>0.15690000000000001</v>
      </c>
      <c r="AF67" s="218">
        <f t="shared" si="59"/>
        <v>0</v>
      </c>
      <c r="AG67" s="218">
        <f t="shared" si="59"/>
        <v>0</v>
      </c>
      <c r="AH67" s="218">
        <f t="shared" si="59"/>
        <v>0.14410000000000001</v>
      </c>
      <c r="AI67" s="218">
        <f t="shared" si="59"/>
        <v>0.33329999999999999</v>
      </c>
      <c r="AJ67" s="218">
        <f t="shared" si="59"/>
        <v>0.33329999999999999</v>
      </c>
      <c r="AK67" s="218">
        <f t="shared" si="59"/>
        <v>7.6899999999999996E-2</v>
      </c>
      <c r="AL67" s="218">
        <f t="shared" si="59"/>
        <v>0</v>
      </c>
      <c r="AM67" s="218">
        <f t="shared" si="59"/>
        <v>0.1333</v>
      </c>
      <c r="AN67" s="218">
        <f t="shared" si="59"/>
        <v>0.1111</v>
      </c>
      <c r="AO67" s="218">
        <f t="shared" si="59"/>
        <v>0</v>
      </c>
      <c r="AP67" s="218">
        <f t="shared" si="59"/>
        <v>0</v>
      </c>
      <c r="AQ67" s="218">
        <f t="shared" si="59"/>
        <v>0</v>
      </c>
      <c r="AR67" s="218">
        <f t="shared" si="59"/>
        <v>0</v>
      </c>
      <c r="AS67" s="218">
        <f t="shared" si="59"/>
        <v>7.6899999999999996E-2</v>
      </c>
      <c r="AT67" s="218">
        <f t="shared" si="59"/>
        <v>0</v>
      </c>
      <c r="AU67" s="218" t="str">
        <f t="shared" si="59"/>
        <v>N/A</v>
      </c>
      <c r="AV67" s="218">
        <f t="shared" si="59"/>
        <v>0.1333</v>
      </c>
      <c r="AW67" s="218">
        <f t="shared" si="59"/>
        <v>6.6699999999999995E-2</v>
      </c>
      <c r="AX67" s="218">
        <f t="shared" si="59"/>
        <v>0.11269999999999999</v>
      </c>
      <c r="AY67" s="218">
        <f t="shared" si="59"/>
        <v>0.12709999999999999</v>
      </c>
      <c r="AZ67" s="218">
        <f t="shared" si="59"/>
        <v>8.14E-2</v>
      </c>
      <c r="BA67" s="218">
        <f t="shared" si="59"/>
        <v>8.8900000000000007E-2</v>
      </c>
      <c r="BB67" s="218">
        <f t="shared" si="59"/>
        <v>0.11550000000000001</v>
      </c>
      <c r="BC67" s="218">
        <f t="shared" si="59"/>
        <v>8.5999999999999993E-2</v>
      </c>
      <c r="BD67" s="218">
        <f t="shared" si="59"/>
        <v>5.1299999999999998E-2</v>
      </c>
      <c r="BE67" s="218">
        <f t="shared" si="59"/>
        <v>4.82E-2</v>
      </c>
      <c r="BF67" s="218">
        <f t="shared" si="59"/>
        <v>0.22220000000000001</v>
      </c>
      <c r="BG67" s="218">
        <f t="shared" si="59"/>
        <v>5.2400000000000002E-2</v>
      </c>
      <c r="BH67" s="218">
        <f t="shared" si="59"/>
        <v>0.16669999999999999</v>
      </c>
      <c r="BI67" s="218">
        <f t="shared" si="59"/>
        <v>1.06E-2</v>
      </c>
      <c r="BJ67" s="218">
        <f t="shared" si="59"/>
        <v>2.1700000000000001E-2</v>
      </c>
      <c r="BK67" s="219">
        <f>V67</f>
        <v>0.14660000000000001</v>
      </c>
      <c r="BL67" s="219">
        <f>AVERAGE(V67:AG67)</f>
        <v>9.985454545454546E-2</v>
      </c>
    </row>
    <row r="68" spans="1:64">
      <c r="A68" s="243" t="s">
        <v>418</v>
      </c>
      <c r="B68" s="165" t="s">
        <v>511</v>
      </c>
      <c r="C68" s="165" t="s">
        <v>814</v>
      </c>
      <c r="D68" s="165" t="s">
        <v>791</v>
      </c>
      <c r="E68" s="165" t="s">
        <v>173</v>
      </c>
      <c r="F68" s="165">
        <v>548</v>
      </c>
      <c r="G68" s="165">
        <v>9</v>
      </c>
      <c r="H68" s="165">
        <v>21</v>
      </c>
      <c r="I68" s="165">
        <v>5.0999999999999996</v>
      </c>
      <c r="J68" s="165">
        <v>453</v>
      </c>
      <c r="K68" s="166" t="s">
        <v>514</v>
      </c>
      <c r="L68" s="165">
        <v>2025</v>
      </c>
      <c r="M68" s="165" t="s">
        <v>792</v>
      </c>
      <c r="N68" s="165">
        <v>26</v>
      </c>
      <c r="O68" s="181">
        <v>26</v>
      </c>
      <c r="P68" s="165" t="s">
        <v>815</v>
      </c>
      <c r="Q68" s="165">
        <v>-70.885999999999996</v>
      </c>
      <c r="R68" s="165">
        <v>39.932000000000002</v>
      </c>
      <c r="S68" s="165" t="s">
        <v>172</v>
      </c>
      <c r="T68" s="165">
        <v>25</v>
      </c>
      <c r="U68" s="166" t="s">
        <v>516</v>
      </c>
      <c r="V68" s="244">
        <v>1.6819999999999999</v>
      </c>
      <c r="W68" s="244">
        <v>0.187</v>
      </c>
      <c r="X68" s="244">
        <v>0.313</v>
      </c>
      <c r="Y68" s="244">
        <v>7.6999999999999999E-2</v>
      </c>
      <c r="Z68" s="244">
        <v>0.03</v>
      </c>
      <c r="AA68" s="244">
        <v>0.13300000000000001</v>
      </c>
      <c r="AB68" s="244">
        <v>6.5000000000000002E-2</v>
      </c>
      <c r="AC68" s="244">
        <v>7.1999999999999995E-2</v>
      </c>
      <c r="AD68" s="244">
        <v>8.9999999999999993E-3</v>
      </c>
      <c r="AE68" s="244">
        <v>0.442</v>
      </c>
      <c r="AF68" s="244">
        <v>7.8E-2</v>
      </c>
      <c r="AG68" s="244">
        <v>1.2999999999999999E-2</v>
      </c>
      <c r="AH68" s="244">
        <v>1.667</v>
      </c>
      <c r="AI68" s="244">
        <v>-8888</v>
      </c>
      <c r="AJ68" s="244">
        <v>1.4999999999999999E-2</v>
      </c>
      <c r="AK68" s="244">
        <v>0.187</v>
      </c>
      <c r="AL68" s="244">
        <v>-8888</v>
      </c>
      <c r="AM68" s="244">
        <v>0.216</v>
      </c>
      <c r="AN68" s="244">
        <v>9.7000000000000003E-2</v>
      </c>
      <c r="AO68" s="244">
        <v>6.0000000000000001E-3</v>
      </c>
      <c r="AP68" s="244">
        <v>2.1000000000000001E-2</v>
      </c>
      <c r="AQ68" s="244">
        <v>1.7999999999999999E-2</v>
      </c>
      <c r="AR68" s="244">
        <v>1.7000000000000001E-2</v>
      </c>
      <c r="AS68" s="244">
        <v>2.4E-2</v>
      </c>
      <c r="AT68" s="244">
        <v>0.02</v>
      </c>
      <c r="AU68" s="244">
        <v>-8888</v>
      </c>
      <c r="AV68" s="244">
        <v>2.1819999999999999</v>
      </c>
      <c r="AW68" s="244">
        <v>0.23600000000000004</v>
      </c>
      <c r="AX68" s="244">
        <v>0.68299999999999994</v>
      </c>
      <c r="AY68" s="244">
        <v>2.8649999999999998</v>
      </c>
      <c r="AZ68" s="244">
        <v>0.91900000000000004</v>
      </c>
      <c r="BA68" s="244">
        <v>1.419</v>
      </c>
      <c r="BB68" s="244">
        <v>3.101</v>
      </c>
      <c r="BC68" s="244">
        <v>0.94799999999999995</v>
      </c>
      <c r="BD68" s="245">
        <v>0.84</v>
      </c>
      <c r="BE68" s="245">
        <v>0.74</v>
      </c>
      <c r="BF68" s="245">
        <v>0.26</v>
      </c>
      <c r="BG68" s="245">
        <v>2.37</v>
      </c>
      <c r="BH68" s="245">
        <v>0.08</v>
      </c>
      <c r="BI68" s="245">
        <v>0.92</v>
      </c>
      <c r="BJ68" s="245">
        <v>0.54</v>
      </c>
      <c r="BK68" s="242"/>
      <c r="BL68" s="242"/>
    </row>
    <row r="69" spans="1:64">
      <c r="A69" s="243" t="s">
        <v>419</v>
      </c>
      <c r="B69" s="165" t="s">
        <v>511</v>
      </c>
      <c r="C69" s="165" t="s">
        <v>816</v>
      </c>
      <c r="D69" s="165" t="s">
        <v>791</v>
      </c>
      <c r="E69" s="165" t="s">
        <v>173</v>
      </c>
      <c r="F69" s="165">
        <v>547</v>
      </c>
      <c r="G69" s="165">
        <v>9</v>
      </c>
      <c r="H69" s="165">
        <v>21</v>
      </c>
      <c r="I69" s="165">
        <v>5.0999999999999996</v>
      </c>
      <c r="J69" s="165">
        <v>453</v>
      </c>
      <c r="K69" s="166" t="s">
        <v>514</v>
      </c>
      <c r="L69" s="165">
        <v>2025</v>
      </c>
      <c r="M69" s="165" t="s">
        <v>792</v>
      </c>
      <c r="N69" s="165">
        <v>26</v>
      </c>
      <c r="O69" s="181">
        <v>26</v>
      </c>
      <c r="P69" s="165" t="s">
        <v>815</v>
      </c>
      <c r="Q69" s="165">
        <v>-70.885999999999996</v>
      </c>
      <c r="R69" s="165">
        <v>39.932000000000002</v>
      </c>
      <c r="S69" s="165" t="s">
        <v>172</v>
      </c>
      <c r="T69" s="165">
        <v>25</v>
      </c>
      <c r="U69" s="166" t="s">
        <v>516</v>
      </c>
      <c r="V69" s="244">
        <v>1.8069999999999999</v>
      </c>
      <c r="W69" s="244">
        <v>0.182</v>
      </c>
      <c r="X69" s="244">
        <v>0.33200000000000002</v>
      </c>
      <c r="Y69" s="244">
        <v>7.5999999999999998E-2</v>
      </c>
      <c r="Z69" s="244">
        <v>2.9000000000000001E-2</v>
      </c>
      <c r="AA69" s="244">
        <v>0.13</v>
      </c>
      <c r="AB69" s="244">
        <v>6.0999999999999999E-2</v>
      </c>
      <c r="AC69" s="244">
        <v>7.2999999999999995E-2</v>
      </c>
      <c r="AD69" s="244">
        <v>8.0000000000000002E-3</v>
      </c>
      <c r="AE69" s="244">
        <v>0.48799999999999999</v>
      </c>
      <c r="AF69" s="244">
        <v>8.8999999999999996E-2</v>
      </c>
      <c r="AG69" s="244">
        <v>1.0999999999999999E-2</v>
      </c>
      <c r="AH69" s="244">
        <v>1.792</v>
      </c>
      <c r="AI69" s="244">
        <v>-8888</v>
      </c>
      <c r="AJ69" s="244">
        <v>1.4999999999999999E-2</v>
      </c>
      <c r="AK69" s="244">
        <v>0.182</v>
      </c>
      <c r="AL69" s="244">
        <v>-8888</v>
      </c>
      <c r="AM69" s="244">
        <v>0.23300000000000001</v>
      </c>
      <c r="AN69" s="244">
        <v>9.9000000000000005E-2</v>
      </c>
      <c r="AO69" s="244">
        <v>5.0000000000000001E-3</v>
      </c>
      <c r="AP69" s="244">
        <v>1.7999999999999999E-2</v>
      </c>
      <c r="AQ69" s="244">
        <v>1.7000000000000001E-2</v>
      </c>
      <c r="AR69" s="244">
        <v>2.1000000000000001E-2</v>
      </c>
      <c r="AS69" s="244">
        <v>1.7999999999999999E-2</v>
      </c>
      <c r="AT69" s="244">
        <v>0.02</v>
      </c>
      <c r="AU69" s="244">
        <v>-8888</v>
      </c>
      <c r="AV69" s="244">
        <v>2.3209999999999997</v>
      </c>
      <c r="AW69" s="244">
        <v>0.22900000000000004</v>
      </c>
      <c r="AX69" s="244">
        <v>0.73599999999999999</v>
      </c>
      <c r="AY69" s="244">
        <v>3.0569999999999995</v>
      </c>
      <c r="AZ69" s="244">
        <v>0.96500000000000008</v>
      </c>
      <c r="BA69" s="244">
        <v>1.4790000000000001</v>
      </c>
      <c r="BB69" s="244">
        <v>3.286</v>
      </c>
      <c r="BC69" s="244">
        <v>0.99</v>
      </c>
      <c r="BD69" s="245">
        <v>0.82</v>
      </c>
      <c r="BE69" s="245">
        <v>0.76</v>
      </c>
      <c r="BF69" s="245">
        <v>0.24</v>
      </c>
      <c r="BG69" s="245">
        <v>2.41</v>
      </c>
      <c r="BH69" s="245">
        <v>7.0000000000000007E-2</v>
      </c>
      <c r="BI69" s="245">
        <v>0.93</v>
      </c>
      <c r="BJ69" s="245">
        <v>0.55000000000000004</v>
      </c>
      <c r="BK69" s="242"/>
      <c r="BL69" s="242"/>
    </row>
    <row r="70" spans="1:64">
      <c r="A70" s="210"/>
      <c r="B70" s="220"/>
      <c r="C70" s="220"/>
      <c r="D70" s="220"/>
      <c r="E70" s="220"/>
      <c r="F70" s="220"/>
      <c r="G70" s="220"/>
      <c r="H70" s="220"/>
      <c r="I70" s="220"/>
      <c r="J70" s="220"/>
      <c r="K70" s="220"/>
      <c r="L70" s="220"/>
      <c r="M70" s="220"/>
      <c r="N70" s="220"/>
      <c r="O70" s="220"/>
      <c r="P70" s="221"/>
      <c r="Q70" s="220"/>
      <c r="R70" s="220"/>
      <c r="S70" s="220"/>
      <c r="T70" s="220"/>
      <c r="U70" s="210" t="s">
        <v>22</v>
      </c>
      <c r="V70" s="210">
        <f t="shared" ref="V70:BC70" si="60">ROUND(AVERAGE((IF(V68=-8888,0,V68)),(IF(V69=-8888,0,V69))),3)</f>
        <v>1.7450000000000001</v>
      </c>
      <c r="W70" s="210">
        <f t="shared" si="60"/>
        <v>0.185</v>
      </c>
      <c r="X70" s="210">
        <f t="shared" si="60"/>
        <v>0.32300000000000001</v>
      </c>
      <c r="Y70" s="210">
        <f t="shared" si="60"/>
        <v>7.6999999999999999E-2</v>
      </c>
      <c r="Z70" s="210">
        <f t="shared" si="60"/>
        <v>0.03</v>
      </c>
      <c r="AA70" s="210">
        <f t="shared" si="60"/>
        <v>0.13200000000000001</v>
      </c>
      <c r="AB70" s="210">
        <f t="shared" si="60"/>
        <v>6.3E-2</v>
      </c>
      <c r="AC70" s="210">
        <f t="shared" si="60"/>
        <v>7.2999999999999995E-2</v>
      </c>
      <c r="AD70" s="210">
        <f t="shared" si="60"/>
        <v>8.9999999999999993E-3</v>
      </c>
      <c r="AE70" s="210">
        <f t="shared" si="60"/>
        <v>0.46500000000000002</v>
      </c>
      <c r="AF70" s="210">
        <f t="shared" si="60"/>
        <v>8.4000000000000005E-2</v>
      </c>
      <c r="AG70" s="210">
        <f t="shared" si="60"/>
        <v>1.2E-2</v>
      </c>
      <c r="AH70" s="210">
        <f t="shared" si="60"/>
        <v>1.73</v>
      </c>
      <c r="AI70" s="210">
        <f t="shared" si="60"/>
        <v>0</v>
      </c>
      <c r="AJ70" s="210">
        <f t="shared" si="60"/>
        <v>1.4999999999999999E-2</v>
      </c>
      <c r="AK70" s="210">
        <f t="shared" si="60"/>
        <v>0.185</v>
      </c>
      <c r="AL70" s="210">
        <f t="shared" si="60"/>
        <v>0</v>
      </c>
      <c r="AM70" s="210">
        <f t="shared" si="60"/>
        <v>0.22500000000000001</v>
      </c>
      <c r="AN70" s="210">
        <f t="shared" si="60"/>
        <v>9.8000000000000004E-2</v>
      </c>
      <c r="AO70" s="210">
        <f t="shared" si="60"/>
        <v>6.0000000000000001E-3</v>
      </c>
      <c r="AP70" s="210">
        <f t="shared" si="60"/>
        <v>0.02</v>
      </c>
      <c r="AQ70" s="210">
        <f t="shared" si="60"/>
        <v>1.7999999999999999E-2</v>
      </c>
      <c r="AR70" s="210">
        <f t="shared" si="60"/>
        <v>1.9E-2</v>
      </c>
      <c r="AS70" s="210">
        <f t="shared" si="60"/>
        <v>2.1000000000000001E-2</v>
      </c>
      <c r="AT70" s="210">
        <f t="shared" si="60"/>
        <v>0.02</v>
      </c>
      <c r="AU70" s="210">
        <f t="shared" si="60"/>
        <v>0</v>
      </c>
      <c r="AV70" s="210">
        <f t="shared" si="60"/>
        <v>2.2519999999999998</v>
      </c>
      <c r="AW70" s="210">
        <f t="shared" si="60"/>
        <v>0.23300000000000001</v>
      </c>
      <c r="AX70" s="210">
        <f t="shared" si="60"/>
        <v>0.71</v>
      </c>
      <c r="AY70" s="210">
        <f t="shared" si="60"/>
        <v>2.9609999999999999</v>
      </c>
      <c r="AZ70" s="210">
        <f t="shared" si="60"/>
        <v>0.94199999999999995</v>
      </c>
      <c r="BA70" s="210">
        <f t="shared" si="60"/>
        <v>1.4490000000000001</v>
      </c>
      <c r="BB70" s="210">
        <f t="shared" si="60"/>
        <v>3.194</v>
      </c>
      <c r="BC70" s="210">
        <f t="shared" si="60"/>
        <v>0.96899999999999997</v>
      </c>
      <c r="BD70" s="209">
        <f>ROUND(AVERAGE((IF(BD68=-8888,0,BD68)),(IF(BD69=-8888,0,BD69))),2)</f>
        <v>0.83</v>
      </c>
      <c r="BE70" s="209">
        <f t="shared" ref="BE70:BJ70" si="61">ROUND(AVERAGE((IF(BE68=-8888,0,BE68)),(IF(BE69=-8888,0,BE69))),2)</f>
        <v>0.75</v>
      </c>
      <c r="BF70" s="209">
        <f t="shared" si="61"/>
        <v>0.25</v>
      </c>
      <c r="BG70" s="209">
        <f t="shared" si="61"/>
        <v>2.39</v>
      </c>
      <c r="BH70" s="209">
        <f t="shared" si="61"/>
        <v>0.08</v>
      </c>
      <c r="BI70" s="209">
        <f t="shared" si="61"/>
        <v>0.93</v>
      </c>
      <c r="BJ70" s="209">
        <f t="shared" si="61"/>
        <v>0.55000000000000004</v>
      </c>
      <c r="BK70" s="211"/>
      <c r="BL70" s="211"/>
    </row>
    <row r="71" spans="1:64">
      <c r="A71" s="214"/>
      <c r="B71" s="222"/>
      <c r="C71" s="222"/>
      <c r="D71" s="222"/>
      <c r="E71" s="222"/>
      <c r="F71" s="222"/>
      <c r="G71" s="222"/>
      <c r="H71" s="222"/>
      <c r="I71" s="222"/>
      <c r="J71" s="222"/>
      <c r="K71" s="222"/>
      <c r="L71" s="222"/>
      <c r="M71" s="222"/>
      <c r="N71" s="222"/>
      <c r="O71" s="222"/>
      <c r="P71" s="223"/>
      <c r="Q71" s="222"/>
      <c r="R71" s="222"/>
      <c r="S71" s="222"/>
      <c r="T71" s="222"/>
      <c r="U71" s="214" t="s">
        <v>1015</v>
      </c>
      <c r="V71" s="214">
        <f t="shared" ref="V71:BC71" si="62">ROUND(STDEV((IF(V68=-8888,0,V68)),(IF(V69=-8888,0,V69))),3)</f>
        <v>8.7999999999999995E-2</v>
      </c>
      <c r="W71" s="214">
        <f t="shared" si="62"/>
        <v>4.0000000000000001E-3</v>
      </c>
      <c r="X71" s="214">
        <f t="shared" si="62"/>
        <v>1.2999999999999999E-2</v>
      </c>
      <c r="Y71" s="214">
        <f t="shared" si="62"/>
        <v>1E-3</v>
      </c>
      <c r="Z71" s="214">
        <f t="shared" si="62"/>
        <v>1E-3</v>
      </c>
      <c r="AA71" s="214">
        <f t="shared" si="62"/>
        <v>2E-3</v>
      </c>
      <c r="AB71" s="214">
        <f t="shared" si="62"/>
        <v>3.0000000000000001E-3</v>
      </c>
      <c r="AC71" s="214">
        <f t="shared" si="62"/>
        <v>1E-3</v>
      </c>
      <c r="AD71" s="214">
        <f t="shared" si="62"/>
        <v>1E-3</v>
      </c>
      <c r="AE71" s="214">
        <f t="shared" si="62"/>
        <v>3.3000000000000002E-2</v>
      </c>
      <c r="AF71" s="214">
        <f t="shared" si="62"/>
        <v>8.0000000000000002E-3</v>
      </c>
      <c r="AG71" s="214">
        <f t="shared" si="62"/>
        <v>1E-3</v>
      </c>
      <c r="AH71" s="214">
        <f t="shared" si="62"/>
        <v>8.7999999999999995E-2</v>
      </c>
      <c r="AI71" s="214">
        <f t="shared" si="62"/>
        <v>0</v>
      </c>
      <c r="AJ71" s="214">
        <f t="shared" si="62"/>
        <v>0</v>
      </c>
      <c r="AK71" s="214">
        <f t="shared" si="62"/>
        <v>4.0000000000000001E-3</v>
      </c>
      <c r="AL71" s="214">
        <f t="shared" si="62"/>
        <v>0</v>
      </c>
      <c r="AM71" s="214">
        <f t="shared" si="62"/>
        <v>1.2E-2</v>
      </c>
      <c r="AN71" s="214">
        <f t="shared" si="62"/>
        <v>1E-3</v>
      </c>
      <c r="AO71" s="214">
        <f t="shared" si="62"/>
        <v>1E-3</v>
      </c>
      <c r="AP71" s="214">
        <f t="shared" si="62"/>
        <v>2E-3</v>
      </c>
      <c r="AQ71" s="214">
        <f t="shared" si="62"/>
        <v>1E-3</v>
      </c>
      <c r="AR71" s="214">
        <f t="shared" si="62"/>
        <v>3.0000000000000001E-3</v>
      </c>
      <c r="AS71" s="214">
        <f t="shared" si="62"/>
        <v>4.0000000000000001E-3</v>
      </c>
      <c r="AT71" s="214">
        <f t="shared" si="62"/>
        <v>0</v>
      </c>
      <c r="AU71" s="214">
        <f t="shared" si="62"/>
        <v>0</v>
      </c>
      <c r="AV71" s="214">
        <f t="shared" si="62"/>
        <v>9.8000000000000004E-2</v>
      </c>
      <c r="AW71" s="214">
        <f t="shared" si="62"/>
        <v>5.0000000000000001E-3</v>
      </c>
      <c r="AX71" s="214">
        <f t="shared" si="62"/>
        <v>3.6999999999999998E-2</v>
      </c>
      <c r="AY71" s="214">
        <f t="shared" si="62"/>
        <v>0.13600000000000001</v>
      </c>
      <c r="AZ71" s="214">
        <f t="shared" si="62"/>
        <v>3.3000000000000002E-2</v>
      </c>
      <c r="BA71" s="214">
        <f t="shared" si="62"/>
        <v>4.2000000000000003E-2</v>
      </c>
      <c r="BB71" s="214">
        <f t="shared" si="62"/>
        <v>0.13100000000000001</v>
      </c>
      <c r="BC71" s="214">
        <f t="shared" si="62"/>
        <v>0.03</v>
      </c>
      <c r="BD71" s="213">
        <f>ROUND(STDEV((IF(BD68=-8888,0,BD68)),(IF(BD69=-8888,0,BD69))),2)</f>
        <v>0.01</v>
      </c>
      <c r="BE71" s="213">
        <f t="shared" ref="BE71:BJ71" si="63">ROUND(STDEV((IF(BE68=-8888,0,BE68)),(IF(BE69=-8888,0,BE69))),2)</f>
        <v>0.01</v>
      </c>
      <c r="BF71" s="213">
        <f t="shared" si="63"/>
        <v>0.01</v>
      </c>
      <c r="BG71" s="213">
        <f t="shared" si="63"/>
        <v>0.03</v>
      </c>
      <c r="BH71" s="213">
        <f t="shared" si="63"/>
        <v>0.01</v>
      </c>
      <c r="BI71" s="213">
        <f t="shared" si="63"/>
        <v>0.01</v>
      </c>
      <c r="BJ71" s="213">
        <f t="shared" si="63"/>
        <v>0.01</v>
      </c>
      <c r="BK71" s="215"/>
      <c r="BL71" s="215"/>
    </row>
    <row r="72" spans="1:64">
      <c r="A72" s="216"/>
      <c r="B72" s="224"/>
      <c r="C72" s="224"/>
      <c r="D72" s="224"/>
      <c r="E72" s="224"/>
      <c r="F72" s="224"/>
      <c r="G72" s="224"/>
      <c r="H72" s="224"/>
      <c r="I72" s="224"/>
      <c r="J72" s="224"/>
      <c r="K72" s="224"/>
      <c r="L72" s="224"/>
      <c r="M72" s="224"/>
      <c r="N72" s="224"/>
      <c r="O72" s="224"/>
      <c r="P72" s="225"/>
      <c r="Q72" s="224"/>
      <c r="R72" s="224"/>
      <c r="S72" s="224"/>
      <c r="T72" s="224"/>
      <c r="U72" s="217" t="s">
        <v>148</v>
      </c>
      <c r="V72" s="218">
        <f>IF((V70=0),"N/A",ROUND((V71/V70),4))</f>
        <v>5.04E-2</v>
      </c>
      <c r="W72" s="218">
        <f t="shared" ref="W72:BJ72" si="64">IF((W70=0),"N/A",ROUND((W71/W70),4))</f>
        <v>2.1600000000000001E-2</v>
      </c>
      <c r="X72" s="218">
        <f t="shared" si="64"/>
        <v>4.02E-2</v>
      </c>
      <c r="Y72" s="218">
        <f t="shared" si="64"/>
        <v>1.2999999999999999E-2</v>
      </c>
      <c r="Z72" s="218">
        <f t="shared" si="64"/>
        <v>3.3300000000000003E-2</v>
      </c>
      <c r="AA72" s="218">
        <f t="shared" si="64"/>
        <v>1.52E-2</v>
      </c>
      <c r="AB72" s="218">
        <f t="shared" si="64"/>
        <v>4.7600000000000003E-2</v>
      </c>
      <c r="AC72" s="218">
        <f t="shared" si="64"/>
        <v>1.37E-2</v>
      </c>
      <c r="AD72" s="218">
        <f t="shared" si="64"/>
        <v>0.1111</v>
      </c>
      <c r="AE72" s="218">
        <f t="shared" si="64"/>
        <v>7.0999999999999994E-2</v>
      </c>
      <c r="AF72" s="218">
        <f t="shared" si="64"/>
        <v>9.5200000000000007E-2</v>
      </c>
      <c r="AG72" s="218">
        <f t="shared" si="64"/>
        <v>8.3299999999999999E-2</v>
      </c>
      <c r="AH72" s="218">
        <f t="shared" si="64"/>
        <v>5.0900000000000001E-2</v>
      </c>
      <c r="AI72" s="218" t="str">
        <f t="shared" si="64"/>
        <v>N/A</v>
      </c>
      <c r="AJ72" s="218">
        <f t="shared" si="64"/>
        <v>0</v>
      </c>
      <c r="AK72" s="218">
        <f t="shared" si="64"/>
        <v>2.1600000000000001E-2</v>
      </c>
      <c r="AL72" s="218" t="str">
        <f t="shared" si="64"/>
        <v>N/A</v>
      </c>
      <c r="AM72" s="218">
        <f t="shared" si="64"/>
        <v>5.33E-2</v>
      </c>
      <c r="AN72" s="218">
        <f t="shared" si="64"/>
        <v>1.0200000000000001E-2</v>
      </c>
      <c r="AO72" s="218">
        <f t="shared" si="64"/>
        <v>0.16669999999999999</v>
      </c>
      <c r="AP72" s="218">
        <f t="shared" si="64"/>
        <v>0.1</v>
      </c>
      <c r="AQ72" s="218">
        <f t="shared" si="64"/>
        <v>5.5599999999999997E-2</v>
      </c>
      <c r="AR72" s="218">
        <f t="shared" si="64"/>
        <v>0.15790000000000001</v>
      </c>
      <c r="AS72" s="218">
        <f t="shared" si="64"/>
        <v>0.1905</v>
      </c>
      <c r="AT72" s="218">
        <f t="shared" si="64"/>
        <v>0</v>
      </c>
      <c r="AU72" s="218" t="str">
        <f t="shared" si="64"/>
        <v>N/A</v>
      </c>
      <c r="AV72" s="218">
        <f t="shared" si="64"/>
        <v>4.3499999999999997E-2</v>
      </c>
      <c r="AW72" s="218">
        <f t="shared" si="64"/>
        <v>2.1499999999999998E-2</v>
      </c>
      <c r="AX72" s="218">
        <f t="shared" si="64"/>
        <v>5.21E-2</v>
      </c>
      <c r="AY72" s="218">
        <f t="shared" si="64"/>
        <v>4.5900000000000003E-2</v>
      </c>
      <c r="AZ72" s="218">
        <f t="shared" si="64"/>
        <v>3.5000000000000003E-2</v>
      </c>
      <c r="BA72" s="218">
        <f t="shared" si="64"/>
        <v>2.9000000000000001E-2</v>
      </c>
      <c r="BB72" s="218">
        <f t="shared" si="64"/>
        <v>4.1000000000000002E-2</v>
      </c>
      <c r="BC72" s="218">
        <f t="shared" si="64"/>
        <v>3.1E-2</v>
      </c>
      <c r="BD72" s="218">
        <f t="shared" si="64"/>
        <v>1.2E-2</v>
      </c>
      <c r="BE72" s="218">
        <f t="shared" si="64"/>
        <v>1.3299999999999999E-2</v>
      </c>
      <c r="BF72" s="218">
        <f t="shared" si="64"/>
        <v>0.04</v>
      </c>
      <c r="BG72" s="218">
        <f t="shared" si="64"/>
        <v>1.26E-2</v>
      </c>
      <c r="BH72" s="218">
        <f t="shared" si="64"/>
        <v>0.125</v>
      </c>
      <c r="BI72" s="218">
        <f t="shared" si="64"/>
        <v>1.0800000000000001E-2</v>
      </c>
      <c r="BJ72" s="218">
        <f t="shared" si="64"/>
        <v>1.8200000000000001E-2</v>
      </c>
      <c r="BK72" s="219">
        <f>V72</f>
        <v>5.04E-2</v>
      </c>
      <c r="BL72" s="219">
        <f>AVERAGE(V72:AG72)</f>
        <v>4.9633333333333335E-2</v>
      </c>
    </row>
    <row r="73" spans="1:64">
      <c r="A73" s="243" t="s">
        <v>431</v>
      </c>
      <c r="B73" s="165" t="s">
        <v>511</v>
      </c>
      <c r="C73" s="165" t="s">
        <v>837</v>
      </c>
      <c r="D73" s="165" t="s">
        <v>791</v>
      </c>
      <c r="E73" s="165" t="s">
        <v>173</v>
      </c>
      <c r="F73" s="165">
        <v>548</v>
      </c>
      <c r="G73" s="165">
        <v>19</v>
      </c>
      <c r="H73" s="165">
        <v>17</v>
      </c>
      <c r="I73" s="165">
        <v>5.3</v>
      </c>
      <c r="J73" s="165">
        <v>77</v>
      </c>
      <c r="K73" s="166" t="s">
        <v>514</v>
      </c>
      <c r="L73" s="165">
        <v>2025</v>
      </c>
      <c r="M73" s="165" t="s">
        <v>792</v>
      </c>
      <c r="N73" s="165">
        <v>27</v>
      </c>
      <c r="O73" s="181">
        <v>27</v>
      </c>
      <c r="P73" s="165" t="s">
        <v>838</v>
      </c>
      <c r="Q73" s="165">
        <v>-70.885999999999996</v>
      </c>
      <c r="R73" s="165">
        <v>40.509</v>
      </c>
      <c r="S73" s="165" t="s">
        <v>172</v>
      </c>
      <c r="T73" s="165">
        <v>25</v>
      </c>
      <c r="U73" s="166" t="s">
        <v>516</v>
      </c>
      <c r="V73" s="244">
        <v>1.327</v>
      </c>
      <c r="W73" s="244">
        <v>4.7E-2</v>
      </c>
      <c r="X73" s="244">
        <v>0.21400000000000002</v>
      </c>
      <c r="Y73" s="244">
        <v>0.05</v>
      </c>
      <c r="Z73" s="244">
        <v>1.2999999999999999E-2</v>
      </c>
      <c r="AA73" s="244">
        <v>2.4E-2</v>
      </c>
      <c r="AB73" s="244">
        <v>0.03</v>
      </c>
      <c r="AC73" s="244">
        <v>6.3E-2</v>
      </c>
      <c r="AD73" s="244">
        <v>5.0000000000000001E-3</v>
      </c>
      <c r="AE73" s="244">
        <v>0.501</v>
      </c>
      <c r="AF73" s="244">
        <v>4.2999999999999997E-2</v>
      </c>
      <c r="AG73" s="244">
        <v>3.0000000000000001E-3</v>
      </c>
      <c r="AH73" s="244">
        <v>1.3169999999999999</v>
      </c>
      <c r="AI73" s="244">
        <v>-8888</v>
      </c>
      <c r="AJ73" s="244">
        <v>0.01</v>
      </c>
      <c r="AK73" s="244">
        <v>4.7E-2</v>
      </c>
      <c r="AL73" s="244">
        <v>-8888</v>
      </c>
      <c r="AM73" s="244">
        <v>0.17</v>
      </c>
      <c r="AN73" s="244">
        <v>4.3999999999999997E-2</v>
      </c>
      <c r="AO73" s="244">
        <v>2E-3</v>
      </c>
      <c r="AP73" s="244">
        <v>5.0000000000000001E-3</v>
      </c>
      <c r="AQ73" s="244">
        <v>6.0000000000000001E-3</v>
      </c>
      <c r="AR73" s="244">
        <v>1.4999999999999999E-2</v>
      </c>
      <c r="AS73" s="244">
        <v>2.5999999999999999E-2</v>
      </c>
      <c r="AT73" s="244">
        <v>-8888</v>
      </c>
      <c r="AU73" s="244">
        <v>-8888</v>
      </c>
      <c r="AV73" s="244">
        <v>1.5879999999999999</v>
      </c>
      <c r="AW73" s="244">
        <v>0.15100000000000002</v>
      </c>
      <c r="AX73" s="244">
        <v>0.58100000000000007</v>
      </c>
      <c r="AY73" s="244">
        <v>2.169</v>
      </c>
      <c r="AZ73" s="244">
        <v>0.7320000000000001</v>
      </c>
      <c r="BA73" s="244">
        <v>0.9930000000000001</v>
      </c>
      <c r="BB73" s="244">
        <v>2.3200000000000003</v>
      </c>
      <c r="BC73" s="244">
        <v>0.66100000000000003</v>
      </c>
      <c r="BD73" s="245">
        <v>0.75</v>
      </c>
      <c r="BE73" s="245">
        <v>0.79</v>
      </c>
      <c r="BF73" s="245">
        <v>0.21</v>
      </c>
      <c r="BG73" s="245">
        <v>2.17</v>
      </c>
      <c r="BH73" s="245">
        <v>7.0000000000000007E-2</v>
      </c>
      <c r="BI73" s="245">
        <v>0.93</v>
      </c>
      <c r="BJ73" s="245">
        <v>0.56999999999999995</v>
      </c>
      <c r="BK73" s="242"/>
      <c r="BL73" s="242"/>
    </row>
    <row r="74" spans="1:64">
      <c r="A74" s="243" t="s">
        <v>432</v>
      </c>
      <c r="B74" s="165" t="s">
        <v>511</v>
      </c>
      <c r="C74" s="165" t="s">
        <v>839</v>
      </c>
      <c r="D74" s="165" t="s">
        <v>791</v>
      </c>
      <c r="E74" s="165" t="s">
        <v>173</v>
      </c>
      <c r="F74" s="165">
        <v>548</v>
      </c>
      <c r="G74" s="165">
        <v>19</v>
      </c>
      <c r="H74" s="165">
        <v>17</v>
      </c>
      <c r="I74" s="165">
        <v>5.3</v>
      </c>
      <c r="J74" s="165">
        <v>77</v>
      </c>
      <c r="K74" s="166" t="s">
        <v>514</v>
      </c>
      <c r="L74" s="165">
        <v>2025</v>
      </c>
      <c r="M74" s="165" t="s">
        <v>792</v>
      </c>
      <c r="N74" s="165">
        <v>27</v>
      </c>
      <c r="O74" s="181">
        <v>27</v>
      </c>
      <c r="P74" s="165" t="s">
        <v>838</v>
      </c>
      <c r="Q74" s="165">
        <v>-70.885999999999996</v>
      </c>
      <c r="R74" s="165">
        <v>40.509</v>
      </c>
      <c r="S74" s="165" t="s">
        <v>172</v>
      </c>
      <c r="T74" s="165">
        <v>25</v>
      </c>
      <c r="U74" s="166" t="s">
        <v>516</v>
      </c>
      <c r="V74" s="244">
        <v>1.2089999999999999</v>
      </c>
      <c r="W74" s="244">
        <v>4.7E-2</v>
      </c>
      <c r="X74" s="244">
        <v>0.19500000000000001</v>
      </c>
      <c r="Y74" s="244">
        <v>4.5999999999999999E-2</v>
      </c>
      <c r="Z74" s="244">
        <v>1.2E-2</v>
      </c>
      <c r="AA74" s="244">
        <v>2.3E-2</v>
      </c>
      <c r="AB74" s="244">
        <v>0.03</v>
      </c>
      <c r="AC74" s="244">
        <v>5.5E-2</v>
      </c>
      <c r="AD74" s="244">
        <v>5.0000000000000001E-3</v>
      </c>
      <c r="AE74" s="244">
        <v>0.441</v>
      </c>
      <c r="AF74" s="244">
        <v>3.7999999999999999E-2</v>
      </c>
      <c r="AG74" s="244">
        <v>3.0000000000000001E-3</v>
      </c>
      <c r="AH74" s="244">
        <v>1.202</v>
      </c>
      <c r="AI74" s="244">
        <v>-8888</v>
      </c>
      <c r="AJ74" s="244">
        <v>7.0000000000000001E-3</v>
      </c>
      <c r="AK74" s="244">
        <v>4.7E-2</v>
      </c>
      <c r="AL74" s="244">
        <v>-8888</v>
      </c>
      <c r="AM74" s="244">
        <v>0.152</v>
      </c>
      <c r="AN74" s="244">
        <v>4.2999999999999997E-2</v>
      </c>
      <c r="AO74" s="244">
        <v>2E-3</v>
      </c>
      <c r="AP74" s="244">
        <v>5.0000000000000001E-3</v>
      </c>
      <c r="AQ74" s="244">
        <v>6.0000000000000001E-3</v>
      </c>
      <c r="AR74" s="244">
        <v>1.4E-2</v>
      </c>
      <c r="AS74" s="244">
        <v>2.1000000000000001E-2</v>
      </c>
      <c r="AT74" s="244">
        <v>-8888</v>
      </c>
      <c r="AU74" s="244">
        <v>-8888</v>
      </c>
      <c r="AV74" s="244">
        <v>1.4509999999999998</v>
      </c>
      <c r="AW74" s="244">
        <v>0.13900000000000001</v>
      </c>
      <c r="AX74" s="244">
        <v>0.51400000000000001</v>
      </c>
      <c r="AY74" s="244">
        <v>1.9649999999999999</v>
      </c>
      <c r="AZ74" s="244">
        <v>0.65300000000000002</v>
      </c>
      <c r="BA74" s="244">
        <v>0.89500000000000002</v>
      </c>
      <c r="BB74" s="244">
        <v>2.1040000000000001</v>
      </c>
      <c r="BC74" s="244">
        <v>0.59399999999999997</v>
      </c>
      <c r="BD74" s="245">
        <v>0.74</v>
      </c>
      <c r="BE74" s="245">
        <v>0.79</v>
      </c>
      <c r="BF74" s="245">
        <v>0.21</v>
      </c>
      <c r="BG74" s="245">
        <v>2.2200000000000002</v>
      </c>
      <c r="BH74" s="245">
        <v>7.0000000000000007E-2</v>
      </c>
      <c r="BI74" s="245">
        <v>0.93</v>
      </c>
      <c r="BJ74" s="245">
        <v>0.56999999999999995</v>
      </c>
      <c r="BK74" s="242"/>
      <c r="BL74" s="242"/>
    </row>
    <row r="75" spans="1:64">
      <c r="A75" s="210"/>
      <c r="B75" s="220"/>
      <c r="C75" s="220"/>
      <c r="D75" s="220"/>
      <c r="E75" s="220"/>
      <c r="F75" s="220"/>
      <c r="G75" s="220"/>
      <c r="H75" s="220"/>
      <c r="I75" s="220"/>
      <c r="J75" s="220"/>
      <c r="K75" s="220"/>
      <c r="L75" s="220"/>
      <c r="M75" s="220"/>
      <c r="N75" s="220"/>
      <c r="O75" s="220"/>
      <c r="P75" s="221"/>
      <c r="Q75" s="220"/>
      <c r="R75" s="220"/>
      <c r="S75" s="220"/>
      <c r="T75" s="220"/>
      <c r="U75" s="210" t="s">
        <v>22</v>
      </c>
      <c r="V75" s="210">
        <f t="shared" ref="V75:BC75" si="65">ROUND(AVERAGE((IF(V73=-8888,0,V73)),(IF(V74=-8888,0,V74))),3)</f>
        <v>1.268</v>
      </c>
      <c r="W75" s="210">
        <f t="shared" si="65"/>
        <v>4.7E-2</v>
      </c>
      <c r="X75" s="210">
        <f t="shared" si="65"/>
        <v>0.20499999999999999</v>
      </c>
      <c r="Y75" s="210">
        <f t="shared" si="65"/>
        <v>4.8000000000000001E-2</v>
      </c>
      <c r="Z75" s="210">
        <f t="shared" si="65"/>
        <v>1.2999999999999999E-2</v>
      </c>
      <c r="AA75" s="210">
        <f t="shared" si="65"/>
        <v>2.4E-2</v>
      </c>
      <c r="AB75" s="210">
        <f t="shared" si="65"/>
        <v>0.03</v>
      </c>
      <c r="AC75" s="210">
        <f t="shared" si="65"/>
        <v>5.8999999999999997E-2</v>
      </c>
      <c r="AD75" s="210">
        <f t="shared" si="65"/>
        <v>5.0000000000000001E-3</v>
      </c>
      <c r="AE75" s="210">
        <f t="shared" si="65"/>
        <v>0.47099999999999997</v>
      </c>
      <c r="AF75" s="210">
        <f t="shared" si="65"/>
        <v>4.1000000000000002E-2</v>
      </c>
      <c r="AG75" s="210">
        <f t="shared" si="65"/>
        <v>3.0000000000000001E-3</v>
      </c>
      <c r="AH75" s="210">
        <f t="shared" si="65"/>
        <v>1.26</v>
      </c>
      <c r="AI75" s="210">
        <f t="shared" si="65"/>
        <v>0</v>
      </c>
      <c r="AJ75" s="210">
        <f t="shared" si="65"/>
        <v>8.9999999999999993E-3</v>
      </c>
      <c r="AK75" s="210">
        <f t="shared" si="65"/>
        <v>4.7E-2</v>
      </c>
      <c r="AL75" s="210">
        <f t="shared" si="65"/>
        <v>0</v>
      </c>
      <c r="AM75" s="210">
        <f t="shared" si="65"/>
        <v>0.161</v>
      </c>
      <c r="AN75" s="210">
        <f t="shared" si="65"/>
        <v>4.3999999999999997E-2</v>
      </c>
      <c r="AO75" s="210">
        <f t="shared" si="65"/>
        <v>2E-3</v>
      </c>
      <c r="AP75" s="210">
        <f t="shared" si="65"/>
        <v>5.0000000000000001E-3</v>
      </c>
      <c r="AQ75" s="210">
        <f t="shared" si="65"/>
        <v>6.0000000000000001E-3</v>
      </c>
      <c r="AR75" s="210">
        <f t="shared" si="65"/>
        <v>1.4999999999999999E-2</v>
      </c>
      <c r="AS75" s="210">
        <f t="shared" si="65"/>
        <v>2.4E-2</v>
      </c>
      <c r="AT75" s="210">
        <f t="shared" si="65"/>
        <v>0</v>
      </c>
      <c r="AU75" s="210">
        <f t="shared" si="65"/>
        <v>0</v>
      </c>
      <c r="AV75" s="210">
        <f t="shared" si="65"/>
        <v>1.52</v>
      </c>
      <c r="AW75" s="210">
        <f t="shared" si="65"/>
        <v>0.14499999999999999</v>
      </c>
      <c r="AX75" s="210">
        <f t="shared" si="65"/>
        <v>0.54800000000000004</v>
      </c>
      <c r="AY75" s="210">
        <f t="shared" si="65"/>
        <v>2.0670000000000002</v>
      </c>
      <c r="AZ75" s="210">
        <f t="shared" si="65"/>
        <v>0.69299999999999995</v>
      </c>
      <c r="BA75" s="210">
        <f t="shared" si="65"/>
        <v>0.94399999999999995</v>
      </c>
      <c r="BB75" s="210">
        <f t="shared" si="65"/>
        <v>2.2120000000000002</v>
      </c>
      <c r="BC75" s="210">
        <f t="shared" si="65"/>
        <v>0.628</v>
      </c>
      <c r="BD75" s="209">
        <f>ROUND(AVERAGE((IF(BD73=-8888,0,BD73)),(IF(BD74=-8888,0,BD74))),2)</f>
        <v>0.75</v>
      </c>
      <c r="BE75" s="209">
        <f t="shared" ref="BE75:BJ75" si="66">ROUND(AVERAGE((IF(BE73=-8888,0,BE73)),(IF(BE74=-8888,0,BE74))),2)</f>
        <v>0.79</v>
      </c>
      <c r="BF75" s="209">
        <f t="shared" si="66"/>
        <v>0.21</v>
      </c>
      <c r="BG75" s="209">
        <f t="shared" si="66"/>
        <v>2.2000000000000002</v>
      </c>
      <c r="BH75" s="209">
        <f t="shared" si="66"/>
        <v>7.0000000000000007E-2</v>
      </c>
      <c r="BI75" s="209">
        <f t="shared" si="66"/>
        <v>0.93</v>
      </c>
      <c r="BJ75" s="209">
        <f t="shared" si="66"/>
        <v>0.56999999999999995</v>
      </c>
      <c r="BK75" s="211"/>
      <c r="BL75" s="211"/>
    </row>
    <row r="76" spans="1:64">
      <c r="A76" s="214"/>
      <c r="B76" s="222"/>
      <c r="C76" s="222"/>
      <c r="D76" s="222"/>
      <c r="E76" s="222"/>
      <c r="F76" s="222"/>
      <c r="G76" s="222"/>
      <c r="H76" s="222"/>
      <c r="I76" s="222"/>
      <c r="J76" s="222"/>
      <c r="K76" s="222"/>
      <c r="L76" s="222"/>
      <c r="M76" s="222"/>
      <c r="N76" s="222"/>
      <c r="O76" s="222"/>
      <c r="P76" s="223"/>
      <c r="Q76" s="222"/>
      <c r="R76" s="222"/>
      <c r="S76" s="222"/>
      <c r="T76" s="222"/>
      <c r="U76" s="214" t="s">
        <v>1015</v>
      </c>
      <c r="V76" s="214">
        <f t="shared" ref="V76:BC76" si="67">ROUND(STDEV((IF(V73=-8888,0,V73)),(IF(V74=-8888,0,V74))),3)</f>
        <v>8.3000000000000004E-2</v>
      </c>
      <c r="W76" s="214">
        <f t="shared" si="67"/>
        <v>0</v>
      </c>
      <c r="X76" s="214">
        <f t="shared" si="67"/>
        <v>1.2999999999999999E-2</v>
      </c>
      <c r="Y76" s="214">
        <f t="shared" si="67"/>
        <v>3.0000000000000001E-3</v>
      </c>
      <c r="Z76" s="214">
        <f t="shared" si="67"/>
        <v>1E-3</v>
      </c>
      <c r="AA76" s="214">
        <f t="shared" si="67"/>
        <v>1E-3</v>
      </c>
      <c r="AB76" s="214">
        <f t="shared" si="67"/>
        <v>0</v>
      </c>
      <c r="AC76" s="214">
        <f t="shared" si="67"/>
        <v>6.0000000000000001E-3</v>
      </c>
      <c r="AD76" s="214">
        <f t="shared" si="67"/>
        <v>0</v>
      </c>
      <c r="AE76" s="214">
        <f t="shared" si="67"/>
        <v>4.2000000000000003E-2</v>
      </c>
      <c r="AF76" s="214">
        <f t="shared" si="67"/>
        <v>4.0000000000000001E-3</v>
      </c>
      <c r="AG76" s="214">
        <f t="shared" si="67"/>
        <v>0</v>
      </c>
      <c r="AH76" s="214">
        <f t="shared" si="67"/>
        <v>8.1000000000000003E-2</v>
      </c>
      <c r="AI76" s="214">
        <f t="shared" si="67"/>
        <v>0</v>
      </c>
      <c r="AJ76" s="214">
        <f t="shared" si="67"/>
        <v>2E-3</v>
      </c>
      <c r="AK76" s="214">
        <f t="shared" si="67"/>
        <v>0</v>
      </c>
      <c r="AL76" s="214">
        <f t="shared" si="67"/>
        <v>0</v>
      </c>
      <c r="AM76" s="214">
        <f t="shared" si="67"/>
        <v>1.2999999999999999E-2</v>
      </c>
      <c r="AN76" s="214">
        <f t="shared" si="67"/>
        <v>1E-3</v>
      </c>
      <c r="AO76" s="214">
        <f t="shared" si="67"/>
        <v>0</v>
      </c>
      <c r="AP76" s="214">
        <f t="shared" si="67"/>
        <v>0</v>
      </c>
      <c r="AQ76" s="214">
        <f t="shared" si="67"/>
        <v>0</v>
      </c>
      <c r="AR76" s="214">
        <f t="shared" si="67"/>
        <v>1E-3</v>
      </c>
      <c r="AS76" s="214">
        <f t="shared" si="67"/>
        <v>4.0000000000000001E-3</v>
      </c>
      <c r="AT76" s="214">
        <f t="shared" si="67"/>
        <v>0</v>
      </c>
      <c r="AU76" s="214">
        <f t="shared" si="67"/>
        <v>0</v>
      </c>
      <c r="AV76" s="214">
        <f t="shared" si="67"/>
        <v>9.7000000000000003E-2</v>
      </c>
      <c r="AW76" s="214">
        <f t="shared" si="67"/>
        <v>8.0000000000000002E-3</v>
      </c>
      <c r="AX76" s="214">
        <f t="shared" si="67"/>
        <v>4.7E-2</v>
      </c>
      <c r="AY76" s="214">
        <f t="shared" si="67"/>
        <v>0.14399999999999999</v>
      </c>
      <c r="AZ76" s="214">
        <f t="shared" si="67"/>
        <v>5.6000000000000001E-2</v>
      </c>
      <c r="BA76" s="214">
        <f t="shared" si="67"/>
        <v>6.9000000000000006E-2</v>
      </c>
      <c r="BB76" s="214">
        <f t="shared" si="67"/>
        <v>0.153</v>
      </c>
      <c r="BC76" s="214">
        <f t="shared" si="67"/>
        <v>4.7E-2</v>
      </c>
      <c r="BD76" s="213">
        <f>ROUND(STDEV((IF(BD73=-8888,0,BD73)),(IF(BD74=-8888,0,BD74))),2)</f>
        <v>0.01</v>
      </c>
      <c r="BE76" s="213">
        <f t="shared" ref="BE76:BJ76" si="68">ROUND(STDEV((IF(BE73=-8888,0,BE73)),(IF(BE74=-8888,0,BE74))),2)</f>
        <v>0</v>
      </c>
      <c r="BF76" s="213">
        <f t="shared" si="68"/>
        <v>0</v>
      </c>
      <c r="BG76" s="213">
        <f t="shared" si="68"/>
        <v>0.04</v>
      </c>
      <c r="BH76" s="213">
        <f t="shared" si="68"/>
        <v>0</v>
      </c>
      <c r="BI76" s="213">
        <f t="shared" si="68"/>
        <v>0</v>
      </c>
      <c r="BJ76" s="213">
        <f t="shared" si="68"/>
        <v>0</v>
      </c>
      <c r="BK76" s="215"/>
      <c r="BL76" s="215"/>
    </row>
    <row r="77" spans="1:64">
      <c r="A77" s="216"/>
      <c r="B77" s="224"/>
      <c r="C77" s="224"/>
      <c r="D77" s="224"/>
      <c r="E77" s="224"/>
      <c r="F77" s="224"/>
      <c r="G77" s="224"/>
      <c r="H77" s="224"/>
      <c r="I77" s="224"/>
      <c r="J77" s="224"/>
      <c r="K77" s="224"/>
      <c r="L77" s="224"/>
      <c r="M77" s="224"/>
      <c r="N77" s="224"/>
      <c r="O77" s="224"/>
      <c r="P77" s="225"/>
      <c r="Q77" s="224"/>
      <c r="R77" s="224"/>
      <c r="S77" s="224"/>
      <c r="T77" s="224"/>
      <c r="U77" s="217" t="s">
        <v>148</v>
      </c>
      <c r="V77" s="218">
        <f>IF((V75=0),"N/A",ROUND((V76/V75),4))</f>
        <v>6.5500000000000003E-2</v>
      </c>
      <c r="W77" s="218">
        <f t="shared" ref="W77:BJ77" si="69">IF((W75=0),"N/A",ROUND((W76/W75),4))</f>
        <v>0</v>
      </c>
      <c r="X77" s="218">
        <f t="shared" si="69"/>
        <v>6.3399999999999998E-2</v>
      </c>
      <c r="Y77" s="218">
        <f t="shared" si="69"/>
        <v>6.25E-2</v>
      </c>
      <c r="Z77" s="218">
        <f t="shared" si="69"/>
        <v>7.6899999999999996E-2</v>
      </c>
      <c r="AA77" s="218">
        <f t="shared" si="69"/>
        <v>4.1700000000000001E-2</v>
      </c>
      <c r="AB77" s="218">
        <f t="shared" si="69"/>
        <v>0</v>
      </c>
      <c r="AC77" s="218">
        <f t="shared" si="69"/>
        <v>0.1017</v>
      </c>
      <c r="AD77" s="218">
        <f t="shared" si="69"/>
        <v>0</v>
      </c>
      <c r="AE77" s="218">
        <f t="shared" si="69"/>
        <v>8.9200000000000002E-2</v>
      </c>
      <c r="AF77" s="218">
        <f t="shared" si="69"/>
        <v>9.7600000000000006E-2</v>
      </c>
      <c r="AG77" s="218">
        <f t="shared" si="69"/>
        <v>0</v>
      </c>
      <c r="AH77" s="218">
        <f t="shared" si="69"/>
        <v>6.4299999999999996E-2</v>
      </c>
      <c r="AI77" s="218" t="str">
        <f t="shared" si="69"/>
        <v>N/A</v>
      </c>
      <c r="AJ77" s="218">
        <f t="shared" si="69"/>
        <v>0.22220000000000001</v>
      </c>
      <c r="AK77" s="218">
        <f t="shared" si="69"/>
        <v>0</v>
      </c>
      <c r="AL77" s="218" t="str">
        <f t="shared" si="69"/>
        <v>N/A</v>
      </c>
      <c r="AM77" s="218">
        <f t="shared" si="69"/>
        <v>8.0699999999999994E-2</v>
      </c>
      <c r="AN77" s="218">
        <f t="shared" si="69"/>
        <v>2.2700000000000001E-2</v>
      </c>
      <c r="AO77" s="218">
        <f t="shared" si="69"/>
        <v>0</v>
      </c>
      <c r="AP77" s="218">
        <f t="shared" si="69"/>
        <v>0</v>
      </c>
      <c r="AQ77" s="218">
        <f t="shared" si="69"/>
        <v>0</v>
      </c>
      <c r="AR77" s="218">
        <f t="shared" si="69"/>
        <v>6.6699999999999995E-2</v>
      </c>
      <c r="AS77" s="218">
        <f t="shared" si="69"/>
        <v>0.16669999999999999</v>
      </c>
      <c r="AT77" s="218" t="str">
        <f t="shared" si="69"/>
        <v>N/A</v>
      </c>
      <c r="AU77" s="218" t="str">
        <f t="shared" si="69"/>
        <v>N/A</v>
      </c>
      <c r="AV77" s="218">
        <f t="shared" si="69"/>
        <v>6.3799999999999996E-2</v>
      </c>
      <c r="AW77" s="218">
        <f t="shared" si="69"/>
        <v>5.5199999999999999E-2</v>
      </c>
      <c r="AX77" s="218">
        <f t="shared" si="69"/>
        <v>8.5800000000000001E-2</v>
      </c>
      <c r="AY77" s="218">
        <f t="shared" si="69"/>
        <v>6.9699999999999998E-2</v>
      </c>
      <c r="AZ77" s="218">
        <f t="shared" si="69"/>
        <v>8.0799999999999997E-2</v>
      </c>
      <c r="BA77" s="218">
        <f t="shared" si="69"/>
        <v>7.3099999999999998E-2</v>
      </c>
      <c r="BB77" s="218">
        <f t="shared" si="69"/>
        <v>6.9199999999999998E-2</v>
      </c>
      <c r="BC77" s="218">
        <f t="shared" si="69"/>
        <v>7.4800000000000005E-2</v>
      </c>
      <c r="BD77" s="218">
        <f t="shared" si="69"/>
        <v>1.3299999999999999E-2</v>
      </c>
      <c r="BE77" s="218">
        <f t="shared" si="69"/>
        <v>0</v>
      </c>
      <c r="BF77" s="218">
        <f t="shared" si="69"/>
        <v>0</v>
      </c>
      <c r="BG77" s="218">
        <f t="shared" si="69"/>
        <v>1.8200000000000001E-2</v>
      </c>
      <c r="BH77" s="218">
        <f t="shared" si="69"/>
        <v>0</v>
      </c>
      <c r="BI77" s="218">
        <f t="shared" si="69"/>
        <v>0</v>
      </c>
      <c r="BJ77" s="218">
        <f t="shared" si="69"/>
        <v>0</v>
      </c>
      <c r="BK77" s="219">
        <f>V77</f>
        <v>6.5500000000000003E-2</v>
      </c>
      <c r="BL77" s="219">
        <f>AVERAGE(V77:AG77)</f>
        <v>4.9875000000000003E-2</v>
      </c>
    </row>
    <row r="78" spans="1:64">
      <c r="A78" s="243" t="s">
        <v>450</v>
      </c>
      <c r="B78" s="169" t="s">
        <v>511</v>
      </c>
      <c r="C78" s="169" t="s">
        <v>874</v>
      </c>
      <c r="D78" s="169" t="s">
        <v>850</v>
      </c>
      <c r="E78" s="169" t="s">
        <v>173</v>
      </c>
      <c r="F78" s="169">
        <v>548</v>
      </c>
      <c r="G78" s="169">
        <v>9</v>
      </c>
      <c r="H78" s="169">
        <v>20</v>
      </c>
      <c r="I78" s="165">
        <v>2.2999999999999998</v>
      </c>
      <c r="J78" s="165">
        <v>1581</v>
      </c>
      <c r="K78" s="166" t="s">
        <v>514</v>
      </c>
      <c r="L78" s="165">
        <v>2025</v>
      </c>
      <c r="M78" s="165" t="s">
        <v>851</v>
      </c>
      <c r="N78" s="165">
        <v>26</v>
      </c>
      <c r="O78" s="181">
        <v>116</v>
      </c>
      <c r="P78" s="165" t="s">
        <v>771</v>
      </c>
      <c r="Q78" s="165">
        <v>-70.884</v>
      </c>
      <c r="R78" s="165">
        <v>39.771999999999998</v>
      </c>
      <c r="S78" s="165" t="s">
        <v>172</v>
      </c>
      <c r="T78" s="165">
        <v>25</v>
      </c>
      <c r="U78" s="166" t="s">
        <v>516</v>
      </c>
      <c r="V78" s="244">
        <v>0.93500000000000005</v>
      </c>
      <c r="W78" s="244">
        <v>2.7E-2</v>
      </c>
      <c r="X78" s="244">
        <v>0.191</v>
      </c>
      <c r="Y78" s="244">
        <v>4.9000000000000002E-2</v>
      </c>
      <c r="Z78" s="244">
        <v>3.5000000000000003E-2</v>
      </c>
      <c r="AA78" s="244">
        <v>0.124</v>
      </c>
      <c r="AB78" s="244">
        <v>4.5999999999999999E-2</v>
      </c>
      <c r="AC78" s="244">
        <v>0.13600000000000001</v>
      </c>
      <c r="AD78" s="244">
        <v>1.4E-2</v>
      </c>
      <c r="AE78" s="244">
        <v>0.27400000000000002</v>
      </c>
      <c r="AF78" s="244">
        <v>8.9999999999999993E-3</v>
      </c>
      <c r="AG78" s="244">
        <v>6.0000000000000001E-3</v>
      </c>
      <c r="AH78" s="244">
        <v>0.9</v>
      </c>
      <c r="AI78" s="244">
        <v>-8888</v>
      </c>
      <c r="AJ78" s="244">
        <v>3.5000000000000003E-2</v>
      </c>
      <c r="AK78" s="244">
        <v>2.7E-2</v>
      </c>
      <c r="AL78" s="244">
        <v>-8888</v>
      </c>
      <c r="AM78" s="244">
        <v>0.11700000000000001</v>
      </c>
      <c r="AN78" s="244">
        <v>7.3999999999999996E-2</v>
      </c>
      <c r="AO78" s="244">
        <v>2E-3</v>
      </c>
      <c r="AP78" s="244">
        <v>5.0000000000000001E-3</v>
      </c>
      <c r="AQ78" s="244">
        <v>8.9999999999999993E-3</v>
      </c>
      <c r="AR78" s="244">
        <v>6.0000000000000001E-3</v>
      </c>
      <c r="AS78" s="244">
        <v>8.0000000000000002E-3</v>
      </c>
      <c r="AT78" s="244">
        <v>1.2E-2</v>
      </c>
      <c r="AU78" s="244">
        <v>-8888</v>
      </c>
      <c r="AV78" s="244">
        <v>1.153</v>
      </c>
      <c r="AW78" s="244">
        <v>0.251</v>
      </c>
      <c r="AX78" s="244">
        <v>0.44200000000000006</v>
      </c>
      <c r="AY78" s="244">
        <v>1.5950000000000002</v>
      </c>
      <c r="AZ78" s="244">
        <v>0.69300000000000006</v>
      </c>
      <c r="BA78" s="244">
        <v>0.91100000000000003</v>
      </c>
      <c r="BB78" s="244">
        <v>1.8460000000000001</v>
      </c>
      <c r="BC78" s="244">
        <v>0.52100000000000002</v>
      </c>
      <c r="BD78" s="245">
        <v>0.97</v>
      </c>
      <c r="BE78" s="245">
        <v>0.64</v>
      </c>
      <c r="BF78" s="245">
        <v>0.36</v>
      </c>
      <c r="BG78" s="245">
        <v>1.66</v>
      </c>
      <c r="BH78" s="245">
        <v>0.14000000000000001</v>
      </c>
      <c r="BI78" s="245">
        <v>0.86</v>
      </c>
      <c r="BJ78" s="245">
        <v>0.51</v>
      </c>
      <c r="BK78" s="242"/>
      <c r="BL78" s="242"/>
    </row>
    <row r="79" spans="1:64">
      <c r="A79" s="243" t="s">
        <v>451</v>
      </c>
      <c r="B79" s="169" t="s">
        <v>511</v>
      </c>
      <c r="C79" s="169" t="s">
        <v>875</v>
      </c>
      <c r="D79" s="169" t="s">
        <v>850</v>
      </c>
      <c r="E79" s="169" t="s">
        <v>173</v>
      </c>
      <c r="F79" s="169">
        <v>548</v>
      </c>
      <c r="G79" s="169">
        <v>9</v>
      </c>
      <c r="H79" s="169">
        <v>20</v>
      </c>
      <c r="I79" s="165">
        <v>2.2999999999999998</v>
      </c>
      <c r="J79" s="165">
        <v>1581</v>
      </c>
      <c r="K79" s="166" t="s">
        <v>514</v>
      </c>
      <c r="L79" s="165">
        <v>2025</v>
      </c>
      <c r="M79" s="165" t="s">
        <v>851</v>
      </c>
      <c r="N79" s="165">
        <v>26</v>
      </c>
      <c r="O79" s="181">
        <v>116</v>
      </c>
      <c r="P79" s="165" t="s">
        <v>771</v>
      </c>
      <c r="Q79" s="165">
        <v>-70.884</v>
      </c>
      <c r="R79" s="165">
        <v>39.771999999999998</v>
      </c>
      <c r="S79" s="165" t="s">
        <v>172</v>
      </c>
      <c r="T79" s="165">
        <v>25</v>
      </c>
      <c r="U79" s="166" t="s">
        <v>516</v>
      </c>
      <c r="V79" s="244">
        <v>0.94600000000000006</v>
      </c>
      <c r="W79" s="244">
        <v>2.8000000000000001E-2</v>
      </c>
      <c r="X79" s="244">
        <v>0.189</v>
      </c>
      <c r="Y79" s="244">
        <v>4.8000000000000001E-2</v>
      </c>
      <c r="Z79" s="244">
        <v>3.4000000000000002E-2</v>
      </c>
      <c r="AA79" s="244">
        <v>0.124</v>
      </c>
      <c r="AB79" s="244">
        <v>4.8000000000000001E-2</v>
      </c>
      <c r="AC79" s="244">
        <v>0.13500000000000001</v>
      </c>
      <c r="AD79" s="244">
        <v>1.4999999999999999E-2</v>
      </c>
      <c r="AE79" s="244">
        <v>0.27700000000000002</v>
      </c>
      <c r="AF79" s="244">
        <v>8.9999999999999993E-3</v>
      </c>
      <c r="AG79" s="244">
        <v>7.0000000000000001E-3</v>
      </c>
      <c r="AH79" s="244">
        <v>0.91500000000000004</v>
      </c>
      <c r="AI79" s="244">
        <v>-8888</v>
      </c>
      <c r="AJ79" s="244">
        <v>3.1E-2</v>
      </c>
      <c r="AK79" s="244">
        <v>2.8000000000000001E-2</v>
      </c>
      <c r="AL79" s="244">
        <v>-8888</v>
      </c>
      <c r="AM79" s="244">
        <v>0.11799999999999999</v>
      </c>
      <c r="AN79" s="244">
        <v>7.0999999999999994E-2</v>
      </c>
      <c r="AO79" s="244">
        <v>3.0000000000000001E-3</v>
      </c>
      <c r="AP79" s="244">
        <v>4.0000000000000001E-3</v>
      </c>
      <c r="AQ79" s="244">
        <v>8.9999999999999993E-3</v>
      </c>
      <c r="AR79" s="244">
        <v>7.0000000000000001E-3</v>
      </c>
      <c r="AS79" s="244">
        <v>8.9999999999999993E-3</v>
      </c>
      <c r="AT79" s="244">
        <v>1.2E-2</v>
      </c>
      <c r="AU79" s="244">
        <v>-8888</v>
      </c>
      <c r="AV79" s="244">
        <v>1.163</v>
      </c>
      <c r="AW79" s="244">
        <v>0.253</v>
      </c>
      <c r="AX79" s="244">
        <v>0.44400000000000006</v>
      </c>
      <c r="AY79" s="244">
        <v>1.6070000000000002</v>
      </c>
      <c r="AZ79" s="244">
        <v>0.69700000000000006</v>
      </c>
      <c r="BA79" s="244">
        <v>0.91400000000000015</v>
      </c>
      <c r="BB79" s="244">
        <v>1.8600000000000003</v>
      </c>
      <c r="BC79" s="244">
        <v>0.52700000000000002</v>
      </c>
      <c r="BD79" s="245">
        <v>0.97</v>
      </c>
      <c r="BE79" s="245">
        <v>0.64</v>
      </c>
      <c r="BF79" s="245">
        <v>0.36</v>
      </c>
      <c r="BG79" s="245">
        <v>1.67</v>
      </c>
      <c r="BH79" s="245">
        <v>0.14000000000000001</v>
      </c>
      <c r="BI79" s="245">
        <v>0.86</v>
      </c>
      <c r="BJ79" s="245">
        <v>0.51</v>
      </c>
      <c r="BK79" s="242"/>
      <c r="BL79" s="242"/>
    </row>
    <row r="80" spans="1:64">
      <c r="A80" s="210"/>
      <c r="B80" s="220"/>
      <c r="C80" s="220"/>
      <c r="D80" s="220"/>
      <c r="E80" s="220"/>
      <c r="F80" s="220"/>
      <c r="G80" s="220"/>
      <c r="H80" s="220"/>
      <c r="I80" s="220"/>
      <c r="J80" s="220"/>
      <c r="K80" s="220"/>
      <c r="L80" s="220"/>
      <c r="M80" s="220"/>
      <c r="N80" s="220"/>
      <c r="O80" s="220"/>
      <c r="P80" s="221"/>
      <c r="Q80" s="220"/>
      <c r="R80" s="220"/>
      <c r="S80" s="220"/>
      <c r="T80" s="220"/>
      <c r="U80" s="210" t="s">
        <v>22</v>
      </c>
      <c r="V80" s="210">
        <f t="shared" ref="V80:BC80" si="70">ROUND(AVERAGE((IF(V78=-8888,0,V78)),(IF(V79=-8888,0,V79))),3)</f>
        <v>0.94099999999999995</v>
      </c>
      <c r="W80" s="210">
        <f t="shared" si="70"/>
        <v>2.8000000000000001E-2</v>
      </c>
      <c r="X80" s="210">
        <f t="shared" si="70"/>
        <v>0.19</v>
      </c>
      <c r="Y80" s="210">
        <f t="shared" si="70"/>
        <v>4.9000000000000002E-2</v>
      </c>
      <c r="Z80" s="210">
        <f t="shared" si="70"/>
        <v>3.5000000000000003E-2</v>
      </c>
      <c r="AA80" s="210">
        <f t="shared" si="70"/>
        <v>0.124</v>
      </c>
      <c r="AB80" s="210">
        <f t="shared" si="70"/>
        <v>4.7E-2</v>
      </c>
      <c r="AC80" s="210">
        <f t="shared" si="70"/>
        <v>0.13600000000000001</v>
      </c>
      <c r="AD80" s="210">
        <f t="shared" si="70"/>
        <v>1.4999999999999999E-2</v>
      </c>
      <c r="AE80" s="210">
        <f t="shared" si="70"/>
        <v>0.27600000000000002</v>
      </c>
      <c r="AF80" s="210">
        <f t="shared" si="70"/>
        <v>8.9999999999999993E-3</v>
      </c>
      <c r="AG80" s="210">
        <f t="shared" si="70"/>
        <v>7.0000000000000001E-3</v>
      </c>
      <c r="AH80" s="210">
        <f t="shared" si="70"/>
        <v>0.90800000000000003</v>
      </c>
      <c r="AI80" s="210">
        <f t="shared" si="70"/>
        <v>0</v>
      </c>
      <c r="AJ80" s="210">
        <f t="shared" si="70"/>
        <v>3.3000000000000002E-2</v>
      </c>
      <c r="AK80" s="210">
        <f t="shared" si="70"/>
        <v>2.8000000000000001E-2</v>
      </c>
      <c r="AL80" s="210">
        <f t="shared" si="70"/>
        <v>0</v>
      </c>
      <c r="AM80" s="210">
        <f t="shared" si="70"/>
        <v>0.11799999999999999</v>
      </c>
      <c r="AN80" s="210">
        <f t="shared" si="70"/>
        <v>7.2999999999999995E-2</v>
      </c>
      <c r="AO80" s="210">
        <f t="shared" si="70"/>
        <v>3.0000000000000001E-3</v>
      </c>
      <c r="AP80" s="210">
        <f t="shared" si="70"/>
        <v>5.0000000000000001E-3</v>
      </c>
      <c r="AQ80" s="210">
        <f t="shared" si="70"/>
        <v>8.9999999999999993E-3</v>
      </c>
      <c r="AR80" s="210">
        <f t="shared" si="70"/>
        <v>7.0000000000000001E-3</v>
      </c>
      <c r="AS80" s="210">
        <f t="shared" si="70"/>
        <v>8.9999999999999993E-3</v>
      </c>
      <c r="AT80" s="210">
        <f t="shared" si="70"/>
        <v>1.2E-2</v>
      </c>
      <c r="AU80" s="210">
        <f t="shared" si="70"/>
        <v>0</v>
      </c>
      <c r="AV80" s="210">
        <f t="shared" si="70"/>
        <v>1.1579999999999999</v>
      </c>
      <c r="AW80" s="210">
        <f t="shared" si="70"/>
        <v>0.252</v>
      </c>
      <c r="AX80" s="210">
        <f t="shared" si="70"/>
        <v>0.443</v>
      </c>
      <c r="AY80" s="210">
        <f t="shared" si="70"/>
        <v>1.601</v>
      </c>
      <c r="AZ80" s="210">
        <f t="shared" si="70"/>
        <v>0.69499999999999995</v>
      </c>
      <c r="BA80" s="210">
        <f t="shared" si="70"/>
        <v>0.91300000000000003</v>
      </c>
      <c r="BB80" s="210">
        <f t="shared" si="70"/>
        <v>1.853</v>
      </c>
      <c r="BC80" s="210">
        <f t="shared" si="70"/>
        <v>0.52400000000000002</v>
      </c>
      <c r="BD80" s="209">
        <f>ROUND(AVERAGE((IF(BD78=-8888,0,BD78)),(IF(BD79=-8888,0,BD79))),2)</f>
        <v>0.97</v>
      </c>
      <c r="BE80" s="209">
        <f t="shared" ref="BE80:BJ80" si="71">ROUND(AVERAGE((IF(BE78=-8888,0,BE78)),(IF(BE79=-8888,0,BE79))),2)</f>
        <v>0.64</v>
      </c>
      <c r="BF80" s="209">
        <f t="shared" si="71"/>
        <v>0.36</v>
      </c>
      <c r="BG80" s="209">
        <f t="shared" si="71"/>
        <v>1.67</v>
      </c>
      <c r="BH80" s="209">
        <f t="shared" si="71"/>
        <v>0.14000000000000001</v>
      </c>
      <c r="BI80" s="209">
        <f t="shared" si="71"/>
        <v>0.86</v>
      </c>
      <c r="BJ80" s="209">
        <f t="shared" si="71"/>
        <v>0.51</v>
      </c>
      <c r="BK80" s="211"/>
      <c r="BL80" s="211"/>
    </row>
    <row r="81" spans="1:64">
      <c r="A81" s="214"/>
      <c r="B81" s="222"/>
      <c r="C81" s="222"/>
      <c r="D81" s="222"/>
      <c r="E81" s="222"/>
      <c r="F81" s="222"/>
      <c r="G81" s="222"/>
      <c r="H81" s="222"/>
      <c r="I81" s="222"/>
      <c r="J81" s="222"/>
      <c r="K81" s="222"/>
      <c r="L81" s="222"/>
      <c r="M81" s="222"/>
      <c r="N81" s="222"/>
      <c r="O81" s="222"/>
      <c r="P81" s="223"/>
      <c r="Q81" s="222"/>
      <c r="R81" s="222"/>
      <c r="S81" s="222"/>
      <c r="T81" s="222"/>
      <c r="U81" s="214" t="s">
        <v>1015</v>
      </c>
      <c r="V81" s="214">
        <f t="shared" ref="V81:BC81" si="72">ROUND(STDEV((IF(V78=-8888,0,V78)),(IF(V79=-8888,0,V79))),3)</f>
        <v>8.0000000000000002E-3</v>
      </c>
      <c r="W81" s="214">
        <f t="shared" si="72"/>
        <v>1E-3</v>
      </c>
      <c r="X81" s="214">
        <f t="shared" si="72"/>
        <v>1E-3</v>
      </c>
      <c r="Y81" s="214">
        <f t="shared" si="72"/>
        <v>1E-3</v>
      </c>
      <c r="Z81" s="214">
        <f t="shared" si="72"/>
        <v>1E-3</v>
      </c>
      <c r="AA81" s="214">
        <f t="shared" si="72"/>
        <v>0</v>
      </c>
      <c r="AB81" s="214">
        <f t="shared" si="72"/>
        <v>1E-3</v>
      </c>
      <c r="AC81" s="214">
        <f t="shared" si="72"/>
        <v>1E-3</v>
      </c>
      <c r="AD81" s="214">
        <f t="shared" si="72"/>
        <v>1E-3</v>
      </c>
      <c r="AE81" s="214">
        <f t="shared" si="72"/>
        <v>2E-3</v>
      </c>
      <c r="AF81" s="214">
        <f t="shared" si="72"/>
        <v>0</v>
      </c>
      <c r="AG81" s="214">
        <f t="shared" si="72"/>
        <v>1E-3</v>
      </c>
      <c r="AH81" s="214">
        <f t="shared" si="72"/>
        <v>1.0999999999999999E-2</v>
      </c>
      <c r="AI81" s="214">
        <f t="shared" si="72"/>
        <v>0</v>
      </c>
      <c r="AJ81" s="214">
        <f t="shared" si="72"/>
        <v>3.0000000000000001E-3</v>
      </c>
      <c r="AK81" s="214">
        <f t="shared" si="72"/>
        <v>1E-3</v>
      </c>
      <c r="AL81" s="214">
        <f t="shared" si="72"/>
        <v>0</v>
      </c>
      <c r="AM81" s="214">
        <f t="shared" si="72"/>
        <v>1E-3</v>
      </c>
      <c r="AN81" s="214">
        <f t="shared" si="72"/>
        <v>2E-3</v>
      </c>
      <c r="AO81" s="214">
        <f t="shared" si="72"/>
        <v>1E-3</v>
      </c>
      <c r="AP81" s="214">
        <f t="shared" si="72"/>
        <v>1E-3</v>
      </c>
      <c r="AQ81" s="214">
        <f t="shared" si="72"/>
        <v>0</v>
      </c>
      <c r="AR81" s="214">
        <f t="shared" si="72"/>
        <v>1E-3</v>
      </c>
      <c r="AS81" s="214">
        <f t="shared" si="72"/>
        <v>1E-3</v>
      </c>
      <c r="AT81" s="214">
        <f t="shared" si="72"/>
        <v>0</v>
      </c>
      <c r="AU81" s="214">
        <f t="shared" si="72"/>
        <v>0</v>
      </c>
      <c r="AV81" s="214">
        <f t="shared" si="72"/>
        <v>7.0000000000000001E-3</v>
      </c>
      <c r="AW81" s="214">
        <f t="shared" si="72"/>
        <v>1E-3</v>
      </c>
      <c r="AX81" s="214">
        <f t="shared" si="72"/>
        <v>1E-3</v>
      </c>
      <c r="AY81" s="214">
        <f t="shared" si="72"/>
        <v>8.0000000000000002E-3</v>
      </c>
      <c r="AZ81" s="214">
        <f t="shared" si="72"/>
        <v>3.0000000000000001E-3</v>
      </c>
      <c r="BA81" s="214">
        <f t="shared" si="72"/>
        <v>2E-3</v>
      </c>
      <c r="BB81" s="214">
        <f t="shared" si="72"/>
        <v>0.01</v>
      </c>
      <c r="BC81" s="214">
        <f t="shared" si="72"/>
        <v>4.0000000000000001E-3</v>
      </c>
      <c r="BD81" s="213">
        <f>ROUND(STDEV((IF(BD78=-8888,0,BD78)),(IF(BD79=-8888,0,BD79))),2)</f>
        <v>0</v>
      </c>
      <c r="BE81" s="213">
        <f t="shared" ref="BE81:BJ81" si="73">ROUND(STDEV((IF(BE78=-8888,0,BE78)),(IF(BE79=-8888,0,BE79))),2)</f>
        <v>0</v>
      </c>
      <c r="BF81" s="213">
        <f t="shared" si="73"/>
        <v>0</v>
      </c>
      <c r="BG81" s="213">
        <f t="shared" si="73"/>
        <v>0.01</v>
      </c>
      <c r="BH81" s="213">
        <f t="shared" si="73"/>
        <v>0</v>
      </c>
      <c r="BI81" s="213">
        <f t="shared" si="73"/>
        <v>0</v>
      </c>
      <c r="BJ81" s="213">
        <f t="shared" si="73"/>
        <v>0</v>
      </c>
      <c r="BK81" s="215"/>
      <c r="BL81" s="215"/>
    </row>
    <row r="82" spans="1:64">
      <c r="A82" s="216"/>
      <c r="B82" s="224"/>
      <c r="C82" s="224"/>
      <c r="D82" s="224"/>
      <c r="E82" s="224"/>
      <c r="F82" s="224"/>
      <c r="G82" s="224"/>
      <c r="H82" s="224"/>
      <c r="I82" s="224"/>
      <c r="J82" s="224"/>
      <c r="K82" s="224"/>
      <c r="L82" s="224"/>
      <c r="M82" s="224"/>
      <c r="N82" s="224"/>
      <c r="O82" s="224"/>
      <c r="P82" s="225"/>
      <c r="Q82" s="224"/>
      <c r="R82" s="224"/>
      <c r="S82" s="224"/>
      <c r="T82" s="224"/>
      <c r="U82" s="217" t="s">
        <v>148</v>
      </c>
      <c r="V82" s="218">
        <f>IF((V80=0),"N/A",ROUND((V81/V80),4))</f>
        <v>8.5000000000000006E-3</v>
      </c>
      <c r="W82" s="218">
        <f t="shared" ref="W82:BJ82" si="74">IF((W80=0),"N/A",ROUND((W81/W80),4))</f>
        <v>3.5700000000000003E-2</v>
      </c>
      <c r="X82" s="218">
        <f t="shared" si="74"/>
        <v>5.3E-3</v>
      </c>
      <c r="Y82" s="218">
        <f t="shared" si="74"/>
        <v>2.0400000000000001E-2</v>
      </c>
      <c r="Z82" s="218">
        <f t="shared" si="74"/>
        <v>2.86E-2</v>
      </c>
      <c r="AA82" s="218">
        <f t="shared" si="74"/>
        <v>0</v>
      </c>
      <c r="AB82" s="218">
        <f t="shared" si="74"/>
        <v>2.1299999999999999E-2</v>
      </c>
      <c r="AC82" s="218">
        <f t="shared" si="74"/>
        <v>7.4000000000000003E-3</v>
      </c>
      <c r="AD82" s="218">
        <f t="shared" si="74"/>
        <v>6.6699999999999995E-2</v>
      </c>
      <c r="AE82" s="218">
        <f t="shared" si="74"/>
        <v>7.1999999999999998E-3</v>
      </c>
      <c r="AF82" s="218">
        <f t="shared" si="74"/>
        <v>0</v>
      </c>
      <c r="AG82" s="218">
        <f t="shared" si="74"/>
        <v>0.1429</v>
      </c>
      <c r="AH82" s="218">
        <f t="shared" si="74"/>
        <v>1.21E-2</v>
      </c>
      <c r="AI82" s="218" t="str">
        <f t="shared" si="74"/>
        <v>N/A</v>
      </c>
      <c r="AJ82" s="218">
        <f t="shared" si="74"/>
        <v>9.0899999999999995E-2</v>
      </c>
      <c r="AK82" s="218">
        <f t="shared" si="74"/>
        <v>3.5700000000000003E-2</v>
      </c>
      <c r="AL82" s="218" t="str">
        <f t="shared" si="74"/>
        <v>N/A</v>
      </c>
      <c r="AM82" s="218">
        <f t="shared" si="74"/>
        <v>8.5000000000000006E-3</v>
      </c>
      <c r="AN82" s="218">
        <f t="shared" si="74"/>
        <v>2.7400000000000001E-2</v>
      </c>
      <c r="AO82" s="218">
        <f t="shared" si="74"/>
        <v>0.33329999999999999</v>
      </c>
      <c r="AP82" s="218">
        <f t="shared" si="74"/>
        <v>0.2</v>
      </c>
      <c r="AQ82" s="218">
        <f t="shared" si="74"/>
        <v>0</v>
      </c>
      <c r="AR82" s="218">
        <f t="shared" si="74"/>
        <v>0.1429</v>
      </c>
      <c r="AS82" s="218">
        <f t="shared" si="74"/>
        <v>0.1111</v>
      </c>
      <c r="AT82" s="218">
        <f t="shared" si="74"/>
        <v>0</v>
      </c>
      <c r="AU82" s="218" t="str">
        <f t="shared" si="74"/>
        <v>N/A</v>
      </c>
      <c r="AV82" s="218">
        <f t="shared" si="74"/>
        <v>6.0000000000000001E-3</v>
      </c>
      <c r="AW82" s="218">
        <f t="shared" si="74"/>
        <v>4.0000000000000001E-3</v>
      </c>
      <c r="AX82" s="218">
        <f t="shared" si="74"/>
        <v>2.3E-3</v>
      </c>
      <c r="AY82" s="218">
        <f t="shared" si="74"/>
        <v>5.0000000000000001E-3</v>
      </c>
      <c r="AZ82" s="218">
        <f t="shared" si="74"/>
        <v>4.3E-3</v>
      </c>
      <c r="BA82" s="218">
        <f t="shared" si="74"/>
        <v>2.2000000000000001E-3</v>
      </c>
      <c r="BB82" s="218">
        <f t="shared" si="74"/>
        <v>5.4000000000000003E-3</v>
      </c>
      <c r="BC82" s="218">
        <f t="shared" si="74"/>
        <v>7.6E-3</v>
      </c>
      <c r="BD82" s="218">
        <f t="shared" si="74"/>
        <v>0</v>
      </c>
      <c r="BE82" s="218">
        <f t="shared" si="74"/>
        <v>0</v>
      </c>
      <c r="BF82" s="218">
        <f t="shared" si="74"/>
        <v>0</v>
      </c>
      <c r="BG82" s="218">
        <f t="shared" si="74"/>
        <v>6.0000000000000001E-3</v>
      </c>
      <c r="BH82" s="218">
        <f t="shared" si="74"/>
        <v>0</v>
      </c>
      <c r="BI82" s="218">
        <f t="shared" si="74"/>
        <v>0</v>
      </c>
      <c r="BJ82" s="218">
        <f t="shared" si="74"/>
        <v>0</v>
      </c>
      <c r="BK82" s="219">
        <f>V82</f>
        <v>8.5000000000000006E-3</v>
      </c>
      <c r="BL82" s="219">
        <f>AVERAGE(V82:AG82)</f>
        <v>2.866666666666667E-2</v>
      </c>
    </row>
    <row r="83" spans="1:64">
      <c r="A83" s="243" t="s">
        <v>452</v>
      </c>
      <c r="B83" s="169" t="s">
        <v>511</v>
      </c>
      <c r="C83" s="169" t="s">
        <v>876</v>
      </c>
      <c r="D83" s="169" t="s">
        <v>850</v>
      </c>
      <c r="E83" s="169" t="s">
        <v>173</v>
      </c>
      <c r="F83" s="169">
        <v>549</v>
      </c>
      <c r="G83" s="169">
        <v>10</v>
      </c>
      <c r="H83" s="169">
        <v>4</v>
      </c>
      <c r="I83" s="165">
        <v>60.4</v>
      </c>
      <c r="J83" s="165">
        <v>85</v>
      </c>
      <c r="K83" s="166" t="s">
        <v>514</v>
      </c>
      <c r="L83" s="165">
        <v>2025</v>
      </c>
      <c r="M83" s="165" t="s">
        <v>851</v>
      </c>
      <c r="N83" s="165">
        <v>26</v>
      </c>
      <c r="O83" s="181">
        <v>116</v>
      </c>
      <c r="P83" s="165" t="s">
        <v>877</v>
      </c>
      <c r="Q83" s="165">
        <v>-70.881</v>
      </c>
      <c r="R83" s="165">
        <v>40.363</v>
      </c>
      <c r="S83" s="165" t="s">
        <v>172</v>
      </c>
      <c r="T83" s="165">
        <v>25</v>
      </c>
      <c r="U83" s="166" t="s">
        <v>516</v>
      </c>
      <c r="V83" s="244">
        <v>0.13600000000000001</v>
      </c>
      <c r="W83" s="244">
        <v>2.5999999999999999E-2</v>
      </c>
      <c r="X83" s="244">
        <v>3.7999999999999999E-2</v>
      </c>
      <c r="Y83" s="244">
        <v>7.0000000000000001E-3</v>
      </c>
      <c r="Z83" s="244">
        <v>3.0000000000000001E-3</v>
      </c>
      <c r="AA83" s="244">
        <v>5.0000000000000001E-3</v>
      </c>
      <c r="AB83" s="244">
        <v>7.0000000000000001E-3</v>
      </c>
      <c r="AC83" s="244">
        <v>5.0000000000000001E-3</v>
      </c>
      <c r="AD83" s="244">
        <v>-8888</v>
      </c>
      <c r="AE83" s="244">
        <v>4.4999999999999998E-2</v>
      </c>
      <c r="AF83" s="244">
        <v>5.0000000000000001E-3</v>
      </c>
      <c r="AG83" s="244">
        <v>3.0000000000000001E-3</v>
      </c>
      <c r="AH83" s="244">
        <v>0.13400000000000001</v>
      </c>
      <c r="AI83" s="244">
        <v>-8888</v>
      </c>
      <c r="AJ83" s="244">
        <v>2E-3</v>
      </c>
      <c r="AK83" s="244">
        <v>2.5999999999999999E-2</v>
      </c>
      <c r="AL83" s="244">
        <v>-8888</v>
      </c>
      <c r="AM83" s="244">
        <v>2.5000000000000001E-2</v>
      </c>
      <c r="AN83" s="244">
        <v>1.2999999999999999E-2</v>
      </c>
      <c r="AO83" s="244">
        <v>1E-3</v>
      </c>
      <c r="AP83" s="244">
        <v>3.0000000000000001E-3</v>
      </c>
      <c r="AQ83" s="244">
        <v>2E-3</v>
      </c>
      <c r="AR83" s="244">
        <v>4.0000000000000001E-3</v>
      </c>
      <c r="AS83" s="244">
        <v>0.11899999999999999</v>
      </c>
      <c r="AT83" s="244">
        <v>7.0000000000000001E-3</v>
      </c>
      <c r="AU83" s="244">
        <v>-8888</v>
      </c>
      <c r="AV83" s="244">
        <v>0.2</v>
      </c>
      <c r="AW83" s="244">
        <v>2.1999999999999999E-2</v>
      </c>
      <c r="AX83" s="244">
        <v>5.7999999999999996E-2</v>
      </c>
      <c r="AY83" s="244">
        <v>0.25800000000000001</v>
      </c>
      <c r="AZ83" s="244">
        <v>7.9999999999999988E-2</v>
      </c>
      <c r="BA83" s="244">
        <v>0.14399999999999999</v>
      </c>
      <c r="BB83" s="244">
        <v>0.28000000000000003</v>
      </c>
      <c r="BC83" s="244">
        <v>9.4E-2</v>
      </c>
      <c r="BD83" s="245">
        <v>1.06</v>
      </c>
      <c r="BE83" s="245">
        <v>0.73</v>
      </c>
      <c r="BF83" s="245">
        <v>0.28000000000000003</v>
      </c>
      <c r="BG83" s="245">
        <v>2.5</v>
      </c>
      <c r="BH83" s="245">
        <v>0.08</v>
      </c>
      <c r="BI83" s="245">
        <v>0.92</v>
      </c>
      <c r="BJ83" s="245">
        <v>0.49</v>
      </c>
      <c r="BK83" s="242"/>
      <c r="BL83" s="242"/>
    </row>
    <row r="84" spans="1:64">
      <c r="A84" s="243" t="s">
        <v>453</v>
      </c>
      <c r="B84" s="169" t="s">
        <v>511</v>
      </c>
      <c r="C84" s="169" t="s">
        <v>878</v>
      </c>
      <c r="D84" s="169" t="s">
        <v>850</v>
      </c>
      <c r="E84" s="169" t="s">
        <v>173</v>
      </c>
      <c r="F84" s="169">
        <v>549</v>
      </c>
      <c r="G84" s="169">
        <v>10</v>
      </c>
      <c r="H84" s="169">
        <v>4</v>
      </c>
      <c r="I84" s="165">
        <v>60.4</v>
      </c>
      <c r="J84" s="165">
        <v>85</v>
      </c>
      <c r="K84" s="166" t="s">
        <v>514</v>
      </c>
      <c r="L84" s="165">
        <v>2025</v>
      </c>
      <c r="M84" s="165" t="s">
        <v>851</v>
      </c>
      <c r="N84" s="165">
        <v>26</v>
      </c>
      <c r="O84" s="181">
        <v>116</v>
      </c>
      <c r="P84" s="165" t="s">
        <v>877</v>
      </c>
      <c r="Q84" s="165">
        <v>-70.881</v>
      </c>
      <c r="R84" s="165">
        <v>40.363</v>
      </c>
      <c r="S84" s="165" t="s">
        <v>172</v>
      </c>
      <c r="T84" s="165">
        <v>25</v>
      </c>
      <c r="U84" s="166" t="s">
        <v>516</v>
      </c>
      <c r="V84" s="244">
        <v>0.13600000000000001</v>
      </c>
      <c r="W84" s="244">
        <v>2.5000000000000001E-2</v>
      </c>
      <c r="X84" s="244">
        <v>3.6999999999999998E-2</v>
      </c>
      <c r="Y84" s="244">
        <v>7.0000000000000001E-3</v>
      </c>
      <c r="Z84" s="244">
        <v>2E-3</v>
      </c>
      <c r="AA84" s="244">
        <v>4.0000000000000001E-3</v>
      </c>
      <c r="AB84" s="244">
        <v>5.0000000000000001E-3</v>
      </c>
      <c r="AC84" s="244">
        <v>5.0000000000000001E-3</v>
      </c>
      <c r="AD84" s="244">
        <v>-8888</v>
      </c>
      <c r="AE84" s="244">
        <v>4.4999999999999998E-2</v>
      </c>
      <c r="AF84" s="244">
        <v>5.0000000000000001E-3</v>
      </c>
      <c r="AG84" s="244">
        <v>3.0000000000000001E-3</v>
      </c>
      <c r="AH84" s="244">
        <v>0.13400000000000001</v>
      </c>
      <c r="AI84" s="244">
        <v>-8888</v>
      </c>
      <c r="AJ84" s="244">
        <v>2E-3</v>
      </c>
      <c r="AK84" s="244">
        <v>2.5000000000000001E-2</v>
      </c>
      <c r="AL84" s="244">
        <v>-8888</v>
      </c>
      <c r="AM84" s="244">
        <v>2.4E-2</v>
      </c>
      <c r="AN84" s="244">
        <v>1.2999999999999999E-2</v>
      </c>
      <c r="AO84" s="244">
        <v>1E-3</v>
      </c>
      <c r="AP84" s="244">
        <v>2E-3</v>
      </c>
      <c r="AQ84" s="244">
        <v>1E-3</v>
      </c>
      <c r="AR84" s="244">
        <v>3.0000000000000001E-3</v>
      </c>
      <c r="AS84" s="244">
        <v>0.109</v>
      </c>
      <c r="AT84" s="244">
        <v>7.0000000000000001E-3</v>
      </c>
      <c r="AU84" s="244">
        <v>-8888</v>
      </c>
      <c r="AV84" s="244">
        <v>0.19800000000000001</v>
      </c>
      <c r="AW84" s="244">
        <v>0.02</v>
      </c>
      <c r="AX84" s="244">
        <v>5.6000000000000001E-2</v>
      </c>
      <c r="AY84" s="244">
        <v>0.254</v>
      </c>
      <c r="AZ84" s="244">
        <v>7.5999999999999998E-2</v>
      </c>
      <c r="BA84" s="244">
        <v>0.13800000000000001</v>
      </c>
      <c r="BB84" s="244">
        <v>0.27400000000000002</v>
      </c>
      <c r="BC84" s="244">
        <v>8.8999999999999996E-2</v>
      </c>
      <c r="BD84" s="245">
        <v>1.01</v>
      </c>
      <c r="BE84" s="245">
        <v>0.74</v>
      </c>
      <c r="BF84" s="245">
        <v>0.26</v>
      </c>
      <c r="BG84" s="245">
        <v>2.61</v>
      </c>
      <c r="BH84" s="245">
        <v>7.0000000000000007E-2</v>
      </c>
      <c r="BI84" s="245">
        <v>0.93</v>
      </c>
      <c r="BJ84" s="245">
        <v>0.5</v>
      </c>
      <c r="BK84" s="242"/>
      <c r="BL84" s="242"/>
    </row>
    <row r="85" spans="1:64">
      <c r="A85" s="210"/>
      <c r="B85" s="220"/>
      <c r="C85" s="220"/>
      <c r="D85" s="220"/>
      <c r="E85" s="220"/>
      <c r="F85" s="220"/>
      <c r="G85" s="220"/>
      <c r="H85" s="220"/>
      <c r="I85" s="220"/>
      <c r="J85" s="220"/>
      <c r="K85" s="220"/>
      <c r="L85" s="220"/>
      <c r="M85" s="220"/>
      <c r="N85" s="220"/>
      <c r="O85" s="220"/>
      <c r="P85" s="221"/>
      <c r="Q85" s="220"/>
      <c r="R85" s="220"/>
      <c r="S85" s="220"/>
      <c r="T85" s="220"/>
      <c r="U85" s="210" t="s">
        <v>22</v>
      </c>
      <c r="V85" s="210">
        <f t="shared" ref="V85:BC85" si="75">ROUND(AVERAGE((IF(V83=-8888,0,V83)),(IF(V84=-8888,0,V84))),3)</f>
        <v>0.13600000000000001</v>
      </c>
      <c r="W85" s="210">
        <f t="shared" si="75"/>
        <v>2.5999999999999999E-2</v>
      </c>
      <c r="X85" s="210">
        <f t="shared" si="75"/>
        <v>3.7999999999999999E-2</v>
      </c>
      <c r="Y85" s="210">
        <f t="shared" si="75"/>
        <v>7.0000000000000001E-3</v>
      </c>
      <c r="Z85" s="210">
        <f t="shared" si="75"/>
        <v>3.0000000000000001E-3</v>
      </c>
      <c r="AA85" s="210">
        <f t="shared" si="75"/>
        <v>5.0000000000000001E-3</v>
      </c>
      <c r="AB85" s="210">
        <f t="shared" si="75"/>
        <v>6.0000000000000001E-3</v>
      </c>
      <c r="AC85" s="210">
        <f t="shared" si="75"/>
        <v>5.0000000000000001E-3</v>
      </c>
      <c r="AD85" s="210">
        <f t="shared" si="75"/>
        <v>0</v>
      </c>
      <c r="AE85" s="210">
        <f t="shared" si="75"/>
        <v>4.4999999999999998E-2</v>
      </c>
      <c r="AF85" s="210">
        <f t="shared" si="75"/>
        <v>5.0000000000000001E-3</v>
      </c>
      <c r="AG85" s="210">
        <f t="shared" si="75"/>
        <v>3.0000000000000001E-3</v>
      </c>
      <c r="AH85" s="210">
        <f t="shared" si="75"/>
        <v>0.13400000000000001</v>
      </c>
      <c r="AI85" s="210">
        <f t="shared" si="75"/>
        <v>0</v>
      </c>
      <c r="AJ85" s="210">
        <f t="shared" si="75"/>
        <v>2E-3</v>
      </c>
      <c r="AK85" s="210">
        <f t="shared" si="75"/>
        <v>2.5999999999999999E-2</v>
      </c>
      <c r="AL85" s="210">
        <f t="shared" si="75"/>
        <v>0</v>
      </c>
      <c r="AM85" s="210">
        <f t="shared" si="75"/>
        <v>2.5000000000000001E-2</v>
      </c>
      <c r="AN85" s="210">
        <f t="shared" si="75"/>
        <v>1.2999999999999999E-2</v>
      </c>
      <c r="AO85" s="210">
        <f t="shared" si="75"/>
        <v>1E-3</v>
      </c>
      <c r="AP85" s="210">
        <f t="shared" si="75"/>
        <v>3.0000000000000001E-3</v>
      </c>
      <c r="AQ85" s="210">
        <f t="shared" si="75"/>
        <v>2E-3</v>
      </c>
      <c r="AR85" s="210">
        <f t="shared" si="75"/>
        <v>4.0000000000000001E-3</v>
      </c>
      <c r="AS85" s="210">
        <f t="shared" si="75"/>
        <v>0.114</v>
      </c>
      <c r="AT85" s="210">
        <f t="shared" si="75"/>
        <v>7.0000000000000001E-3</v>
      </c>
      <c r="AU85" s="210">
        <f t="shared" si="75"/>
        <v>0</v>
      </c>
      <c r="AV85" s="210">
        <f t="shared" si="75"/>
        <v>0.19900000000000001</v>
      </c>
      <c r="AW85" s="210">
        <f t="shared" si="75"/>
        <v>2.1000000000000001E-2</v>
      </c>
      <c r="AX85" s="210">
        <f t="shared" si="75"/>
        <v>5.7000000000000002E-2</v>
      </c>
      <c r="AY85" s="210">
        <f t="shared" si="75"/>
        <v>0.25600000000000001</v>
      </c>
      <c r="AZ85" s="210">
        <f t="shared" si="75"/>
        <v>7.8E-2</v>
      </c>
      <c r="BA85" s="210">
        <f t="shared" si="75"/>
        <v>0.14099999999999999</v>
      </c>
      <c r="BB85" s="210">
        <f t="shared" si="75"/>
        <v>0.27700000000000002</v>
      </c>
      <c r="BC85" s="210">
        <f t="shared" si="75"/>
        <v>9.1999999999999998E-2</v>
      </c>
      <c r="BD85" s="209">
        <f>ROUND(AVERAGE((IF(BD83=-8888,0,BD83)),(IF(BD84=-8888,0,BD84))),2)</f>
        <v>1.04</v>
      </c>
      <c r="BE85" s="209">
        <f t="shared" ref="BE85:BJ85" si="76">ROUND(AVERAGE((IF(BE83=-8888,0,BE83)),(IF(BE84=-8888,0,BE84))),2)</f>
        <v>0.74</v>
      </c>
      <c r="BF85" s="209">
        <f t="shared" si="76"/>
        <v>0.27</v>
      </c>
      <c r="BG85" s="209">
        <f t="shared" si="76"/>
        <v>2.56</v>
      </c>
      <c r="BH85" s="209">
        <f t="shared" si="76"/>
        <v>0.08</v>
      </c>
      <c r="BI85" s="209">
        <f t="shared" si="76"/>
        <v>0.93</v>
      </c>
      <c r="BJ85" s="209">
        <f t="shared" si="76"/>
        <v>0.5</v>
      </c>
      <c r="BK85" s="211"/>
      <c r="BL85" s="211"/>
    </row>
    <row r="86" spans="1:64">
      <c r="A86" s="214"/>
      <c r="B86" s="222"/>
      <c r="C86" s="222"/>
      <c r="D86" s="222"/>
      <c r="E86" s="222"/>
      <c r="F86" s="222"/>
      <c r="G86" s="222"/>
      <c r="H86" s="222"/>
      <c r="I86" s="222"/>
      <c r="J86" s="222"/>
      <c r="K86" s="222"/>
      <c r="L86" s="222"/>
      <c r="M86" s="222"/>
      <c r="N86" s="222"/>
      <c r="O86" s="222"/>
      <c r="P86" s="223"/>
      <c r="Q86" s="222"/>
      <c r="R86" s="222"/>
      <c r="S86" s="222"/>
      <c r="T86" s="222"/>
      <c r="U86" s="214" t="s">
        <v>1015</v>
      </c>
      <c r="V86" s="214">
        <f t="shared" ref="V86:BC86" si="77">ROUND(STDEV((IF(V83=-8888,0,V83)),(IF(V84=-8888,0,V84))),3)</f>
        <v>0</v>
      </c>
      <c r="W86" s="214">
        <f t="shared" si="77"/>
        <v>1E-3</v>
      </c>
      <c r="X86" s="214">
        <f t="shared" si="77"/>
        <v>1E-3</v>
      </c>
      <c r="Y86" s="214">
        <f t="shared" si="77"/>
        <v>0</v>
      </c>
      <c r="Z86" s="214">
        <f t="shared" si="77"/>
        <v>1E-3</v>
      </c>
      <c r="AA86" s="214">
        <f t="shared" si="77"/>
        <v>1E-3</v>
      </c>
      <c r="AB86" s="214">
        <f t="shared" si="77"/>
        <v>1E-3</v>
      </c>
      <c r="AC86" s="214">
        <f t="shared" si="77"/>
        <v>0</v>
      </c>
      <c r="AD86" s="214">
        <f t="shared" si="77"/>
        <v>0</v>
      </c>
      <c r="AE86" s="214">
        <f t="shared" si="77"/>
        <v>0</v>
      </c>
      <c r="AF86" s="214">
        <f t="shared" si="77"/>
        <v>0</v>
      </c>
      <c r="AG86" s="214">
        <f t="shared" si="77"/>
        <v>0</v>
      </c>
      <c r="AH86" s="214">
        <f t="shared" si="77"/>
        <v>0</v>
      </c>
      <c r="AI86" s="214">
        <f t="shared" si="77"/>
        <v>0</v>
      </c>
      <c r="AJ86" s="214">
        <f t="shared" si="77"/>
        <v>0</v>
      </c>
      <c r="AK86" s="214">
        <f t="shared" si="77"/>
        <v>1E-3</v>
      </c>
      <c r="AL86" s="214">
        <f t="shared" si="77"/>
        <v>0</v>
      </c>
      <c r="AM86" s="214">
        <f t="shared" si="77"/>
        <v>1E-3</v>
      </c>
      <c r="AN86" s="214">
        <f t="shared" si="77"/>
        <v>0</v>
      </c>
      <c r="AO86" s="214">
        <f t="shared" si="77"/>
        <v>0</v>
      </c>
      <c r="AP86" s="214">
        <f t="shared" si="77"/>
        <v>1E-3</v>
      </c>
      <c r="AQ86" s="214">
        <f t="shared" si="77"/>
        <v>1E-3</v>
      </c>
      <c r="AR86" s="214">
        <f t="shared" si="77"/>
        <v>1E-3</v>
      </c>
      <c r="AS86" s="214">
        <f t="shared" si="77"/>
        <v>7.0000000000000001E-3</v>
      </c>
      <c r="AT86" s="214">
        <f t="shared" si="77"/>
        <v>0</v>
      </c>
      <c r="AU86" s="214">
        <f t="shared" si="77"/>
        <v>0</v>
      </c>
      <c r="AV86" s="214">
        <f t="shared" si="77"/>
        <v>1E-3</v>
      </c>
      <c r="AW86" s="214">
        <f t="shared" si="77"/>
        <v>1E-3</v>
      </c>
      <c r="AX86" s="214">
        <f t="shared" si="77"/>
        <v>1E-3</v>
      </c>
      <c r="AY86" s="214">
        <f t="shared" si="77"/>
        <v>3.0000000000000001E-3</v>
      </c>
      <c r="AZ86" s="214">
        <f t="shared" si="77"/>
        <v>3.0000000000000001E-3</v>
      </c>
      <c r="BA86" s="214">
        <f t="shared" si="77"/>
        <v>4.0000000000000001E-3</v>
      </c>
      <c r="BB86" s="214">
        <f t="shared" si="77"/>
        <v>4.0000000000000001E-3</v>
      </c>
      <c r="BC86" s="214">
        <f t="shared" si="77"/>
        <v>4.0000000000000001E-3</v>
      </c>
      <c r="BD86" s="213">
        <f>ROUND(STDEV((IF(BD83=-8888,0,BD83)),(IF(BD84=-8888,0,BD84))),2)</f>
        <v>0.04</v>
      </c>
      <c r="BE86" s="213">
        <f t="shared" ref="BE86:BJ86" si="78">ROUND(STDEV((IF(BE83=-8888,0,BE83)),(IF(BE84=-8888,0,BE84))),2)</f>
        <v>0.01</v>
      </c>
      <c r="BF86" s="213">
        <f t="shared" si="78"/>
        <v>0.01</v>
      </c>
      <c r="BG86" s="213">
        <f t="shared" si="78"/>
        <v>0.08</v>
      </c>
      <c r="BH86" s="213">
        <f t="shared" si="78"/>
        <v>0.01</v>
      </c>
      <c r="BI86" s="213">
        <f t="shared" si="78"/>
        <v>0.01</v>
      </c>
      <c r="BJ86" s="213">
        <f t="shared" si="78"/>
        <v>0.01</v>
      </c>
      <c r="BK86" s="215"/>
      <c r="BL86" s="215"/>
    </row>
    <row r="87" spans="1:64">
      <c r="A87" s="216"/>
      <c r="B87" s="224"/>
      <c r="C87" s="224"/>
      <c r="D87" s="224"/>
      <c r="E87" s="224"/>
      <c r="F87" s="224"/>
      <c r="G87" s="224"/>
      <c r="H87" s="224"/>
      <c r="I87" s="224"/>
      <c r="J87" s="224"/>
      <c r="K87" s="224"/>
      <c r="L87" s="224"/>
      <c r="M87" s="224"/>
      <c r="N87" s="224"/>
      <c r="O87" s="224"/>
      <c r="P87" s="225"/>
      <c r="Q87" s="224"/>
      <c r="R87" s="224"/>
      <c r="S87" s="224"/>
      <c r="T87" s="224"/>
      <c r="U87" s="217" t="s">
        <v>148</v>
      </c>
      <c r="V87" s="218">
        <f>IF((V85=0),"N/A",ROUND((V86/V85),4))</f>
        <v>0</v>
      </c>
      <c r="W87" s="218">
        <f t="shared" ref="W87:BJ87" si="79">IF((W85=0),"N/A",ROUND((W86/W85),4))</f>
        <v>3.85E-2</v>
      </c>
      <c r="X87" s="218">
        <f t="shared" si="79"/>
        <v>2.63E-2</v>
      </c>
      <c r="Y87" s="218">
        <f t="shared" si="79"/>
        <v>0</v>
      </c>
      <c r="Z87" s="218">
        <f t="shared" si="79"/>
        <v>0.33329999999999999</v>
      </c>
      <c r="AA87" s="218">
        <f t="shared" si="79"/>
        <v>0.2</v>
      </c>
      <c r="AB87" s="218">
        <f t="shared" si="79"/>
        <v>0.16669999999999999</v>
      </c>
      <c r="AC87" s="218">
        <f t="shared" si="79"/>
        <v>0</v>
      </c>
      <c r="AD87" s="218" t="str">
        <f t="shared" si="79"/>
        <v>N/A</v>
      </c>
      <c r="AE87" s="218">
        <f t="shared" si="79"/>
        <v>0</v>
      </c>
      <c r="AF87" s="218">
        <f t="shared" si="79"/>
        <v>0</v>
      </c>
      <c r="AG87" s="218">
        <f t="shared" si="79"/>
        <v>0</v>
      </c>
      <c r="AH87" s="218">
        <f t="shared" si="79"/>
        <v>0</v>
      </c>
      <c r="AI87" s="218" t="str">
        <f t="shared" si="79"/>
        <v>N/A</v>
      </c>
      <c r="AJ87" s="218">
        <f t="shared" si="79"/>
        <v>0</v>
      </c>
      <c r="AK87" s="218">
        <f t="shared" si="79"/>
        <v>3.85E-2</v>
      </c>
      <c r="AL87" s="218" t="str">
        <f t="shared" si="79"/>
        <v>N/A</v>
      </c>
      <c r="AM87" s="218">
        <f t="shared" si="79"/>
        <v>0.04</v>
      </c>
      <c r="AN87" s="218">
        <f t="shared" si="79"/>
        <v>0</v>
      </c>
      <c r="AO87" s="218">
        <f t="shared" si="79"/>
        <v>0</v>
      </c>
      <c r="AP87" s="218">
        <f t="shared" si="79"/>
        <v>0.33329999999999999</v>
      </c>
      <c r="AQ87" s="218">
        <f t="shared" si="79"/>
        <v>0.5</v>
      </c>
      <c r="AR87" s="218">
        <f t="shared" si="79"/>
        <v>0.25</v>
      </c>
      <c r="AS87" s="218">
        <f t="shared" si="79"/>
        <v>6.1400000000000003E-2</v>
      </c>
      <c r="AT87" s="218">
        <f t="shared" si="79"/>
        <v>0</v>
      </c>
      <c r="AU87" s="218" t="str">
        <f t="shared" si="79"/>
        <v>N/A</v>
      </c>
      <c r="AV87" s="218">
        <f t="shared" si="79"/>
        <v>5.0000000000000001E-3</v>
      </c>
      <c r="AW87" s="218">
        <f t="shared" si="79"/>
        <v>4.7600000000000003E-2</v>
      </c>
      <c r="AX87" s="218">
        <f t="shared" si="79"/>
        <v>1.7500000000000002E-2</v>
      </c>
      <c r="AY87" s="218">
        <f t="shared" si="79"/>
        <v>1.17E-2</v>
      </c>
      <c r="AZ87" s="218">
        <f t="shared" si="79"/>
        <v>3.85E-2</v>
      </c>
      <c r="BA87" s="218">
        <f t="shared" si="79"/>
        <v>2.8400000000000002E-2</v>
      </c>
      <c r="BB87" s="218">
        <f t="shared" si="79"/>
        <v>1.44E-2</v>
      </c>
      <c r="BC87" s="218">
        <f t="shared" si="79"/>
        <v>4.3499999999999997E-2</v>
      </c>
      <c r="BD87" s="218">
        <f t="shared" si="79"/>
        <v>3.85E-2</v>
      </c>
      <c r="BE87" s="218">
        <f t="shared" si="79"/>
        <v>1.35E-2</v>
      </c>
      <c r="BF87" s="218">
        <f t="shared" si="79"/>
        <v>3.6999999999999998E-2</v>
      </c>
      <c r="BG87" s="218">
        <f t="shared" si="79"/>
        <v>3.1300000000000001E-2</v>
      </c>
      <c r="BH87" s="218">
        <f t="shared" si="79"/>
        <v>0.125</v>
      </c>
      <c r="BI87" s="218">
        <f t="shared" si="79"/>
        <v>1.0800000000000001E-2</v>
      </c>
      <c r="BJ87" s="218">
        <f t="shared" si="79"/>
        <v>0.02</v>
      </c>
      <c r="BK87" s="219">
        <f>V87</f>
        <v>0</v>
      </c>
      <c r="BL87" s="219">
        <f>AVERAGE(V87:AG87)</f>
        <v>6.9527272727272729E-2</v>
      </c>
    </row>
    <row r="88" spans="1:64">
      <c r="A88" s="243" t="s">
        <v>464</v>
      </c>
      <c r="B88" s="169" t="s">
        <v>511</v>
      </c>
      <c r="C88" s="169" t="s">
        <v>898</v>
      </c>
      <c r="D88" s="169" t="s">
        <v>850</v>
      </c>
      <c r="E88" s="169" t="s">
        <v>173</v>
      </c>
      <c r="F88" s="169">
        <v>548</v>
      </c>
      <c r="G88" s="169">
        <v>18</v>
      </c>
      <c r="H88" s="169">
        <v>15</v>
      </c>
      <c r="I88" s="165">
        <v>2</v>
      </c>
      <c r="J88" s="165">
        <v>57</v>
      </c>
      <c r="K88" s="166" t="s">
        <v>514</v>
      </c>
      <c r="L88" s="165">
        <v>2025</v>
      </c>
      <c r="M88" s="165" t="s">
        <v>851</v>
      </c>
      <c r="N88" s="165">
        <v>28</v>
      </c>
      <c r="O88" s="181">
        <v>118</v>
      </c>
      <c r="P88" s="165" t="s">
        <v>899</v>
      </c>
      <c r="Q88" s="165">
        <v>-70.885000000000005</v>
      </c>
      <c r="R88" s="165">
        <v>40.863</v>
      </c>
      <c r="S88" s="165" t="s">
        <v>172</v>
      </c>
      <c r="T88" s="165">
        <v>25</v>
      </c>
      <c r="U88" s="166" t="s">
        <v>516</v>
      </c>
      <c r="V88" s="244">
        <v>0.39900000000000002</v>
      </c>
      <c r="W88" s="244">
        <v>3.5999999999999997E-2</v>
      </c>
      <c r="X88" s="244">
        <v>6.9000000000000006E-2</v>
      </c>
      <c r="Y88" s="244">
        <v>2.1999999999999999E-2</v>
      </c>
      <c r="Z88" s="244">
        <v>1.2E-2</v>
      </c>
      <c r="AA88" s="244">
        <v>0.03</v>
      </c>
      <c r="AB88" s="244">
        <v>2.4E-2</v>
      </c>
      <c r="AC88" s="244">
        <v>6.2E-2</v>
      </c>
      <c r="AD88" s="244">
        <v>8.9999999999999993E-3</v>
      </c>
      <c r="AE88" s="244">
        <v>8.2000000000000003E-2</v>
      </c>
      <c r="AF88" s="244">
        <v>2.1000000000000001E-2</v>
      </c>
      <c r="AG88" s="244">
        <v>7.0000000000000001E-3</v>
      </c>
      <c r="AH88" s="244">
        <v>0.39200000000000002</v>
      </c>
      <c r="AI88" s="244">
        <v>-8888</v>
      </c>
      <c r="AJ88" s="244">
        <v>7.0000000000000001E-3</v>
      </c>
      <c r="AK88" s="244">
        <v>3.5999999999999997E-2</v>
      </c>
      <c r="AL88" s="244">
        <v>-8888</v>
      </c>
      <c r="AM88" s="244">
        <v>4.5999999999999999E-2</v>
      </c>
      <c r="AN88" s="244">
        <v>2.3E-2</v>
      </c>
      <c r="AO88" s="244">
        <v>2E-3</v>
      </c>
      <c r="AP88" s="244">
        <v>5.0000000000000001E-3</v>
      </c>
      <c r="AQ88" s="244">
        <v>8.0000000000000002E-3</v>
      </c>
      <c r="AR88" s="244">
        <v>4.0000000000000001E-3</v>
      </c>
      <c r="AS88" s="244">
        <v>4.0000000000000001E-3</v>
      </c>
      <c r="AT88" s="244">
        <v>1.2999999999999999E-2</v>
      </c>
      <c r="AU88" s="244">
        <v>-8888</v>
      </c>
      <c r="AV88" s="244">
        <v>0.504</v>
      </c>
      <c r="AW88" s="244">
        <v>0.124</v>
      </c>
      <c r="AX88" s="244">
        <v>0.14499999999999999</v>
      </c>
      <c r="AY88" s="244">
        <v>0.64900000000000002</v>
      </c>
      <c r="AZ88" s="244">
        <v>0.26900000000000002</v>
      </c>
      <c r="BA88" s="244">
        <v>0.374</v>
      </c>
      <c r="BB88" s="244">
        <v>0.77300000000000002</v>
      </c>
      <c r="BC88" s="244">
        <v>0.21199999999999999</v>
      </c>
      <c r="BD88" s="245">
        <v>0.94</v>
      </c>
      <c r="BE88" s="245">
        <v>0.54</v>
      </c>
      <c r="BF88" s="245">
        <v>0.46</v>
      </c>
      <c r="BG88" s="245">
        <v>1.87</v>
      </c>
      <c r="BH88" s="245">
        <v>0.16</v>
      </c>
      <c r="BI88" s="245">
        <v>0.84</v>
      </c>
      <c r="BJ88" s="245">
        <v>0.52</v>
      </c>
      <c r="BK88" s="242"/>
      <c r="BL88" s="242"/>
    </row>
    <row r="89" spans="1:64">
      <c r="A89" s="243" t="s">
        <v>465</v>
      </c>
      <c r="B89" s="169" t="s">
        <v>511</v>
      </c>
      <c r="C89" s="169" t="s">
        <v>900</v>
      </c>
      <c r="D89" s="169" t="s">
        <v>850</v>
      </c>
      <c r="E89" s="169" t="s">
        <v>173</v>
      </c>
      <c r="F89" s="169">
        <v>548</v>
      </c>
      <c r="G89" s="169">
        <v>18</v>
      </c>
      <c r="H89" s="169">
        <v>15</v>
      </c>
      <c r="I89" s="165">
        <v>2</v>
      </c>
      <c r="J89" s="165">
        <v>57</v>
      </c>
      <c r="K89" s="166" t="s">
        <v>514</v>
      </c>
      <c r="L89" s="165">
        <v>2025</v>
      </c>
      <c r="M89" s="165" t="s">
        <v>851</v>
      </c>
      <c r="N89" s="165">
        <v>28</v>
      </c>
      <c r="O89" s="181">
        <v>118</v>
      </c>
      <c r="P89" s="165" t="s">
        <v>899</v>
      </c>
      <c r="Q89" s="165">
        <v>-70.885000000000005</v>
      </c>
      <c r="R89" s="165">
        <v>40.863</v>
      </c>
      <c r="S89" s="165" t="s">
        <v>172</v>
      </c>
      <c r="T89" s="165">
        <v>25</v>
      </c>
      <c r="U89" s="166" t="s">
        <v>516</v>
      </c>
      <c r="V89" s="244">
        <v>0.42699999999999999</v>
      </c>
      <c r="W89" s="244">
        <v>0.04</v>
      </c>
      <c r="X89" s="244">
        <v>7.2000000000000008E-2</v>
      </c>
      <c r="Y89" s="244">
        <v>2.3E-2</v>
      </c>
      <c r="Z89" s="244">
        <v>1.4E-2</v>
      </c>
      <c r="AA89" s="244">
        <v>3.2000000000000001E-2</v>
      </c>
      <c r="AB89" s="244">
        <v>2.5999999999999999E-2</v>
      </c>
      <c r="AC89" s="244">
        <v>6.7000000000000004E-2</v>
      </c>
      <c r="AD89" s="244">
        <v>1.0999999999999999E-2</v>
      </c>
      <c r="AE89" s="244">
        <v>0.09</v>
      </c>
      <c r="AF89" s="244">
        <v>0.02</v>
      </c>
      <c r="AG89" s="244">
        <v>8.0000000000000002E-3</v>
      </c>
      <c r="AH89" s="244">
        <v>0.41599999999999998</v>
      </c>
      <c r="AI89" s="244">
        <v>-8888</v>
      </c>
      <c r="AJ89" s="244">
        <v>1.0999999999999999E-2</v>
      </c>
      <c r="AK89" s="244">
        <v>0.04</v>
      </c>
      <c r="AL89" s="244">
        <v>-8888</v>
      </c>
      <c r="AM89" s="244">
        <v>4.9000000000000002E-2</v>
      </c>
      <c r="AN89" s="244">
        <v>2.3E-2</v>
      </c>
      <c r="AO89" s="244">
        <v>2E-3</v>
      </c>
      <c r="AP89" s="244">
        <v>5.0000000000000001E-3</v>
      </c>
      <c r="AQ89" s="244">
        <v>8.9999999999999993E-3</v>
      </c>
      <c r="AR89" s="244">
        <v>4.0000000000000001E-3</v>
      </c>
      <c r="AS89" s="244">
        <v>4.0000000000000001E-3</v>
      </c>
      <c r="AT89" s="244">
        <v>1.4E-2</v>
      </c>
      <c r="AU89" s="244">
        <v>-8888</v>
      </c>
      <c r="AV89" s="244">
        <v>0.53899999999999992</v>
      </c>
      <c r="AW89" s="244">
        <v>0.13499999999999998</v>
      </c>
      <c r="AX89" s="244">
        <v>0.156</v>
      </c>
      <c r="AY89" s="244">
        <v>0.69499999999999995</v>
      </c>
      <c r="AZ89" s="244">
        <v>0.29099999999999998</v>
      </c>
      <c r="BA89" s="244">
        <v>0.40299999999999997</v>
      </c>
      <c r="BB89" s="244">
        <v>0.83</v>
      </c>
      <c r="BC89" s="244">
        <v>0.23</v>
      </c>
      <c r="BD89" s="245">
        <v>0.94</v>
      </c>
      <c r="BE89" s="245">
        <v>0.54</v>
      </c>
      <c r="BF89" s="245">
        <v>0.46</v>
      </c>
      <c r="BG89" s="245">
        <v>1.85</v>
      </c>
      <c r="BH89" s="245">
        <v>0.16</v>
      </c>
      <c r="BI89" s="245">
        <v>0.84</v>
      </c>
      <c r="BJ89" s="245">
        <v>0.51</v>
      </c>
      <c r="BK89" s="242"/>
      <c r="BL89" s="242"/>
    </row>
    <row r="90" spans="1:64">
      <c r="A90" s="210"/>
      <c r="B90" s="220"/>
      <c r="C90" s="220"/>
      <c r="D90" s="220"/>
      <c r="E90" s="220"/>
      <c r="F90" s="220"/>
      <c r="G90" s="220"/>
      <c r="H90" s="220"/>
      <c r="I90" s="220"/>
      <c r="J90" s="220"/>
      <c r="K90" s="220"/>
      <c r="L90" s="220"/>
      <c r="M90" s="220"/>
      <c r="N90" s="220"/>
      <c r="O90" s="220"/>
      <c r="P90" s="221"/>
      <c r="Q90" s="220"/>
      <c r="R90" s="220"/>
      <c r="S90" s="220"/>
      <c r="T90" s="220"/>
      <c r="U90" s="210" t="s">
        <v>22</v>
      </c>
      <c r="V90" s="210">
        <f t="shared" ref="V90:BC90" si="80">ROUND(AVERAGE((IF(V88=-8888,0,V88)),(IF(V89=-8888,0,V89))),3)</f>
        <v>0.41299999999999998</v>
      </c>
      <c r="W90" s="210">
        <f t="shared" si="80"/>
        <v>3.7999999999999999E-2</v>
      </c>
      <c r="X90" s="210">
        <f t="shared" si="80"/>
        <v>7.0999999999999994E-2</v>
      </c>
      <c r="Y90" s="210">
        <f t="shared" si="80"/>
        <v>2.3E-2</v>
      </c>
      <c r="Z90" s="210">
        <f t="shared" si="80"/>
        <v>1.2999999999999999E-2</v>
      </c>
      <c r="AA90" s="210">
        <f t="shared" si="80"/>
        <v>3.1E-2</v>
      </c>
      <c r="AB90" s="210">
        <f t="shared" si="80"/>
        <v>2.5000000000000001E-2</v>
      </c>
      <c r="AC90" s="210">
        <f t="shared" si="80"/>
        <v>6.5000000000000002E-2</v>
      </c>
      <c r="AD90" s="210">
        <f t="shared" si="80"/>
        <v>0.01</v>
      </c>
      <c r="AE90" s="210">
        <f t="shared" si="80"/>
        <v>8.5999999999999993E-2</v>
      </c>
      <c r="AF90" s="210">
        <f t="shared" si="80"/>
        <v>2.1000000000000001E-2</v>
      </c>
      <c r="AG90" s="210">
        <f t="shared" si="80"/>
        <v>8.0000000000000002E-3</v>
      </c>
      <c r="AH90" s="210">
        <f t="shared" si="80"/>
        <v>0.40400000000000003</v>
      </c>
      <c r="AI90" s="210">
        <f t="shared" si="80"/>
        <v>0</v>
      </c>
      <c r="AJ90" s="210">
        <f t="shared" si="80"/>
        <v>8.9999999999999993E-3</v>
      </c>
      <c r="AK90" s="210">
        <f t="shared" si="80"/>
        <v>3.7999999999999999E-2</v>
      </c>
      <c r="AL90" s="210">
        <f t="shared" si="80"/>
        <v>0</v>
      </c>
      <c r="AM90" s="210">
        <f t="shared" si="80"/>
        <v>4.8000000000000001E-2</v>
      </c>
      <c r="AN90" s="210">
        <f t="shared" si="80"/>
        <v>2.3E-2</v>
      </c>
      <c r="AO90" s="210">
        <f t="shared" si="80"/>
        <v>2E-3</v>
      </c>
      <c r="AP90" s="210">
        <f t="shared" si="80"/>
        <v>5.0000000000000001E-3</v>
      </c>
      <c r="AQ90" s="210">
        <f t="shared" si="80"/>
        <v>8.9999999999999993E-3</v>
      </c>
      <c r="AR90" s="210">
        <f t="shared" si="80"/>
        <v>4.0000000000000001E-3</v>
      </c>
      <c r="AS90" s="210">
        <f t="shared" si="80"/>
        <v>4.0000000000000001E-3</v>
      </c>
      <c r="AT90" s="210">
        <f t="shared" si="80"/>
        <v>1.4E-2</v>
      </c>
      <c r="AU90" s="210">
        <f t="shared" si="80"/>
        <v>0</v>
      </c>
      <c r="AV90" s="210">
        <f t="shared" si="80"/>
        <v>0.52200000000000002</v>
      </c>
      <c r="AW90" s="210">
        <f t="shared" si="80"/>
        <v>0.13</v>
      </c>
      <c r="AX90" s="210">
        <f t="shared" si="80"/>
        <v>0.151</v>
      </c>
      <c r="AY90" s="210">
        <f t="shared" si="80"/>
        <v>0.67200000000000004</v>
      </c>
      <c r="AZ90" s="210">
        <f t="shared" si="80"/>
        <v>0.28000000000000003</v>
      </c>
      <c r="BA90" s="210">
        <f t="shared" si="80"/>
        <v>0.38900000000000001</v>
      </c>
      <c r="BB90" s="210">
        <f t="shared" si="80"/>
        <v>0.80200000000000005</v>
      </c>
      <c r="BC90" s="210">
        <f t="shared" si="80"/>
        <v>0.221</v>
      </c>
      <c r="BD90" s="209">
        <f>ROUND(AVERAGE((IF(BD88=-8888,0,BD88)),(IF(BD89=-8888,0,BD89))),2)</f>
        <v>0.94</v>
      </c>
      <c r="BE90" s="209">
        <f t="shared" ref="BE90:BJ90" si="81">ROUND(AVERAGE((IF(BE88=-8888,0,BE88)),(IF(BE89=-8888,0,BE89))),2)</f>
        <v>0.54</v>
      </c>
      <c r="BF90" s="209">
        <f t="shared" si="81"/>
        <v>0.46</v>
      </c>
      <c r="BG90" s="209">
        <f t="shared" si="81"/>
        <v>1.86</v>
      </c>
      <c r="BH90" s="209">
        <f t="shared" si="81"/>
        <v>0.16</v>
      </c>
      <c r="BI90" s="209">
        <f t="shared" si="81"/>
        <v>0.84</v>
      </c>
      <c r="BJ90" s="209">
        <f t="shared" si="81"/>
        <v>0.52</v>
      </c>
      <c r="BK90" s="211"/>
      <c r="BL90" s="211"/>
    </row>
    <row r="91" spans="1:64">
      <c r="A91" s="214"/>
      <c r="B91" s="222"/>
      <c r="C91" s="222"/>
      <c r="D91" s="222"/>
      <c r="E91" s="222"/>
      <c r="F91" s="222"/>
      <c r="G91" s="222"/>
      <c r="H91" s="222"/>
      <c r="I91" s="222"/>
      <c r="J91" s="222"/>
      <c r="K91" s="222"/>
      <c r="L91" s="222"/>
      <c r="M91" s="222"/>
      <c r="N91" s="222"/>
      <c r="O91" s="222"/>
      <c r="P91" s="223"/>
      <c r="Q91" s="222"/>
      <c r="R91" s="222"/>
      <c r="S91" s="222"/>
      <c r="T91" s="222"/>
      <c r="U91" s="214" t="s">
        <v>1015</v>
      </c>
      <c r="V91" s="214">
        <f t="shared" ref="V91:BC91" si="82">ROUND(STDEV((IF(V88=-8888,0,V88)),(IF(V89=-8888,0,V89))),3)</f>
        <v>0.02</v>
      </c>
      <c r="W91" s="214">
        <f t="shared" si="82"/>
        <v>3.0000000000000001E-3</v>
      </c>
      <c r="X91" s="214">
        <f t="shared" si="82"/>
        <v>2E-3</v>
      </c>
      <c r="Y91" s="214">
        <f t="shared" si="82"/>
        <v>1E-3</v>
      </c>
      <c r="Z91" s="214">
        <f t="shared" si="82"/>
        <v>1E-3</v>
      </c>
      <c r="AA91" s="214">
        <f t="shared" si="82"/>
        <v>1E-3</v>
      </c>
      <c r="AB91" s="214">
        <f t="shared" si="82"/>
        <v>1E-3</v>
      </c>
      <c r="AC91" s="214">
        <f t="shared" si="82"/>
        <v>4.0000000000000001E-3</v>
      </c>
      <c r="AD91" s="214">
        <f t="shared" si="82"/>
        <v>1E-3</v>
      </c>
      <c r="AE91" s="214">
        <f t="shared" si="82"/>
        <v>6.0000000000000001E-3</v>
      </c>
      <c r="AF91" s="214">
        <f t="shared" si="82"/>
        <v>1E-3</v>
      </c>
      <c r="AG91" s="214">
        <f t="shared" si="82"/>
        <v>1E-3</v>
      </c>
      <c r="AH91" s="214">
        <f t="shared" si="82"/>
        <v>1.7000000000000001E-2</v>
      </c>
      <c r="AI91" s="214">
        <f t="shared" si="82"/>
        <v>0</v>
      </c>
      <c r="AJ91" s="214">
        <f t="shared" si="82"/>
        <v>3.0000000000000001E-3</v>
      </c>
      <c r="AK91" s="214">
        <f t="shared" si="82"/>
        <v>3.0000000000000001E-3</v>
      </c>
      <c r="AL91" s="214">
        <f t="shared" si="82"/>
        <v>0</v>
      </c>
      <c r="AM91" s="214">
        <f t="shared" si="82"/>
        <v>2E-3</v>
      </c>
      <c r="AN91" s="214">
        <f t="shared" si="82"/>
        <v>0</v>
      </c>
      <c r="AO91" s="214">
        <f t="shared" si="82"/>
        <v>0</v>
      </c>
      <c r="AP91" s="214">
        <f t="shared" si="82"/>
        <v>0</v>
      </c>
      <c r="AQ91" s="214">
        <f t="shared" si="82"/>
        <v>1E-3</v>
      </c>
      <c r="AR91" s="214">
        <f t="shared" si="82"/>
        <v>0</v>
      </c>
      <c r="AS91" s="214">
        <f t="shared" si="82"/>
        <v>0</v>
      </c>
      <c r="AT91" s="214">
        <f t="shared" si="82"/>
        <v>1E-3</v>
      </c>
      <c r="AU91" s="214">
        <f t="shared" si="82"/>
        <v>0</v>
      </c>
      <c r="AV91" s="214">
        <f t="shared" si="82"/>
        <v>2.5000000000000001E-2</v>
      </c>
      <c r="AW91" s="214">
        <f t="shared" si="82"/>
        <v>8.0000000000000002E-3</v>
      </c>
      <c r="AX91" s="214">
        <f t="shared" si="82"/>
        <v>8.0000000000000002E-3</v>
      </c>
      <c r="AY91" s="214">
        <f t="shared" si="82"/>
        <v>3.3000000000000002E-2</v>
      </c>
      <c r="AZ91" s="214">
        <f t="shared" si="82"/>
        <v>1.6E-2</v>
      </c>
      <c r="BA91" s="214">
        <f t="shared" si="82"/>
        <v>2.1000000000000001E-2</v>
      </c>
      <c r="BB91" s="214">
        <f t="shared" si="82"/>
        <v>0.04</v>
      </c>
      <c r="BC91" s="214">
        <f t="shared" si="82"/>
        <v>1.2999999999999999E-2</v>
      </c>
      <c r="BD91" s="213">
        <f>ROUND(STDEV((IF(BD88=-8888,0,BD88)),(IF(BD89=-8888,0,BD89))),2)</f>
        <v>0</v>
      </c>
      <c r="BE91" s="213">
        <f t="shared" ref="BE91:BJ91" si="83">ROUND(STDEV((IF(BE88=-8888,0,BE88)),(IF(BE89=-8888,0,BE89))),2)</f>
        <v>0</v>
      </c>
      <c r="BF91" s="213">
        <f t="shared" si="83"/>
        <v>0</v>
      </c>
      <c r="BG91" s="213">
        <f t="shared" si="83"/>
        <v>0.01</v>
      </c>
      <c r="BH91" s="213">
        <f t="shared" si="83"/>
        <v>0</v>
      </c>
      <c r="BI91" s="213">
        <f t="shared" si="83"/>
        <v>0</v>
      </c>
      <c r="BJ91" s="213">
        <f t="shared" si="83"/>
        <v>0.01</v>
      </c>
      <c r="BK91" s="215"/>
      <c r="BL91" s="215"/>
    </row>
    <row r="92" spans="1:64">
      <c r="A92" s="216"/>
      <c r="B92" s="224"/>
      <c r="C92" s="224"/>
      <c r="D92" s="224"/>
      <c r="E92" s="224"/>
      <c r="F92" s="224"/>
      <c r="G92" s="224"/>
      <c r="H92" s="224"/>
      <c r="I92" s="224"/>
      <c r="J92" s="224"/>
      <c r="K92" s="224"/>
      <c r="L92" s="224"/>
      <c r="M92" s="224"/>
      <c r="N92" s="224"/>
      <c r="O92" s="224"/>
      <c r="P92" s="225"/>
      <c r="Q92" s="224"/>
      <c r="R92" s="224"/>
      <c r="S92" s="224"/>
      <c r="T92" s="224"/>
      <c r="U92" s="217" t="s">
        <v>148</v>
      </c>
      <c r="V92" s="218">
        <f>IF((V90=0),"N/A",ROUND((V91/V90),4))</f>
        <v>4.8399999999999999E-2</v>
      </c>
      <c r="W92" s="218">
        <f t="shared" ref="W92:BJ92" si="84">IF((W90=0),"N/A",ROUND((W91/W90),4))</f>
        <v>7.8899999999999998E-2</v>
      </c>
      <c r="X92" s="218">
        <f t="shared" si="84"/>
        <v>2.8199999999999999E-2</v>
      </c>
      <c r="Y92" s="218">
        <f t="shared" si="84"/>
        <v>4.3499999999999997E-2</v>
      </c>
      <c r="Z92" s="218">
        <f t="shared" si="84"/>
        <v>7.6899999999999996E-2</v>
      </c>
      <c r="AA92" s="218">
        <f t="shared" si="84"/>
        <v>3.2300000000000002E-2</v>
      </c>
      <c r="AB92" s="218">
        <f t="shared" si="84"/>
        <v>0.04</v>
      </c>
      <c r="AC92" s="218">
        <f t="shared" si="84"/>
        <v>6.1499999999999999E-2</v>
      </c>
      <c r="AD92" s="218">
        <f t="shared" si="84"/>
        <v>0.1</v>
      </c>
      <c r="AE92" s="218">
        <f t="shared" si="84"/>
        <v>6.9800000000000001E-2</v>
      </c>
      <c r="AF92" s="218">
        <f t="shared" si="84"/>
        <v>4.7600000000000003E-2</v>
      </c>
      <c r="AG92" s="218">
        <f t="shared" si="84"/>
        <v>0.125</v>
      </c>
      <c r="AH92" s="218">
        <f t="shared" si="84"/>
        <v>4.2099999999999999E-2</v>
      </c>
      <c r="AI92" s="218" t="str">
        <f t="shared" si="84"/>
        <v>N/A</v>
      </c>
      <c r="AJ92" s="218">
        <f t="shared" si="84"/>
        <v>0.33329999999999999</v>
      </c>
      <c r="AK92" s="218">
        <f t="shared" si="84"/>
        <v>7.8899999999999998E-2</v>
      </c>
      <c r="AL92" s="218" t="str">
        <f t="shared" si="84"/>
        <v>N/A</v>
      </c>
      <c r="AM92" s="218">
        <f t="shared" si="84"/>
        <v>4.1700000000000001E-2</v>
      </c>
      <c r="AN92" s="218">
        <f t="shared" si="84"/>
        <v>0</v>
      </c>
      <c r="AO92" s="218">
        <f t="shared" si="84"/>
        <v>0</v>
      </c>
      <c r="AP92" s="218">
        <f t="shared" si="84"/>
        <v>0</v>
      </c>
      <c r="AQ92" s="218">
        <f t="shared" si="84"/>
        <v>0.1111</v>
      </c>
      <c r="AR92" s="218">
        <f t="shared" si="84"/>
        <v>0</v>
      </c>
      <c r="AS92" s="218">
        <f t="shared" si="84"/>
        <v>0</v>
      </c>
      <c r="AT92" s="218">
        <f t="shared" si="84"/>
        <v>7.1400000000000005E-2</v>
      </c>
      <c r="AU92" s="218" t="str">
        <f t="shared" si="84"/>
        <v>N/A</v>
      </c>
      <c r="AV92" s="218">
        <f t="shared" si="84"/>
        <v>4.7899999999999998E-2</v>
      </c>
      <c r="AW92" s="218">
        <f t="shared" si="84"/>
        <v>6.1499999999999999E-2</v>
      </c>
      <c r="AX92" s="218">
        <f t="shared" si="84"/>
        <v>5.2999999999999999E-2</v>
      </c>
      <c r="AY92" s="218">
        <f t="shared" si="84"/>
        <v>4.9099999999999998E-2</v>
      </c>
      <c r="AZ92" s="218">
        <f t="shared" si="84"/>
        <v>5.7099999999999998E-2</v>
      </c>
      <c r="BA92" s="218">
        <f t="shared" si="84"/>
        <v>5.3999999999999999E-2</v>
      </c>
      <c r="BB92" s="218">
        <f t="shared" si="84"/>
        <v>4.99E-2</v>
      </c>
      <c r="BC92" s="218">
        <f t="shared" si="84"/>
        <v>5.8799999999999998E-2</v>
      </c>
      <c r="BD92" s="218">
        <f t="shared" si="84"/>
        <v>0</v>
      </c>
      <c r="BE92" s="218">
        <f t="shared" si="84"/>
        <v>0</v>
      </c>
      <c r="BF92" s="218">
        <f t="shared" si="84"/>
        <v>0</v>
      </c>
      <c r="BG92" s="218">
        <f t="shared" si="84"/>
        <v>5.4000000000000003E-3</v>
      </c>
      <c r="BH92" s="218">
        <f t="shared" si="84"/>
        <v>0</v>
      </c>
      <c r="BI92" s="218">
        <f t="shared" si="84"/>
        <v>0</v>
      </c>
      <c r="BJ92" s="218">
        <f t="shared" si="84"/>
        <v>1.9199999999999998E-2</v>
      </c>
      <c r="BK92" s="219">
        <f>V92</f>
        <v>4.8399999999999999E-2</v>
      </c>
      <c r="BL92" s="219">
        <f>AVERAGE(V92:AG92)</f>
        <v>6.2674999999999995E-2</v>
      </c>
    </row>
    <row r="93" spans="1:64" ht="15">
      <c r="A93" s="243" t="s">
        <v>472</v>
      </c>
      <c r="B93" s="173" t="s">
        <v>511</v>
      </c>
      <c r="C93" s="165" t="s">
        <v>918</v>
      </c>
      <c r="D93" s="174" t="s">
        <v>910</v>
      </c>
      <c r="E93" s="165" t="s">
        <v>173</v>
      </c>
      <c r="F93" s="165">
        <v>535</v>
      </c>
      <c r="G93" s="165" t="s">
        <v>919</v>
      </c>
      <c r="H93" s="165" t="s">
        <v>920</v>
      </c>
      <c r="I93" s="165">
        <v>13</v>
      </c>
      <c r="J93" s="173">
        <v>15</v>
      </c>
      <c r="K93" s="175" t="s">
        <v>913</v>
      </c>
      <c r="L93" s="165">
        <v>2024</v>
      </c>
      <c r="M93" s="173" t="s">
        <v>851</v>
      </c>
      <c r="N93" s="165">
        <v>2</v>
      </c>
      <c r="O93" s="181">
        <v>93</v>
      </c>
      <c r="P93" s="176">
        <v>0.72916666666666663</v>
      </c>
      <c r="Q93" s="174">
        <v>-70.565700000000007</v>
      </c>
      <c r="R93" s="174">
        <v>41.325000000000003</v>
      </c>
      <c r="S93" s="177" t="s">
        <v>172</v>
      </c>
      <c r="T93" s="177">
        <v>25</v>
      </c>
      <c r="U93" s="178" t="s">
        <v>516</v>
      </c>
      <c r="V93" s="244">
        <v>1.5589999999999999</v>
      </c>
      <c r="W93" s="244">
        <v>0.127</v>
      </c>
      <c r="X93" s="244">
        <v>0.219</v>
      </c>
      <c r="Y93" s="244">
        <v>6.8000000000000005E-2</v>
      </c>
      <c r="Z93" s="244">
        <v>-8888</v>
      </c>
      <c r="AA93" s="244">
        <v>1.2E-2</v>
      </c>
      <c r="AB93" s="244">
        <v>4.5999999999999999E-2</v>
      </c>
      <c r="AC93" s="244">
        <v>8.5000000000000006E-2</v>
      </c>
      <c r="AD93" s="244">
        <v>1.2999999999999999E-2</v>
      </c>
      <c r="AE93" s="244">
        <v>0.54200000000000004</v>
      </c>
      <c r="AF93" s="244">
        <v>1.7000000000000001E-2</v>
      </c>
      <c r="AG93" s="244">
        <v>0.01</v>
      </c>
      <c r="AH93" s="244">
        <v>1.528</v>
      </c>
      <c r="AI93" s="244">
        <v>-8888</v>
      </c>
      <c r="AJ93" s="244">
        <v>3.1E-2</v>
      </c>
      <c r="AK93" s="244">
        <v>0.127</v>
      </c>
      <c r="AL93" s="244">
        <v>-8888</v>
      </c>
      <c r="AM93" s="244">
        <v>0.19500000000000001</v>
      </c>
      <c r="AN93" s="244">
        <v>2.4E-2</v>
      </c>
      <c r="AO93" s="244">
        <v>5.0000000000000001E-3</v>
      </c>
      <c r="AP93" s="244">
        <v>1.4999999999999999E-2</v>
      </c>
      <c r="AQ93" s="244">
        <v>1.9E-2</v>
      </c>
      <c r="AR93" s="244">
        <v>1.9E-2</v>
      </c>
      <c r="AS93" s="244">
        <v>0.121</v>
      </c>
      <c r="AT93" s="244">
        <v>3.3000000000000002E-2</v>
      </c>
      <c r="AU93" s="244">
        <v>-8888</v>
      </c>
      <c r="AV93" s="244">
        <v>1.905</v>
      </c>
      <c r="AW93" s="244">
        <v>0.22200000000000003</v>
      </c>
      <c r="AX93" s="244">
        <v>0.57100000000000006</v>
      </c>
      <c r="AY93" s="244">
        <v>2.476</v>
      </c>
      <c r="AZ93" s="244">
        <v>0.79300000000000015</v>
      </c>
      <c r="BA93" s="244">
        <v>1.1390000000000002</v>
      </c>
      <c r="BB93" s="244">
        <v>2.6980000000000004</v>
      </c>
      <c r="BC93" s="244">
        <v>0.754</v>
      </c>
      <c r="BD93" s="245">
        <v>0.73</v>
      </c>
      <c r="BE93" s="245">
        <v>0.72</v>
      </c>
      <c r="BF93" s="245">
        <v>0.28000000000000003</v>
      </c>
      <c r="BG93" s="245">
        <v>2.4</v>
      </c>
      <c r="BH93" s="245">
        <v>0.08</v>
      </c>
      <c r="BI93" s="245">
        <v>0.92</v>
      </c>
      <c r="BJ93" s="245">
        <v>0.57999999999999996</v>
      </c>
      <c r="BK93" s="242"/>
      <c r="BL93" s="242"/>
    </row>
    <row r="94" spans="1:64" ht="15">
      <c r="A94" s="243" t="s">
        <v>473</v>
      </c>
      <c r="B94" s="173" t="s">
        <v>511</v>
      </c>
      <c r="C94" s="165" t="s">
        <v>922</v>
      </c>
      <c r="D94" s="174" t="s">
        <v>910</v>
      </c>
      <c r="E94" s="165" t="s">
        <v>173</v>
      </c>
      <c r="F94" s="165">
        <v>535</v>
      </c>
      <c r="G94" s="165" t="s">
        <v>919</v>
      </c>
      <c r="H94" s="165" t="s">
        <v>920</v>
      </c>
      <c r="I94" s="165">
        <v>13</v>
      </c>
      <c r="J94" s="173">
        <v>15</v>
      </c>
      <c r="K94" s="175" t="s">
        <v>913</v>
      </c>
      <c r="L94" s="165">
        <v>2024</v>
      </c>
      <c r="M94" s="173" t="s">
        <v>851</v>
      </c>
      <c r="N94" s="165">
        <v>2</v>
      </c>
      <c r="O94" s="181">
        <v>93</v>
      </c>
      <c r="P94" s="176">
        <v>0.72916666666666663</v>
      </c>
      <c r="Q94" s="174">
        <v>-70.565700000000007</v>
      </c>
      <c r="R94" s="174">
        <v>41.325000000000003</v>
      </c>
      <c r="S94" s="177" t="s">
        <v>172</v>
      </c>
      <c r="T94" s="177">
        <v>25</v>
      </c>
      <c r="U94" s="178" t="s">
        <v>516</v>
      </c>
      <c r="V94" s="244">
        <v>1.7249999999999999</v>
      </c>
      <c r="W94" s="244">
        <v>0.13100000000000001</v>
      </c>
      <c r="X94" s="244">
        <v>0.25600000000000001</v>
      </c>
      <c r="Y94" s="244">
        <v>7.2999999999999995E-2</v>
      </c>
      <c r="Z94" s="244">
        <v>-8888</v>
      </c>
      <c r="AA94" s="244">
        <v>1.4E-2</v>
      </c>
      <c r="AB94" s="244">
        <v>5.5E-2</v>
      </c>
      <c r="AC94" s="244">
        <v>9.7000000000000003E-2</v>
      </c>
      <c r="AD94" s="244">
        <v>1.2999999999999999E-2</v>
      </c>
      <c r="AE94" s="244">
        <v>0.6</v>
      </c>
      <c r="AF94" s="244">
        <v>2.7E-2</v>
      </c>
      <c r="AG94" s="244">
        <v>0.01</v>
      </c>
      <c r="AH94" s="244">
        <v>1.6819999999999999</v>
      </c>
      <c r="AI94" s="244">
        <v>-8888</v>
      </c>
      <c r="AJ94" s="244">
        <v>4.2999999999999997E-2</v>
      </c>
      <c r="AK94" s="244">
        <v>0.13100000000000001</v>
      </c>
      <c r="AL94" s="244">
        <v>-8888</v>
      </c>
      <c r="AM94" s="244">
        <v>0.222</v>
      </c>
      <c r="AN94" s="244">
        <v>3.4000000000000002E-2</v>
      </c>
      <c r="AO94" s="244">
        <v>5.0000000000000001E-3</v>
      </c>
      <c r="AP94" s="244">
        <v>1.4999999999999999E-2</v>
      </c>
      <c r="AQ94" s="244">
        <v>1.9E-2</v>
      </c>
      <c r="AR94" s="244">
        <v>2.1999999999999999E-2</v>
      </c>
      <c r="AS94" s="244">
        <v>0.13100000000000001</v>
      </c>
      <c r="AT94" s="244">
        <v>3.3000000000000002E-2</v>
      </c>
      <c r="AU94" s="244">
        <v>-8888</v>
      </c>
      <c r="AV94" s="244">
        <v>2.1120000000000001</v>
      </c>
      <c r="AW94" s="244">
        <v>0.248</v>
      </c>
      <c r="AX94" s="244">
        <v>0.64100000000000001</v>
      </c>
      <c r="AY94" s="244">
        <v>2.7530000000000001</v>
      </c>
      <c r="AZ94" s="244">
        <v>0.88900000000000001</v>
      </c>
      <c r="BA94" s="244">
        <v>1.276</v>
      </c>
      <c r="BB94" s="244">
        <v>3.0009999999999999</v>
      </c>
      <c r="BC94" s="244">
        <v>0.83699999999999997</v>
      </c>
      <c r="BD94" s="245">
        <v>0.74</v>
      </c>
      <c r="BE94" s="245">
        <v>0.72</v>
      </c>
      <c r="BF94" s="245">
        <v>0.28000000000000003</v>
      </c>
      <c r="BG94" s="245">
        <v>2.38</v>
      </c>
      <c r="BH94" s="245">
        <v>0.08</v>
      </c>
      <c r="BI94" s="245">
        <v>0.92</v>
      </c>
      <c r="BJ94" s="245">
        <v>0.56999999999999995</v>
      </c>
      <c r="BK94" s="242"/>
      <c r="BL94" s="242"/>
    </row>
    <row r="95" spans="1:64">
      <c r="A95" s="210"/>
      <c r="B95" s="220"/>
      <c r="C95" s="220"/>
      <c r="D95" s="220"/>
      <c r="E95" s="220"/>
      <c r="F95" s="220"/>
      <c r="G95" s="220"/>
      <c r="H95" s="220"/>
      <c r="I95" s="220"/>
      <c r="J95" s="220"/>
      <c r="K95" s="220"/>
      <c r="L95" s="220"/>
      <c r="M95" s="220"/>
      <c r="N95" s="220"/>
      <c r="O95" s="220"/>
      <c r="P95" s="221"/>
      <c r="Q95" s="220"/>
      <c r="R95" s="220"/>
      <c r="S95" s="220"/>
      <c r="T95" s="220"/>
      <c r="U95" s="210" t="s">
        <v>22</v>
      </c>
      <c r="V95" s="210">
        <f t="shared" ref="V95:BC95" si="85">ROUND(AVERAGE((IF(V93=-8888,0,V93)),(IF(V94=-8888,0,V94))),3)</f>
        <v>1.6419999999999999</v>
      </c>
      <c r="W95" s="210">
        <f t="shared" si="85"/>
        <v>0.129</v>
      </c>
      <c r="X95" s="210">
        <f t="shared" si="85"/>
        <v>0.23799999999999999</v>
      </c>
      <c r="Y95" s="210">
        <f t="shared" si="85"/>
        <v>7.0999999999999994E-2</v>
      </c>
      <c r="Z95" s="210">
        <f t="shared" si="85"/>
        <v>0</v>
      </c>
      <c r="AA95" s="210">
        <f t="shared" si="85"/>
        <v>1.2999999999999999E-2</v>
      </c>
      <c r="AB95" s="210">
        <f t="shared" si="85"/>
        <v>5.0999999999999997E-2</v>
      </c>
      <c r="AC95" s="210">
        <f t="shared" si="85"/>
        <v>9.0999999999999998E-2</v>
      </c>
      <c r="AD95" s="210">
        <f t="shared" si="85"/>
        <v>1.2999999999999999E-2</v>
      </c>
      <c r="AE95" s="210">
        <f t="shared" si="85"/>
        <v>0.57099999999999995</v>
      </c>
      <c r="AF95" s="210">
        <f t="shared" si="85"/>
        <v>2.1999999999999999E-2</v>
      </c>
      <c r="AG95" s="210">
        <f t="shared" si="85"/>
        <v>0.01</v>
      </c>
      <c r="AH95" s="210">
        <f t="shared" si="85"/>
        <v>1.605</v>
      </c>
      <c r="AI95" s="210">
        <f t="shared" si="85"/>
        <v>0</v>
      </c>
      <c r="AJ95" s="210">
        <f t="shared" si="85"/>
        <v>3.6999999999999998E-2</v>
      </c>
      <c r="AK95" s="210">
        <f t="shared" si="85"/>
        <v>0.129</v>
      </c>
      <c r="AL95" s="210">
        <f t="shared" si="85"/>
        <v>0</v>
      </c>
      <c r="AM95" s="210">
        <f t="shared" si="85"/>
        <v>0.20899999999999999</v>
      </c>
      <c r="AN95" s="210">
        <f t="shared" si="85"/>
        <v>2.9000000000000001E-2</v>
      </c>
      <c r="AO95" s="210">
        <f t="shared" si="85"/>
        <v>5.0000000000000001E-3</v>
      </c>
      <c r="AP95" s="210">
        <f t="shared" si="85"/>
        <v>1.4999999999999999E-2</v>
      </c>
      <c r="AQ95" s="210">
        <f t="shared" si="85"/>
        <v>1.9E-2</v>
      </c>
      <c r="AR95" s="210">
        <f t="shared" si="85"/>
        <v>2.1000000000000001E-2</v>
      </c>
      <c r="AS95" s="210">
        <f t="shared" si="85"/>
        <v>0.126</v>
      </c>
      <c r="AT95" s="210">
        <f t="shared" si="85"/>
        <v>3.3000000000000002E-2</v>
      </c>
      <c r="AU95" s="210">
        <f t="shared" si="85"/>
        <v>0</v>
      </c>
      <c r="AV95" s="210">
        <f t="shared" si="85"/>
        <v>2.0089999999999999</v>
      </c>
      <c r="AW95" s="210">
        <f t="shared" si="85"/>
        <v>0.23499999999999999</v>
      </c>
      <c r="AX95" s="210">
        <f t="shared" si="85"/>
        <v>0.60599999999999998</v>
      </c>
      <c r="AY95" s="210">
        <f t="shared" si="85"/>
        <v>2.6150000000000002</v>
      </c>
      <c r="AZ95" s="210">
        <f t="shared" si="85"/>
        <v>0.84099999999999997</v>
      </c>
      <c r="BA95" s="210">
        <f t="shared" si="85"/>
        <v>1.208</v>
      </c>
      <c r="BB95" s="210">
        <f t="shared" si="85"/>
        <v>2.85</v>
      </c>
      <c r="BC95" s="210">
        <f t="shared" si="85"/>
        <v>0.79600000000000004</v>
      </c>
      <c r="BD95" s="209">
        <f>ROUND(AVERAGE((IF(BD93=-8888,0,BD93)),(IF(BD94=-8888,0,BD94))),2)</f>
        <v>0.74</v>
      </c>
      <c r="BE95" s="209">
        <f t="shared" ref="BE95:BJ95" si="86">ROUND(AVERAGE((IF(BE93=-8888,0,BE93)),(IF(BE94=-8888,0,BE94))),2)</f>
        <v>0.72</v>
      </c>
      <c r="BF95" s="209">
        <f t="shared" si="86"/>
        <v>0.28000000000000003</v>
      </c>
      <c r="BG95" s="209">
        <f t="shared" si="86"/>
        <v>2.39</v>
      </c>
      <c r="BH95" s="209">
        <f t="shared" si="86"/>
        <v>0.08</v>
      </c>
      <c r="BI95" s="209">
        <f t="shared" si="86"/>
        <v>0.92</v>
      </c>
      <c r="BJ95" s="209">
        <f t="shared" si="86"/>
        <v>0.57999999999999996</v>
      </c>
      <c r="BK95" s="211"/>
      <c r="BL95" s="211"/>
    </row>
    <row r="96" spans="1:64">
      <c r="A96" s="214"/>
      <c r="B96" s="222"/>
      <c r="C96" s="222"/>
      <c r="D96" s="222"/>
      <c r="E96" s="222"/>
      <c r="F96" s="222"/>
      <c r="G96" s="222"/>
      <c r="H96" s="222"/>
      <c r="I96" s="222"/>
      <c r="J96" s="222"/>
      <c r="K96" s="222"/>
      <c r="L96" s="222"/>
      <c r="M96" s="222"/>
      <c r="N96" s="222"/>
      <c r="O96" s="222"/>
      <c r="P96" s="223"/>
      <c r="Q96" s="222"/>
      <c r="R96" s="222"/>
      <c r="S96" s="222"/>
      <c r="T96" s="222"/>
      <c r="U96" s="214" t="s">
        <v>1015</v>
      </c>
      <c r="V96" s="214">
        <f t="shared" ref="V96:BC96" si="87">ROUND(STDEV((IF(V93=-8888,0,V93)),(IF(V94=-8888,0,V94))),3)</f>
        <v>0.11700000000000001</v>
      </c>
      <c r="W96" s="214">
        <f t="shared" si="87"/>
        <v>3.0000000000000001E-3</v>
      </c>
      <c r="X96" s="214">
        <f t="shared" si="87"/>
        <v>2.5999999999999999E-2</v>
      </c>
      <c r="Y96" s="214">
        <f t="shared" si="87"/>
        <v>4.0000000000000001E-3</v>
      </c>
      <c r="Z96" s="214">
        <f t="shared" si="87"/>
        <v>0</v>
      </c>
      <c r="AA96" s="214">
        <f t="shared" si="87"/>
        <v>1E-3</v>
      </c>
      <c r="AB96" s="214">
        <f t="shared" si="87"/>
        <v>6.0000000000000001E-3</v>
      </c>
      <c r="AC96" s="214">
        <f t="shared" si="87"/>
        <v>8.0000000000000002E-3</v>
      </c>
      <c r="AD96" s="214">
        <f t="shared" si="87"/>
        <v>0</v>
      </c>
      <c r="AE96" s="214">
        <f t="shared" si="87"/>
        <v>4.1000000000000002E-2</v>
      </c>
      <c r="AF96" s="214">
        <f t="shared" si="87"/>
        <v>7.0000000000000001E-3</v>
      </c>
      <c r="AG96" s="214">
        <f t="shared" si="87"/>
        <v>0</v>
      </c>
      <c r="AH96" s="214">
        <f t="shared" si="87"/>
        <v>0.109</v>
      </c>
      <c r="AI96" s="214">
        <f t="shared" si="87"/>
        <v>0</v>
      </c>
      <c r="AJ96" s="214">
        <f t="shared" si="87"/>
        <v>8.0000000000000002E-3</v>
      </c>
      <c r="AK96" s="214">
        <f t="shared" si="87"/>
        <v>3.0000000000000001E-3</v>
      </c>
      <c r="AL96" s="214">
        <f t="shared" si="87"/>
        <v>0</v>
      </c>
      <c r="AM96" s="214">
        <f t="shared" si="87"/>
        <v>1.9E-2</v>
      </c>
      <c r="AN96" s="214">
        <f t="shared" si="87"/>
        <v>7.0000000000000001E-3</v>
      </c>
      <c r="AO96" s="214">
        <f t="shared" si="87"/>
        <v>0</v>
      </c>
      <c r="AP96" s="214">
        <f t="shared" si="87"/>
        <v>0</v>
      </c>
      <c r="AQ96" s="214">
        <f t="shared" si="87"/>
        <v>0</v>
      </c>
      <c r="AR96" s="214">
        <f t="shared" si="87"/>
        <v>2E-3</v>
      </c>
      <c r="AS96" s="214">
        <f t="shared" si="87"/>
        <v>7.0000000000000001E-3</v>
      </c>
      <c r="AT96" s="214">
        <f t="shared" si="87"/>
        <v>0</v>
      </c>
      <c r="AU96" s="214">
        <f t="shared" si="87"/>
        <v>0</v>
      </c>
      <c r="AV96" s="214">
        <f t="shared" si="87"/>
        <v>0.14599999999999999</v>
      </c>
      <c r="AW96" s="214">
        <f t="shared" si="87"/>
        <v>1.7999999999999999E-2</v>
      </c>
      <c r="AX96" s="214">
        <f t="shared" si="87"/>
        <v>4.9000000000000002E-2</v>
      </c>
      <c r="AY96" s="214">
        <f t="shared" si="87"/>
        <v>0.19600000000000001</v>
      </c>
      <c r="AZ96" s="214">
        <f t="shared" si="87"/>
        <v>6.8000000000000005E-2</v>
      </c>
      <c r="BA96" s="214">
        <f t="shared" si="87"/>
        <v>9.7000000000000003E-2</v>
      </c>
      <c r="BB96" s="214">
        <f t="shared" si="87"/>
        <v>0.214</v>
      </c>
      <c r="BC96" s="214">
        <f t="shared" si="87"/>
        <v>5.8999999999999997E-2</v>
      </c>
      <c r="BD96" s="213">
        <f>ROUND(STDEV((IF(BD93=-8888,0,BD93)),(IF(BD94=-8888,0,BD94))),2)</f>
        <v>0.01</v>
      </c>
      <c r="BE96" s="213">
        <f t="shared" ref="BE96:BJ96" si="88">ROUND(STDEV((IF(BE93=-8888,0,BE93)),(IF(BE94=-8888,0,BE94))),2)</f>
        <v>0</v>
      </c>
      <c r="BF96" s="213">
        <f t="shared" si="88"/>
        <v>0</v>
      </c>
      <c r="BG96" s="213">
        <f t="shared" si="88"/>
        <v>0.01</v>
      </c>
      <c r="BH96" s="213">
        <f t="shared" si="88"/>
        <v>0</v>
      </c>
      <c r="BI96" s="213">
        <f t="shared" si="88"/>
        <v>0</v>
      </c>
      <c r="BJ96" s="213">
        <f t="shared" si="88"/>
        <v>0.01</v>
      </c>
      <c r="BK96" s="215"/>
      <c r="BL96" s="215"/>
    </row>
    <row r="97" spans="1:64">
      <c r="A97" s="216"/>
      <c r="B97" s="224"/>
      <c r="C97" s="224"/>
      <c r="D97" s="224"/>
      <c r="E97" s="224"/>
      <c r="F97" s="224"/>
      <c r="G97" s="224"/>
      <c r="H97" s="224"/>
      <c r="I97" s="224"/>
      <c r="J97" s="224"/>
      <c r="K97" s="224"/>
      <c r="L97" s="224"/>
      <c r="M97" s="224"/>
      <c r="N97" s="224"/>
      <c r="O97" s="224"/>
      <c r="P97" s="225"/>
      <c r="Q97" s="224"/>
      <c r="R97" s="224"/>
      <c r="S97" s="224"/>
      <c r="T97" s="224"/>
      <c r="U97" s="217" t="s">
        <v>148</v>
      </c>
      <c r="V97" s="218">
        <f>IF((V95=0),"N/A",ROUND((V96/V95),4))</f>
        <v>7.1300000000000002E-2</v>
      </c>
      <c r="W97" s="218">
        <f t="shared" ref="W97:BJ97" si="89">IF((W95=0),"N/A",ROUND((W96/W95),4))</f>
        <v>2.3300000000000001E-2</v>
      </c>
      <c r="X97" s="218">
        <f t="shared" si="89"/>
        <v>0.10920000000000001</v>
      </c>
      <c r="Y97" s="218">
        <f t="shared" si="89"/>
        <v>5.6300000000000003E-2</v>
      </c>
      <c r="Z97" s="218" t="str">
        <f t="shared" si="89"/>
        <v>N/A</v>
      </c>
      <c r="AA97" s="218">
        <f t="shared" si="89"/>
        <v>7.6899999999999996E-2</v>
      </c>
      <c r="AB97" s="218">
        <f t="shared" si="89"/>
        <v>0.1176</v>
      </c>
      <c r="AC97" s="218">
        <f t="shared" si="89"/>
        <v>8.7900000000000006E-2</v>
      </c>
      <c r="AD97" s="218">
        <f t="shared" si="89"/>
        <v>0</v>
      </c>
      <c r="AE97" s="218">
        <f t="shared" si="89"/>
        <v>7.1800000000000003E-2</v>
      </c>
      <c r="AF97" s="218">
        <f t="shared" si="89"/>
        <v>0.31819999999999998</v>
      </c>
      <c r="AG97" s="218">
        <f t="shared" si="89"/>
        <v>0</v>
      </c>
      <c r="AH97" s="218">
        <f t="shared" si="89"/>
        <v>6.7900000000000002E-2</v>
      </c>
      <c r="AI97" s="218" t="str">
        <f t="shared" si="89"/>
        <v>N/A</v>
      </c>
      <c r="AJ97" s="218">
        <f t="shared" si="89"/>
        <v>0.2162</v>
      </c>
      <c r="AK97" s="218">
        <f t="shared" si="89"/>
        <v>2.3300000000000001E-2</v>
      </c>
      <c r="AL97" s="218" t="str">
        <f t="shared" si="89"/>
        <v>N/A</v>
      </c>
      <c r="AM97" s="218">
        <f t="shared" si="89"/>
        <v>9.0899999999999995E-2</v>
      </c>
      <c r="AN97" s="218">
        <f t="shared" si="89"/>
        <v>0.2414</v>
      </c>
      <c r="AO97" s="218">
        <f t="shared" si="89"/>
        <v>0</v>
      </c>
      <c r="AP97" s="218">
        <f t="shared" si="89"/>
        <v>0</v>
      </c>
      <c r="AQ97" s="218">
        <f t="shared" si="89"/>
        <v>0</v>
      </c>
      <c r="AR97" s="218">
        <f t="shared" si="89"/>
        <v>9.5200000000000007E-2</v>
      </c>
      <c r="AS97" s="218">
        <f t="shared" si="89"/>
        <v>5.5599999999999997E-2</v>
      </c>
      <c r="AT97" s="218">
        <f t="shared" si="89"/>
        <v>0</v>
      </c>
      <c r="AU97" s="218" t="str">
        <f t="shared" si="89"/>
        <v>N/A</v>
      </c>
      <c r="AV97" s="218">
        <f t="shared" si="89"/>
        <v>7.2700000000000001E-2</v>
      </c>
      <c r="AW97" s="218">
        <f t="shared" si="89"/>
        <v>7.6600000000000001E-2</v>
      </c>
      <c r="AX97" s="218">
        <f t="shared" si="89"/>
        <v>8.09E-2</v>
      </c>
      <c r="AY97" s="218">
        <f t="shared" si="89"/>
        <v>7.4999999999999997E-2</v>
      </c>
      <c r="AZ97" s="218">
        <f t="shared" si="89"/>
        <v>8.09E-2</v>
      </c>
      <c r="BA97" s="218">
        <f t="shared" si="89"/>
        <v>8.0299999999999996E-2</v>
      </c>
      <c r="BB97" s="218">
        <f t="shared" si="89"/>
        <v>7.51E-2</v>
      </c>
      <c r="BC97" s="218">
        <f t="shared" si="89"/>
        <v>7.4099999999999999E-2</v>
      </c>
      <c r="BD97" s="218">
        <f t="shared" si="89"/>
        <v>1.35E-2</v>
      </c>
      <c r="BE97" s="218">
        <f t="shared" si="89"/>
        <v>0</v>
      </c>
      <c r="BF97" s="218">
        <f t="shared" si="89"/>
        <v>0</v>
      </c>
      <c r="BG97" s="218">
        <f t="shared" si="89"/>
        <v>4.1999999999999997E-3</v>
      </c>
      <c r="BH97" s="218">
        <f t="shared" si="89"/>
        <v>0</v>
      </c>
      <c r="BI97" s="218">
        <f t="shared" si="89"/>
        <v>0</v>
      </c>
      <c r="BJ97" s="218">
        <f t="shared" si="89"/>
        <v>1.72E-2</v>
      </c>
      <c r="BK97" s="219">
        <f>V97</f>
        <v>7.1300000000000002E-2</v>
      </c>
      <c r="BL97" s="219">
        <f>AVERAGE(V97:AG97)</f>
        <v>8.4772727272727263E-2</v>
      </c>
    </row>
    <row r="98" spans="1:64" ht="15">
      <c r="A98" s="243" t="s">
        <v>483</v>
      </c>
      <c r="B98" s="173" t="s">
        <v>511</v>
      </c>
      <c r="C98" s="165" t="s">
        <v>942</v>
      </c>
      <c r="D98" s="174" t="s">
        <v>910</v>
      </c>
      <c r="E98" s="165" t="s">
        <v>173</v>
      </c>
      <c r="F98" s="165">
        <v>535</v>
      </c>
      <c r="G98" s="165" t="s">
        <v>943</v>
      </c>
      <c r="H98" s="165" t="s">
        <v>944</v>
      </c>
      <c r="I98" s="165">
        <v>0</v>
      </c>
      <c r="J98" s="173">
        <v>15</v>
      </c>
      <c r="K98" s="175" t="s">
        <v>913</v>
      </c>
      <c r="L98" s="165">
        <v>2024</v>
      </c>
      <c r="M98" s="173" t="s">
        <v>945</v>
      </c>
      <c r="N98" s="165">
        <v>2</v>
      </c>
      <c r="O98" s="181">
        <v>215</v>
      </c>
      <c r="P98" s="176">
        <v>0.63194444444444442</v>
      </c>
      <c r="Q98" s="174">
        <v>-70.565700000000007</v>
      </c>
      <c r="R98" s="174">
        <v>41.325000000000003</v>
      </c>
      <c r="S98" s="177" t="s">
        <v>172</v>
      </c>
      <c r="T98" s="177">
        <v>25</v>
      </c>
      <c r="U98" s="178" t="s">
        <v>516</v>
      </c>
      <c r="V98" s="244">
        <v>2.3770000000000002</v>
      </c>
      <c r="W98" s="244">
        <v>0.315</v>
      </c>
      <c r="X98" s="244">
        <v>0.39200000000000002</v>
      </c>
      <c r="Y98" s="244">
        <v>0.14899999999999999</v>
      </c>
      <c r="Z98" s="244">
        <v>3.5000000000000003E-2</v>
      </c>
      <c r="AA98" s="244">
        <v>0.16500000000000001</v>
      </c>
      <c r="AB98" s="244">
        <v>5.1999999999999998E-2</v>
      </c>
      <c r="AC98" s="244">
        <v>0.20699999999999999</v>
      </c>
      <c r="AD98" s="244">
        <v>0.02</v>
      </c>
      <c r="AE98" s="244">
        <v>0.71099999999999997</v>
      </c>
      <c r="AF98" s="244">
        <v>6.6000000000000003E-2</v>
      </c>
      <c r="AG98" s="244">
        <v>0.104</v>
      </c>
      <c r="AH98" s="244">
        <v>2.3090000000000002</v>
      </c>
      <c r="AI98" s="244">
        <v>-8888</v>
      </c>
      <c r="AJ98" s="244">
        <v>6.8000000000000005E-2</v>
      </c>
      <c r="AK98" s="244">
        <v>0.315</v>
      </c>
      <c r="AL98" s="244">
        <v>-8888</v>
      </c>
      <c r="AM98" s="244">
        <v>0.27100000000000002</v>
      </c>
      <c r="AN98" s="244">
        <v>0.121</v>
      </c>
      <c r="AO98" s="244">
        <v>2.5000000000000001E-2</v>
      </c>
      <c r="AP98" s="244">
        <v>3.9E-2</v>
      </c>
      <c r="AQ98" s="244">
        <v>0.06</v>
      </c>
      <c r="AR98" s="244">
        <v>2.5000000000000001E-2</v>
      </c>
      <c r="AS98" s="244">
        <v>6.8000000000000005E-2</v>
      </c>
      <c r="AT98" s="244">
        <v>5.0999999999999997E-2</v>
      </c>
      <c r="AU98" s="244">
        <v>-8888</v>
      </c>
      <c r="AV98" s="244">
        <v>3.0840000000000001</v>
      </c>
      <c r="AW98" s="244">
        <v>0.53200000000000003</v>
      </c>
      <c r="AX98" s="244">
        <v>0.97700000000000009</v>
      </c>
      <c r="AY98" s="244">
        <v>4.0609999999999999</v>
      </c>
      <c r="AZ98" s="244">
        <v>1.5090000000000001</v>
      </c>
      <c r="BA98" s="244">
        <v>2.2160000000000002</v>
      </c>
      <c r="BB98" s="244">
        <v>4.593</v>
      </c>
      <c r="BC98" s="244">
        <v>1.448</v>
      </c>
      <c r="BD98" s="245">
        <v>0.93</v>
      </c>
      <c r="BE98" s="245">
        <v>0.65</v>
      </c>
      <c r="BF98" s="245">
        <v>0.35</v>
      </c>
      <c r="BG98" s="245">
        <v>2.04</v>
      </c>
      <c r="BH98" s="245">
        <v>0.12</v>
      </c>
      <c r="BI98" s="245">
        <v>0.88</v>
      </c>
      <c r="BJ98" s="245">
        <v>0.52</v>
      </c>
      <c r="BK98" s="242"/>
      <c r="BL98" s="242"/>
    </row>
    <row r="99" spans="1:64" ht="15">
      <c r="A99" s="243" t="s">
        <v>484</v>
      </c>
      <c r="B99" s="173" t="s">
        <v>511</v>
      </c>
      <c r="C99" s="165" t="s">
        <v>946</v>
      </c>
      <c r="D99" s="174" t="s">
        <v>910</v>
      </c>
      <c r="E99" s="165" t="s">
        <v>173</v>
      </c>
      <c r="F99" s="165">
        <v>535</v>
      </c>
      <c r="G99" s="165" t="s">
        <v>943</v>
      </c>
      <c r="H99" s="165" t="s">
        <v>944</v>
      </c>
      <c r="I99" s="165">
        <v>0</v>
      </c>
      <c r="J99" s="173">
        <v>15</v>
      </c>
      <c r="K99" s="175" t="s">
        <v>913</v>
      </c>
      <c r="L99" s="165">
        <v>2024</v>
      </c>
      <c r="M99" s="173" t="s">
        <v>945</v>
      </c>
      <c r="N99" s="165">
        <v>2</v>
      </c>
      <c r="O99" s="181">
        <v>215</v>
      </c>
      <c r="P99" s="176">
        <v>0.63194444444444442</v>
      </c>
      <c r="Q99" s="174">
        <v>-70.565700000000007</v>
      </c>
      <c r="R99" s="174">
        <v>41.325000000000003</v>
      </c>
      <c r="S99" s="177" t="s">
        <v>172</v>
      </c>
      <c r="T99" s="177">
        <v>25</v>
      </c>
      <c r="U99" s="178" t="s">
        <v>516</v>
      </c>
      <c r="V99" s="244">
        <v>2.3679999999999999</v>
      </c>
      <c r="W99" s="244">
        <v>0.309</v>
      </c>
      <c r="X99" s="244">
        <v>0.39400000000000002</v>
      </c>
      <c r="Y99" s="244">
        <v>0.14799999999999999</v>
      </c>
      <c r="Z99" s="244">
        <v>3.3000000000000002E-2</v>
      </c>
      <c r="AA99" s="244">
        <v>0.16800000000000001</v>
      </c>
      <c r="AB99" s="244">
        <v>5.3999999999999999E-2</v>
      </c>
      <c r="AC99" s="244">
        <v>0.20899999999999999</v>
      </c>
      <c r="AD99" s="244">
        <v>1.7999999999999999E-2</v>
      </c>
      <c r="AE99" s="244">
        <v>0.71699999999999997</v>
      </c>
      <c r="AF99" s="244">
        <v>6.2E-2</v>
      </c>
      <c r="AG99" s="244">
        <v>9.6000000000000002E-2</v>
      </c>
      <c r="AH99" s="244">
        <v>2.3149999999999999</v>
      </c>
      <c r="AI99" s="244">
        <v>-8888</v>
      </c>
      <c r="AJ99" s="244">
        <v>5.2999999999999999E-2</v>
      </c>
      <c r="AK99" s="244">
        <v>0.309</v>
      </c>
      <c r="AL99" s="244">
        <v>-8888</v>
      </c>
      <c r="AM99" s="244">
        <v>0.27</v>
      </c>
      <c r="AN99" s="244">
        <v>0.124</v>
      </c>
      <c r="AO99" s="244">
        <v>2.5000000000000001E-2</v>
      </c>
      <c r="AP99" s="244">
        <v>3.5000000000000003E-2</v>
      </c>
      <c r="AQ99" s="244">
        <v>6.0999999999999999E-2</v>
      </c>
      <c r="AR99" s="244">
        <v>2.4E-2</v>
      </c>
      <c r="AS99" s="244">
        <v>6.4000000000000001E-2</v>
      </c>
      <c r="AT99" s="244">
        <v>0.04</v>
      </c>
      <c r="AU99" s="244">
        <v>-8888</v>
      </c>
      <c r="AV99" s="244">
        <v>3.0710000000000002</v>
      </c>
      <c r="AW99" s="244">
        <v>0.52500000000000002</v>
      </c>
      <c r="AX99" s="244">
        <v>0.98</v>
      </c>
      <c r="AY99" s="244">
        <v>4.0510000000000002</v>
      </c>
      <c r="AZ99" s="244">
        <v>1.5049999999999999</v>
      </c>
      <c r="BA99" s="244">
        <v>2.2079999999999997</v>
      </c>
      <c r="BB99" s="244">
        <v>4.5759999999999996</v>
      </c>
      <c r="BC99" s="244">
        <v>1.4390000000000001</v>
      </c>
      <c r="BD99" s="245">
        <v>0.93</v>
      </c>
      <c r="BE99" s="245">
        <v>0.65</v>
      </c>
      <c r="BF99" s="245">
        <v>0.35</v>
      </c>
      <c r="BG99" s="245">
        <v>2.04</v>
      </c>
      <c r="BH99" s="245">
        <v>0.11</v>
      </c>
      <c r="BI99" s="245">
        <v>0.89</v>
      </c>
      <c r="BJ99" s="245">
        <v>0.52</v>
      </c>
      <c r="BK99" s="242"/>
      <c r="BL99" s="242"/>
    </row>
    <row r="100" spans="1:64">
      <c r="A100" s="210"/>
      <c r="B100" s="220"/>
      <c r="C100" s="220"/>
      <c r="D100" s="220"/>
      <c r="E100" s="220"/>
      <c r="F100" s="220"/>
      <c r="G100" s="220"/>
      <c r="H100" s="220"/>
      <c r="I100" s="220"/>
      <c r="J100" s="220"/>
      <c r="K100" s="220"/>
      <c r="L100" s="220"/>
      <c r="M100" s="220"/>
      <c r="N100" s="220"/>
      <c r="O100" s="220"/>
      <c r="P100" s="221"/>
      <c r="Q100" s="220"/>
      <c r="R100" s="220"/>
      <c r="S100" s="220"/>
      <c r="T100" s="220"/>
      <c r="U100" s="210" t="s">
        <v>22</v>
      </c>
      <c r="V100" s="210">
        <f t="shared" ref="V100:BC100" si="90">ROUND(AVERAGE((IF(V98=-8888,0,V98)),(IF(V99=-8888,0,V99))),3)</f>
        <v>2.3730000000000002</v>
      </c>
      <c r="W100" s="210">
        <f t="shared" si="90"/>
        <v>0.312</v>
      </c>
      <c r="X100" s="210">
        <f t="shared" si="90"/>
        <v>0.39300000000000002</v>
      </c>
      <c r="Y100" s="210">
        <f t="shared" si="90"/>
        <v>0.14899999999999999</v>
      </c>
      <c r="Z100" s="210">
        <f t="shared" si="90"/>
        <v>3.4000000000000002E-2</v>
      </c>
      <c r="AA100" s="210">
        <f t="shared" si="90"/>
        <v>0.16700000000000001</v>
      </c>
      <c r="AB100" s="210">
        <f t="shared" si="90"/>
        <v>5.2999999999999999E-2</v>
      </c>
      <c r="AC100" s="210">
        <f t="shared" si="90"/>
        <v>0.20799999999999999</v>
      </c>
      <c r="AD100" s="210">
        <f t="shared" si="90"/>
        <v>1.9E-2</v>
      </c>
      <c r="AE100" s="210">
        <f t="shared" si="90"/>
        <v>0.71399999999999997</v>
      </c>
      <c r="AF100" s="210">
        <f t="shared" si="90"/>
        <v>6.4000000000000001E-2</v>
      </c>
      <c r="AG100" s="210">
        <f t="shared" si="90"/>
        <v>0.1</v>
      </c>
      <c r="AH100" s="210">
        <f t="shared" si="90"/>
        <v>2.3119999999999998</v>
      </c>
      <c r="AI100" s="210">
        <f t="shared" si="90"/>
        <v>0</v>
      </c>
      <c r="AJ100" s="210">
        <f t="shared" si="90"/>
        <v>6.0999999999999999E-2</v>
      </c>
      <c r="AK100" s="210">
        <f t="shared" si="90"/>
        <v>0.312</v>
      </c>
      <c r="AL100" s="210">
        <f t="shared" si="90"/>
        <v>0</v>
      </c>
      <c r="AM100" s="210">
        <f t="shared" si="90"/>
        <v>0.27100000000000002</v>
      </c>
      <c r="AN100" s="210">
        <f t="shared" si="90"/>
        <v>0.123</v>
      </c>
      <c r="AO100" s="210">
        <f t="shared" si="90"/>
        <v>2.5000000000000001E-2</v>
      </c>
      <c r="AP100" s="210">
        <f t="shared" si="90"/>
        <v>3.6999999999999998E-2</v>
      </c>
      <c r="AQ100" s="210">
        <f t="shared" si="90"/>
        <v>6.0999999999999999E-2</v>
      </c>
      <c r="AR100" s="210">
        <f t="shared" si="90"/>
        <v>2.5000000000000001E-2</v>
      </c>
      <c r="AS100" s="210">
        <f t="shared" si="90"/>
        <v>6.6000000000000003E-2</v>
      </c>
      <c r="AT100" s="210">
        <f t="shared" si="90"/>
        <v>4.5999999999999999E-2</v>
      </c>
      <c r="AU100" s="210">
        <f t="shared" si="90"/>
        <v>0</v>
      </c>
      <c r="AV100" s="210">
        <f t="shared" si="90"/>
        <v>3.0779999999999998</v>
      </c>
      <c r="AW100" s="210">
        <f t="shared" si="90"/>
        <v>0.52900000000000003</v>
      </c>
      <c r="AX100" s="210">
        <f t="shared" si="90"/>
        <v>0.97899999999999998</v>
      </c>
      <c r="AY100" s="210">
        <f t="shared" si="90"/>
        <v>4.056</v>
      </c>
      <c r="AZ100" s="210">
        <f t="shared" si="90"/>
        <v>1.5069999999999999</v>
      </c>
      <c r="BA100" s="210">
        <f t="shared" si="90"/>
        <v>2.2120000000000002</v>
      </c>
      <c r="BB100" s="210">
        <f t="shared" si="90"/>
        <v>4.585</v>
      </c>
      <c r="BC100" s="210">
        <f t="shared" si="90"/>
        <v>1.444</v>
      </c>
      <c r="BD100" s="209">
        <f>ROUND(AVERAGE((IF(BD98=-8888,0,BD98)),(IF(BD99=-8888,0,BD99))),2)</f>
        <v>0.93</v>
      </c>
      <c r="BE100" s="209">
        <f t="shared" ref="BE100:BJ100" si="91">ROUND(AVERAGE((IF(BE98=-8888,0,BE98)),(IF(BE99=-8888,0,BE99))),2)</f>
        <v>0.65</v>
      </c>
      <c r="BF100" s="209">
        <f t="shared" si="91"/>
        <v>0.35</v>
      </c>
      <c r="BG100" s="209">
        <f t="shared" si="91"/>
        <v>2.04</v>
      </c>
      <c r="BH100" s="209">
        <f t="shared" si="91"/>
        <v>0.12</v>
      </c>
      <c r="BI100" s="209">
        <f t="shared" si="91"/>
        <v>0.89</v>
      </c>
      <c r="BJ100" s="209">
        <f t="shared" si="91"/>
        <v>0.52</v>
      </c>
      <c r="BK100" s="211"/>
      <c r="BL100" s="211"/>
    </row>
    <row r="101" spans="1:64">
      <c r="A101" s="214"/>
      <c r="B101" s="222"/>
      <c r="C101" s="222"/>
      <c r="D101" s="222"/>
      <c r="E101" s="222"/>
      <c r="F101" s="222"/>
      <c r="G101" s="222"/>
      <c r="H101" s="222"/>
      <c r="I101" s="222"/>
      <c r="J101" s="222"/>
      <c r="K101" s="222"/>
      <c r="L101" s="222"/>
      <c r="M101" s="222"/>
      <c r="N101" s="222"/>
      <c r="O101" s="222"/>
      <c r="P101" s="223"/>
      <c r="Q101" s="222"/>
      <c r="R101" s="222"/>
      <c r="S101" s="222"/>
      <c r="T101" s="222"/>
      <c r="U101" s="214" t="s">
        <v>1015</v>
      </c>
      <c r="V101" s="214">
        <f t="shared" ref="V101:BC101" si="92">ROUND(STDEV((IF(V98=-8888,0,V98)),(IF(V99=-8888,0,V99))),3)</f>
        <v>6.0000000000000001E-3</v>
      </c>
      <c r="W101" s="214">
        <f t="shared" si="92"/>
        <v>4.0000000000000001E-3</v>
      </c>
      <c r="X101" s="214">
        <f t="shared" si="92"/>
        <v>1E-3</v>
      </c>
      <c r="Y101" s="214">
        <f t="shared" si="92"/>
        <v>1E-3</v>
      </c>
      <c r="Z101" s="214">
        <f t="shared" si="92"/>
        <v>1E-3</v>
      </c>
      <c r="AA101" s="214">
        <f t="shared" si="92"/>
        <v>2E-3</v>
      </c>
      <c r="AB101" s="214">
        <f t="shared" si="92"/>
        <v>1E-3</v>
      </c>
      <c r="AC101" s="214">
        <f t="shared" si="92"/>
        <v>1E-3</v>
      </c>
      <c r="AD101" s="214">
        <f t="shared" si="92"/>
        <v>1E-3</v>
      </c>
      <c r="AE101" s="214">
        <f t="shared" si="92"/>
        <v>4.0000000000000001E-3</v>
      </c>
      <c r="AF101" s="214">
        <f t="shared" si="92"/>
        <v>3.0000000000000001E-3</v>
      </c>
      <c r="AG101" s="214">
        <f t="shared" si="92"/>
        <v>6.0000000000000001E-3</v>
      </c>
      <c r="AH101" s="214">
        <f t="shared" si="92"/>
        <v>4.0000000000000001E-3</v>
      </c>
      <c r="AI101" s="214">
        <f t="shared" si="92"/>
        <v>0</v>
      </c>
      <c r="AJ101" s="214">
        <f t="shared" si="92"/>
        <v>1.0999999999999999E-2</v>
      </c>
      <c r="AK101" s="214">
        <f t="shared" si="92"/>
        <v>4.0000000000000001E-3</v>
      </c>
      <c r="AL101" s="214">
        <f t="shared" si="92"/>
        <v>0</v>
      </c>
      <c r="AM101" s="214">
        <f t="shared" si="92"/>
        <v>1E-3</v>
      </c>
      <c r="AN101" s="214">
        <f t="shared" si="92"/>
        <v>2E-3</v>
      </c>
      <c r="AO101" s="214">
        <f t="shared" si="92"/>
        <v>0</v>
      </c>
      <c r="AP101" s="214">
        <f t="shared" si="92"/>
        <v>3.0000000000000001E-3</v>
      </c>
      <c r="AQ101" s="214">
        <f t="shared" si="92"/>
        <v>1E-3</v>
      </c>
      <c r="AR101" s="214">
        <f t="shared" si="92"/>
        <v>1E-3</v>
      </c>
      <c r="AS101" s="214">
        <f t="shared" si="92"/>
        <v>3.0000000000000001E-3</v>
      </c>
      <c r="AT101" s="214">
        <f t="shared" si="92"/>
        <v>8.0000000000000002E-3</v>
      </c>
      <c r="AU101" s="214">
        <f t="shared" si="92"/>
        <v>0</v>
      </c>
      <c r="AV101" s="214">
        <f t="shared" si="92"/>
        <v>8.9999999999999993E-3</v>
      </c>
      <c r="AW101" s="214">
        <f t="shared" si="92"/>
        <v>5.0000000000000001E-3</v>
      </c>
      <c r="AX101" s="214">
        <f t="shared" si="92"/>
        <v>2E-3</v>
      </c>
      <c r="AY101" s="214">
        <f t="shared" si="92"/>
        <v>7.0000000000000001E-3</v>
      </c>
      <c r="AZ101" s="214">
        <f t="shared" si="92"/>
        <v>3.0000000000000001E-3</v>
      </c>
      <c r="BA101" s="214">
        <f t="shared" si="92"/>
        <v>6.0000000000000001E-3</v>
      </c>
      <c r="BB101" s="214">
        <f t="shared" si="92"/>
        <v>1.2E-2</v>
      </c>
      <c r="BC101" s="214">
        <f t="shared" si="92"/>
        <v>6.0000000000000001E-3</v>
      </c>
      <c r="BD101" s="213">
        <f>ROUND(STDEV((IF(BD98=-8888,0,BD98)),(IF(BD99=-8888,0,BD99))),2)</f>
        <v>0</v>
      </c>
      <c r="BE101" s="213">
        <f t="shared" ref="BE101:BJ101" si="93">ROUND(STDEV((IF(BE98=-8888,0,BE98)),(IF(BE99=-8888,0,BE99))),2)</f>
        <v>0</v>
      </c>
      <c r="BF101" s="213">
        <f t="shared" si="93"/>
        <v>0</v>
      </c>
      <c r="BG101" s="213">
        <f t="shared" si="93"/>
        <v>0</v>
      </c>
      <c r="BH101" s="213">
        <f t="shared" si="93"/>
        <v>0.01</v>
      </c>
      <c r="BI101" s="213">
        <f t="shared" si="93"/>
        <v>0.01</v>
      </c>
      <c r="BJ101" s="213">
        <f t="shared" si="93"/>
        <v>0</v>
      </c>
      <c r="BK101" s="215"/>
      <c r="BL101" s="215"/>
    </row>
    <row r="102" spans="1:64">
      <c r="A102" s="216"/>
      <c r="B102" s="224"/>
      <c r="C102" s="224"/>
      <c r="D102" s="224"/>
      <c r="E102" s="224"/>
      <c r="F102" s="224"/>
      <c r="G102" s="224"/>
      <c r="H102" s="224"/>
      <c r="I102" s="224"/>
      <c r="J102" s="224"/>
      <c r="K102" s="224"/>
      <c r="L102" s="224"/>
      <c r="M102" s="224"/>
      <c r="N102" s="224"/>
      <c r="O102" s="224"/>
      <c r="P102" s="225"/>
      <c r="Q102" s="224"/>
      <c r="R102" s="224"/>
      <c r="S102" s="224"/>
      <c r="T102" s="224"/>
      <c r="U102" s="217" t="s">
        <v>148</v>
      </c>
      <c r="V102" s="218">
        <f>IF((V100=0),"N/A",ROUND((V101/V100),4))</f>
        <v>2.5000000000000001E-3</v>
      </c>
      <c r="W102" s="218">
        <f t="shared" ref="W102:BJ102" si="94">IF((W100=0),"N/A",ROUND((W101/W100),4))</f>
        <v>1.2800000000000001E-2</v>
      </c>
      <c r="X102" s="218">
        <f t="shared" si="94"/>
        <v>2.5000000000000001E-3</v>
      </c>
      <c r="Y102" s="218">
        <f t="shared" si="94"/>
        <v>6.7000000000000002E-3</v>
      </c>
      <c r="Z102" s="218">
        <f t="shared" si="94"/>
        <v>2.9399999999999999E-2</v>
      </c>
      <c r="AA102" s="218">
        <f t="shared" si="94"/>
        <v>1.2E-2</v>
      </c>
      <c r="AB102" s="218">
        <f t="shared" si="94"/>
        <v>1.89E-2</v>
      </c>
      <c r="AC102" s="218">
        <f t="shared" si="94"/>
        <v>4.7999999999999996E-3</v>
      </c>
      <c r="AD102" s="218">
        <f t="shared" si="94"/>
        <v>5.2600000000000001E-2</v>
      </c>
      <c r="AE102" s="218">
        <f t="shared" si="94"/>
        <v>5.5999999999999999E-3</v>
      </c>
      <c r="AF102" s="218">
        <f t="shared" si="94"/>
        <v>4.6899999999999997E-2</v>
      </c>
      <c r="AG102" s="218">
        <f t="shared" si="94"/>
        <v>0.06</v>
      </c>
      <c r="AH102" s="218">
        <f t="shared" si="94"/>
        <v>1.6999999999999999E-3</v>
      </c>
      <c r="AI102" s="218" t="str">
        <f t="shared" si="94"/>
        <v>N/A</v>
      </c>
      <c r="AJ102" s="218">
        <f t="shared" si="94"/>
        <v>0.18029999999999999</v>
      </c>
      <c r="AK102" s="218">
        <f t="shared" si="94"/>
        <v>1.2800000000000001E-2</v>
      </c>
      <c r="AL102" s="218" t="str">
        <f t="shared" si="94"/>
        <v>N/A</v>
      </c>
      <c r="AM102" s="218">
        <f t="shared" si="94"/>
        <v>3.7000000000000002E-3</v>
      </c>
      <c r="AN102" s="218">
        <f t="shared" si="94"/>
        <v>1.6299999999999999E-2</v>
      </c>
      <c r="AO102" s="218">
        <f t="shared" si="94"/>
        <v>0</v>
      </c>
      <c r="AP102" s="218">
        <f t="shared" si="94"/>
        <v>8.1100000000000005E-2</v>
      </c>
      <c r="AQ102" s="218">
        <f t="shared" si="94"/>
        <v>1.6400000000000001E-2</v>
      </c>
      <c r="AR102" s="218">
        <f t="shared" si="94"/>
        <v>0.04</v>
      </c>
      <c r="AS102" s="218">
        <f t="shared" si="94"/>
        <v>4.5499999999999999E-2</v>
      </c>
      <c r="AT102" s="218">
        <f t="shared" si="94"/>
        <v>0.1739</v>
      </c>
      <c r="AU102" s="218" t="str">
        <f t="shared" si="94"/>
        <v>N/A</v>
      </c>
      <c r="AV102" s="218">
        <f t="shared" si="94"/>
        <v>2.8999999999999998E-3</v>
      </c>
      <c r="AW102" s="218">
        <f t="shared" si="94"/>
        <v>9.4999999999999998E-3</v>
      </c>
      <c r="AX102" s="218">
        <f t="shared" si="94"/>
        <v>2E-3</v>
      </c>
      <c r="AY102" s="218">
        <f t="shared" si="94"/>
        <v>1.6999999999999999E-3</v>
      </c>
      <c r="AZ102" s="218">
        <f t="shared" si="94"/>
        <v>2E-3</v>
      </c>
      <c r="BA102" s="218">
        <f t="shared" si="94"/>
        <v>2.7000000000000001E-3</v>
      </c>
      <c r="BB102" s="218">
        <f t="shared" si="94"/>
        <v>2.5999999999999999E-3</v>
      </c>
      <c r="BC102" s="218">
        <f t="shared" si="94"/>
        <v>4.1999999999999997E-3</v>
      </c>
      <c r="BD102" s="218">
        <f t="shared" si="94"/>
        <v>0</v>
      </c>
      <c r="BE102" s="218">
        <f t="shared" si="94"/>
        <v>0</v>
      </c>
      <c r="BF102" s="218">
        <f t="shared" si="94"/>
        <v>0</v>
      </c>
      <c r="BG102" s="218">
        <f t="shared" si="94"/>
        <v>0</v>
      </c>
      <c r="BH102" s="218">
        <f t="shared" si="94"/>
        <v>8.3299999999999999E-2</v>
      </c>
      <c r="BI102" s="218">
        <f t="shared" si="94"/>
        <v>1.12E-2</v>
      </c>
      <c r="BJ102" s="218">
        <f t="shared" si="94"/>
        <v>0</v>
      </c>
      <c r="BK102" s="219">
        <f>V102</f>
        <v>2.5000000000000001E-3</v>
      </c>
      <c r="BL102" s="219">
        <f>AVERAGE(V102:AG102)</f>
        <v>2.1224999999999997E-2</v>
      </c>
    </row>
    <row r="103" spans="1:64" ht="15">
      <c r="A103" s="243" t="s">
        <v>494</v>
      </c>
      <c r="B103" s="173" t="s">
        <v>511</v>
      </c>
      <c r="C103" s="165" t="s">
        <v>969</v>
      </c>
      <c r="D103" s="174" t="s">
        <v>910</v>
      </c>
      <c r="E103" s="165" t="s">
        <v>173</v>
      </c>
      <c r="F103" s="165">
        <v>535</v>
      </c>
      <c r="G103" s="165" t="s">
        <v>970</v>
      </c>
      <c r="H103" s="165" t="s">
        <v>971</v>
      </c>
      <c r="I103" s="165">
        <v>0</v>
      </c>
      <c r="J103" s="173">
        <v>15</v>
      </c>
      <c r="K103" s="175" t="s">
        <v>913</v>
      </c>
      <c r="L103" s="165">
        <v>2024</v>
      </c>
      <c r="M103" s="173" t="s">
        <v>964</v>
      </c>
      <c r="N103" s="165">
        <v>23</v>
      </c>
      <c r="O103" s="181">
        <v>297</v>
      </c>
      <c r="P103" s="176">
        <v>0.83333333333333337</v>
      </c>
      <c r="Q103" s="174">
        <v>-70.565700000000007</v>
      </c>
      <c r="R103" s="174">
        <v>41.325000000000003</v>
      </c>
      <c r="S103" s="177" t="s">
        <v>172</v>
      </c>
      <c r="T103" s="177">
        <v>25</v>
      </c>
      <c r="U103" s="178" t="s">
        <v>516</v>
      </c>
      <c r="V103" s="244">
        <v>4.49</v>
      </c>
      <c r="W103" s="244">
        <v>0.69399999999999995</v>
      </c>
      <c r="X103" s="244">
        <v>0.66900000000000004</v>
      </c>
      <c r="Y103" s="244">
        <v>0.219</v>
      </c>
      <c r="Z103" s="244">
        <v>3.7999999999999999E-2</v>
      </c>
      <c r="AA103" s="244">
        <v>0.2</v>
      </c>
      <c r="AB103" s="244">
        <v>0.32600000000000001</v>
      </c>
      <c r="AC103" s="244">
        <v>0.29799999999999999</v>
      </c>
      <c r="AD103" s="244">
        <v>0.03</v>
      </c>
      <c r="AE103" s="244">
        <v>0.80200000000000005</v>
      </c>
      <c r="AF103" s="244">
        <v>0.29099999999999998</v>
      </c>
      <c r="AG103" s="244">
        <v>5.8999999999999997E-2</v>
      </c>
      <c r="AH103" s="244">
        <v>4.3970000000000002</v>
      </c>
      <c r="AI103" s="244">
        <v>-8888</v>
      </c>
      <c r="AJ103" s="244">
        <v>9.2999999999999999E-2</v>
      </c>
      <c r="AK103" s="244">
        <v>0.69399999999999995</v>
      </c>
      <c r="AL103" s="244">
        <v>-8888</v>
      </c>
      <c r="AM103" s="244">
        <v>0.5</v>
      </c>
      <c r="AN103" s="244">
        <v>0.16900000000000001</v>
      </c>
      <c r="AO103" s="244">
        <v>1.9E-2</v>
      </c>
      <c r="AP103" s="244">
        <v>6.6000000000000003E-2</v>
      </c>
      <c r="AQ103" s="244">
        <v>0.114</v>
      </c>
      <c r="AR103" s="244">
        <v>5.7000000000000002E-2</v>
      </c>
      <c r="AS103" s="244">
        <v>0.10299999999999999</v>
      </c>
      <c r="AT103" s="244">
        <v>6.0999999999999999E-2</v>
      </c>
      <c r="AU103" s="244">
        <v>-8888</v>
      </c>
      <c r="AV103" s="244">
        <v>5.8529999999999998</v>
      </c>
      <c r="AW103" s="244">
        <v>0.93200000000000005</v>
      </c>
      <c r="AX103" s="244">
        <v>1.331</v>
      </c>
      <c r="AY103" s="244">
        <v>7.1839999999999993</v>
      </c>
      <c r="AZ103" s="244">
        <v>2.2629999999999999</v>
      </c>
      <c r="BA103" s="244">
        <v>3.6259999999999999</v>
      </c>
      <c r="BB103" s="244">
        <v>8.1159999999999997</v>
      </c>
      <c r="BC103" s="244">
        <v>2.41</v>
      </c>
      <c r="BD103" s="245">
        <v>0.81</v>
      </c>
      <c r="BE103" s="245">
        <v>0.59</v>
      </c>
      <c r="BF103" s="245">
        <v>0.41</v>
      </c>
      <c r="BG103" s="245">
        <v>2.59</v>
      </c>
      <c r="BH103" s="245">
        <v>0.11</v>
      </c>
      <c r="BI103" s="245">
        <v>0.89</v>
      </c>
      <c r="BJ103" s="245">
        <v>0.55000000000000004</v>
      </c>
      <c r="BK103" s="242"/>
      <c r="BL103" s="242"/>
    </row>
    <row r="104" spans="1:64" ht="15">
      <c r="A104" s="243" t="s">
        <v>495</v>
      </c>
      <c r="B104" s="173" t="s">
        <v>511</v>
      </c>
      <c r="C104" s="165" t="s">
        <v>972</v>
      </c>
      <c r="D104" s="174" t="s">
        <v>910</v>
      </c>
      <c r="E104" s="165" t="s">
        <v>173</v>
      </c>
      <c r="F104" s="165">
        <v>535</v>
      </c>
      <c r="G104" s="165" t="s">
        <v>970</v>
      </c>
      <c r="H104" s="165" t="s">
        <v>971</v>
      </c>
      <c r="I104" s="165">
        <v>0</v>
      </c>
      <c r="J104" s="173">
        <v>15</v>
      </c>
      <c r="K104" s="175" t="s">
        <v>913</v>
      </c>
      <c r="L104" s="165">
        <v>2024</v>
      </c>
      <c r="M104" s="173" t="s">
        <v>964</v>
      </c>
      <c r="N104" s="165">
        <v>23</v>
      </c>
      <c r="O104" s="181">
        <v>297</v>
      </c>
      <c r="P104" s="176">
        <v>0.83333333333333337</v>
      </c>
      <c r="Q104" s="174">
        <v>-70.565700000000007</v>
      </c>
      <c r="R104" s="174">
        <v>41.325000000000003</v>
      </c>
      <c r="S104" s="177" t="s">
        <v>172</v>
      </c>
      <c r="T104" s="177">
        <v>25</v>
      </c>
      <c r="U104" s="178" t="s">
        <v>516</v>
      </c>
      <c r="V104" s="244">
        <v>4.2480000000000002</v>
      </c>
      <c r="W104" s="244">
        <v>0.60099999999999998</v>
      </c>
      <c r="X104" s="244">
        <v>0.629</v>
      </c>
      <c r="Y104" s="244">
        <v>0.21199999999999999</v>
      </c>
      <c r="Z104" s="244">
        <v>3.5000000000000003E-2</v>
      </c>
      <c r="AA104" s="244">
        <v>0.19400000000000001</v>
      </c>
      <c r="AB104" s="244">
        <v>0.32200000000000001</v>
      </c>
      <c r="AC104" s="244">
        <v>0.28299999999999997</v>
      </c>
      <c r="AD104" s="244">
        <v>2.8000000000000001E-2</v>
      </c>
      <c r="AE104" s="244">
        <v>0.78</v>
      </c>
      <c r="AF104" s="244">
        <v>0.26200000000000001</v>
      </c>
      <c r="AG104" s="244">
        <v>5.2999999999999999E-2</v>
      </c>
      <c r="AH104" s="244">
        <v>4.1539999999999999</v>
      </c>
      <c r="AI104" s="244">
        <v>-8888</v>
      </c>
      <c r="AJ104" s="244">
        <v>9.4E-2</v>
      </c>
      <c r="AK104" s="244">
        <v>0.60099999999999998</v>
      </c>
      <c r="AL104" s="244">
        <v>-8888</v>
      </c>
      <c r="AM104" s="244">
        <v>0.47299999999999998</v>
      </c>
      <c r="AN104" s="244">
        <v>0.156</v>
      </c>
      <c r="AO104" s="244">
        <v>1.7999999999999999E-2</v>
      </c>
      <c r="AP104" s="244">
        <v>6.3E-2</v>
      </c>
      <c r="AQ104" s="244">
        <v>0.105</v>
      </c>
      <c r="AR104" s="244">
        <v>5.1999999999999998E-2</v>
      </c>
      <c r="AS104" s="244">
        <v>0.1</v>
      </c>
      <c r="AT104" s="244">
        <v>6.0999999999999999E-2</v>
      </c>
      <c r="AU104" s="244">
        <v>-8888</v>
      </c>
      <c r="AV104" s="244">
        <v>5.4779999999999998</v>
      </c>
      <c r="AW104" s="244">
        <v>0.89800000000000002</v>
      </c>
      <c r="AX104" s="244">
        <v>1.2710000000000001</v>
      </c>
      <c r="AY104" s="244">
        <v>6.7489999999999997</v>
      </c>
      <c r="AZ104" s="244">
        <v>2.169</v>
      </c>
      <c r="BA104" s="244">
        <v>3.399</v>
      </c>
      <c r="BB104" s="244">
        <v>7.6470000000000002</v>
      </c>
      <c r="BC104" s="244">
        <v>2.2470000000000003</v>
      </c>
      <c r="BD104" s="245">
        <v>0.8</v>
      </c>
      <c r="BE104" s="245">
        <v>0.59</v>
      </c>
      <c r="BF104" s="245">
        <v>0.41</v>
      </c>
      <c r="BG104" s="245">
        <v>2.5299999999999998</v>
      </c>
      <c r="BH104" s="245">
        <v>0.12</v>
      </c>
      <c r="BI104" s="245">
        <v>0.88</v>
      </c>
      <c r="BJ104" s="245">
        <v>0.56000000000000005</v>
      </c>
      <c r="BK104" s="242"/>
      <c r="BL104" s="242"/>
    </row>
    <row r="105" spans="1:64">
      <c r="A105" s="210"/>
      <c r="B105" s="220"/>
      <c r="C105" s="220"/>
      <c r="D105" s="220"/>
      <c r="E105" s="220"/>
      <c r="F105" s="220"/>
      <c r="G105" s="220"/>
      <c r="H105" s="220"/>
      <c r="I105" s="220"/>
      <c r="J105" s="220"/>
      <c r="K105" s="220"/>
      <c r="L105" s="220"/>
      <c r="M105" s="220"/>
      <c r="N105" s="220"/>
      <c r="O105" s="220"/>
      <c r="P105" s="221"/>
      <c r="Q105" s="220"/>
      <c r="R105" s="220"/>
      <c r="S105" s="220"/>
      <c r="T105" s="220"/>
      <c r="U105" s="210" t="s">
        <v>22</v>
      </c>
      <c r="V105" s="210">
        <f t="shared" ref="V105:BC105" si="95">ROUND(AVERAGE((IF(V103=-8888,0,V103)),(IF(V104=-8888,0,V104))),3)</f>
        <v>4.3689999999999998</v>
      </c>
      <c r="W105" s="210">
        <f t="shared" si="95"/>
        <v>0.64800000000000002</v>
      </c>
      <c r="X105" s="210">
        <f t="shared" si="95"/>
        <v>0.64900000000000002</v>
      </c>
      <c r="Y105" s="210">
        <f t="shared" si="95"/>
        <v>0.216</v>
      </c>
      <c r="Z105" s="210">
        <f t="shared" si="95"/>
        <v>3.6999999999999998E-2</v>
      </c>
      <c r="AA105" s="210">
        <f t="shared" si="95"/>
        <v>0.19700000000000001</v>
      </c>
      <c r="AB105" s="210">
        <f t="shared" si="95"/>
        <v>0.32400000000000001</v>
      </c>
      <c r="AC105" s="210">
        <f t="shared" si="95"/>
        <v>0.29099999999999998</v>
      </c>
      <c r="AD105" s="210">
        <f t="shared" si="95"/>
        <v>2.9000000000000001E-2</v>
      </c>
      <c r="AE105" s="210">
        <f t="shared" si="95"/>
        <v>0.79100000000000004</v>
      </c>
      <c r="AF105" s="210">
        <f t="shared" si="95"/>
        <v>0.27700000000000002</v>
      </c>
      <c r="AG105" s="210">
        <f t="shared" si="95"/>
        <v>5.6000000000000001E-2</v>
      </c>
      <c r="AH105" s="210">
        <f t="shared" si="95"/>
        <v>4.2759999999999998</v>
      </c>
      <c r="AI105" s="210">
        <f t="shared" si="95"/>
        <v>0</v>
      </c>
      <c r="AJ105" s="210">
        <f t="shared" si="95"/>
        <v>9.4E-2</v>
      </c>
      <c r="AK105" s="210">
        <f t="shared" si="95"/>
        <v>0.64800000000000002</v>
      </c>
      <c r="AL105" s="210">
        <f t="shared" si="95"/>
        <v>0</v>
      </c>
      <c r="AM105" s="210">
        <f t="shared" si="95"/>
        <v>0.48699999999999999</v>
      </c>
      <c r="AN105" s="210">
        <f t="shared" si="95"/>
        <v>0.16300000000000001</v>
      </c>
      <c r="AO105" s="210">
        <f t="shared" si="95"/>
        <v>1.9E-2</v>
      </c>
      <c r="AP105" s="210">
        <f t="shared" si="95"/>
        <v>6.5000000000000002E-2</v>
      </c>
      <c r="AQ105" s="210">
        <f t="shared" si="95"/>
        <v>0.11</v>
      </c>
      <c r="AR105" s="210">
        <f t="shared" si="95"/>
        <v>5.5E-2</v>
      </c>
      <c r="AS105" s="210">
        <f t="shared" si="95"/>
        <v>0.10199999999999999</v>
      </c>
      <c r="AT105" s="210">
        <f t="shared" si="95"/>
        <v>6.0999999999999999E-2</v>
      </c>
      <c r="AU105" s="210">
        <f t="shared" si="95"/>
        <v>0</v>
      </c>
      <c r="AV105" s="210">
        <f t="shared" si="95"/>
        <v>5.6660000000000004</v>
      </c>
      <c r="AW105" s="210">
        <f t="shared" si="95"/>
        <v>0.91500000000000004</v>
      </c>
      <c r="AX105" s="210">
        <f t="shared" si="95"/>
        <v>1.3009999999999999</v>
      </c>
      <c r="AY105" s="210">
        <f t="shared" si="95"/>
        <v>6.9669999999999996</v>
      </c>
      <c r="AZ105" s="210">
        <f t="shared" si="95"/>
        <v>2.2160000000000002</v>
      </c>
      <c r="BA105" s="210">
        <f t="shared" si="95"/>
        <v>3.5129999999999999</v>
      </c>
      <c r="BB105" s="210">
        <f t="shared" si="95"/>
        <v>7.8819999999999997</v>
      </c>
      <c r="BC105" s="210">
        <f t="shared" si="95"/>
        <v>2.3290000000000002</v>
      </c>
      <c r="BD105" s="209">
        <f>ROUND(AVERAGE((IF(BD103=-8888,0,BD103)),(IF(BD104=-8888,0,BD104))),2)</f>
        <v>0.81</v>
      </c>
      <c r="BE105" s="209">
        <f t="shared" ref="BE105:BJ105" si="96">ROUND(AVERAGE((IF(BE103=-8888,0,BE103)),(IF(BE104=-8888,0,BE104))),2)</f>
        <v>0.59</v>
      </c>
      <c r="BF105" s="209">
        <f t="shared" si="96"/>
        <v>0.41</v>
      </c>
      <c r="BG105" s="209">
        <f t="shared" si="96"/>
        <v>2.56</v>
      </c>
      <c r="BH105" s="209">
        <f t="shared" si="96"/>
        <v>0.12</v>
      </c>
      <c r="BI105" s="209">
        <f t="shared" si="96"/>
        <v>0.89</v>
      </c>
      <c r="BJ105" s="209">
        <f t="shared" si="96"/>
        <v>0.56000000000000005</v>
      </c>
      <c r="BK105" s="211"/>
      <c r="BL105" s="211"/>
    </row>
    <row r="106" spans="1:64">
      <c r="A106" s="214"/>
      <c r="B106" s="222"/>
      <c r="C106" s="222"/>
      <c r="D106" s="222"/>
      <c r="E106" s="222"/>
      <c r="F106" s="222"/>
      <c r="G106" s="222"/>
      <c r="H106" s="222"/>
      <c r="I106" s="222"/>
      <c r="J106" s="222"/>
      <c r="K106" s="222"/>
      <c r="L106" s="222"/>
      <c r="M106" s="222"/>
      <c r="N106" s="222"/>
      <c r="O106" s="222"/>
      <c r="P106" s="223"/>
      <c r="Q106" s="222"/>
      <c r="R106" s="222"/>
      <c r="S106" s="222"/>
      <c r="T106" s="222"/>
      <c r="U106" s="214" t="s">
        <v>1015</v>
      </c>
      <c r="V106" s="214">
        <f t="shared" ref="V106:BC106" si="97">ROUND(STDEV((IF(V103=-8888,0,V103)),(IF(V104=-8888,0,V104))),3)</f>
        <v>0.17100000000000001</v>
      </c>
      <c r="W106" s="214">
        <f t="shared" si="97"/>
        <v>6.6000000000000003E-2</v>
      </c>
      <c r="X106" s="214">
        <f t="shared" si="97"/>
        <v>2.8000000000000001E-2</v>
      </c>
      <c r="Y106" s="214">
        <f t="shared" si="97"/>
        <v>5.0000000000000001E-3</v>
      </c>
      <c r="Z106" s="214">
        <f t="shared" si="97"/>
        <v>2E-3</v>
      </c>
      <c r="AA106" s="214">
        <f t="shared" si="97"/>
        <v>4.0000000000000001E-3</v>
      </c>
      <c r="AB106" s="214">
        <f t="shared" si="97"/>
        <v>3.0000000000000001E-3</v>
      </c>
      <c r="AC106" s="214">
        <f t="shared" si="97"/>
        <v>1.0999999999999999E-2</v>
      </c>
      <c r="AD106" s="214">
        <f t="shared" si="97"/>
        <v>1E-3</v>
      </c>
      <c r="AE106" s="214">
        <f t="shared" si="97"/>
        <v>1.6E-2</v>
      </c>
      <c r="AF106" s="214">
        <f t="shared" si="97"/>
        <v>2.1000000000000001E-2</v>
      </c>
      <c r="AG106" s="214">
        <f t="shared" si="97"/>
        <v>4.0000000000000001E-3</v>
      </c>
      <c r="AH106" s="214">
        <f t="shared" si="97"/>
        <v>0.17199999999999999</v>
      </c>
      <c r="AI106" s="214">
        <f t="shared" si="97"/>
        <v>0</v>
      </c>
      <c r="AJ106" s="214">
        <f t="shared" si="97"/>
        <v>1E-3</v>
      </c>
      <c r="AK106" s="214">
        <f t="shared" si="97"/>
        <v>6.6000000000000003E-2</v>
      </c>
      <c r="AL106" s="214">
        <f t="shared" si="97"/>
        <v>0</v>
      </c>
      <c r="AM106" s="214">
        <f t="shared" si="97"/>
        <v>1.9E-2</v>
      </c>
      <c r="AN106" s="214">
        <f t="shared" si="97"/>
        <v>8.9999999999999993E-3</v>
      </c>
      <c r="AO106" s="214">
        <f t="shared" si="97"/>
        <v>1E-3</v>
      </c>
      <c r="AP106" s="214">
        <f t="shared" si="97"/>
        <v>2E-3</v>
      </c>
      <c r="AQ106" s="214">
        <f t="shared" si="97"/>
        <v>6.0000000000000001E-3</v>
      </c>
      <c r="AR106" s="214">
        <f t="shared" si="97"/>
        <v>4.0000000000000001E-3</v>
      </c>
      <c r="AS106" s="214">
        <f t="shared" si="97"/>
        <v>2E-3</v>
      </c>
      <c r="AT106" s="214">
        <f t="shared" si="97"/>
        <v>0</v>
      </c>
      <c r="AU106" s="214">
        <f t="shared" si="97"/>
        <v>0</v>
      </c>
      <c r="AV106" s="214">
        <f t="shared" si="97"/>
        <v>0.26500000000000001</v>
      </c>
      <c r="AW106" s="214">
        <f t="shared" si="97"/>
        <v>2.4E-2</v>
      </c>
      <c r="AX106" s="214">
        <f t="shared" si="97"/>
        <v>4.2000000000000003E-2</v>
      </c>
      <c r="AY106" s="214">
        <f t="shared" si="97"/>
        <v>0.308</v>
      </c>
      <c r="AZ106" s="214">
        <f t="shared" si="97"/>
        <v>6.6000000000000003E-2</v>
      </c>
      <c r="BA106" s="214">
        <f t="shared" si="97"/>
        <v>0.161</v>
      </c>
      <c r="BB106" s="214">
        <f t="shared" si="97"/>
        <v>0.33200000000000002</v>
      </c>
      <c r="BC106" s="214">
        <f t="shared" si="97"/>
        <v>0.115</v>
      </c>
      <c r="BD106" s="213">
        <f>ROUND(STDEV((IF(BD103=-8888,0,BD103)),(IF(BD104=-8888,0,BD104))),2)</f>
        <v>0.01</v>
      </c>
      <c r="BE106" s="213">
        <f t="shared" ref="BE106:BJ106" si="98">ROUND(STDEV((IF(BE103=-8888,0,BE103)),(IF(BE104=-8888,0,BE104))),2)</f>
        <v>0</v>
      </c>
      <c r="BF106" s="213">
        <f t="shared" si="98"/>
        <v>0</v>
      </c>
      <c r="BG106" s="213">
        <f t="shared" si="98"/>
        <v>0.04</v>
      </c>
      <c r="BH106" s="213">
        <f t="shared" si="98"/>
        <v>0.01</v>
      </c>
      <c r="BI106" s="213">
        <f t="shared" si="98"/>
        <v>0.01</v>
      </c>
      <c r="BJ106" s="213">
        <f t="shared" si="98"/>
        <v>0.01</v>
      </c>
      <c r="BK106" s="215"/>
      <c r="BL106" s="215"/>
    </row>
    <row r="107" spans="1:64">
      <c r="A107" s="216"/>
      <c r="B107" s="224"/>
      <c r="C107" s="224"/>
      <c r="D107" s="224"/>
      <c r="E107" s="224"/>
      <c r="F107" s="224"/>
      <c r="G107" s="224"/>
      <c r="H107" s="224"/>
      <c r="I107" s="224"/>
      <c r="J107" s="224"/>
      <c r="K107" s="224"/>
      <c r="L107" s="224"/>
      <c r="M107" s="224"/>
      <c r="N107" s="224"/>
      <c r="O107" s="224"/>
      <c r="P107" s="225"/>
      <c r="Q107" s="224"/>
      <c r="R107" s="224"/>
      <c r="S107" s="224"/>
      <c r="T107" s="224"/>
      <c r="U107" s="217" t="s">
        <v>148</v>
      </c>
      <c r="V107" s="218">
        <f>IF((V105=0),"N/A",ROUND((V106/V105),4))</f>
        <v>3.9100000000000003E-2</v>
      </c>
      <c r="W107" s="218">
        <f t="shared" ref="W107:BJ107" si="99">IF((W105=0),"N/A",ROUND((W106/W105),4))</f>
        <v>0.1019</v>
      </c>
      <c r="X107" s="218">
        <f t="shared" si="99"/>
        <v>4.3099999999999999E-2</v>
      </c>
      <c r="Y107" s="218">
        <f t="shared" si="99"/>
        <v>2.3099999999999999E-2</v>
      </c>
      <c r="Z107" s="218">
        <f t="shared" si="99"/>
        <v>5.4100000000000002E-2</v>
      </c>
      <c r="AA107" s="218">
        <f t="shared" si="99"/>
        <v>2.0299999999999999E-2</v>
      </c>
      <c r="AB107" s="218">
        <f t="shared" si="99"/>
        <v>9.2999999999999992E-3</v>
      </c>
      <c r="AC107" s="218">
        <f t="shared" si="99"/>
        <v>3.78E-2</v>
      </c>
      <c r="AD107" s="218">
        <f t="shared" si="99"/>
        <v>3.4500000000000003E-2</v>
      </c>
      <c r="AE107" s="218">
        <f t="shared" si="99"/>
        <v>2.0199999999999999E-2</v>
      </c>
      <c r="AF107" s="218">
        <f t="shared" si="99"/>
        <v>7.5800000000000006E-2</v>
      </c>
      <c r="AG107" s="218">
        <f t="shared" si="99"/>
        <v>7.1400000000000005E-2</v>
      </c>
      <c r="AH107" s="218">
        <f t="shared" si="99"/>
        <v>4.02E-2</v>
      </c>
      <c r="AI107" s="218" t="str">
        <f t="shared" si="99"/>
        <v>N/A</v>
      </c>
      <c r="AJ107" s="218">
        <f t="shared" si="99"/>
        <v>1.06E-2</v>
      </c>
      <c r="AK107" s="218">
        <f t="shared" si="99"/>
        <v>0.1019</v>
      </c>
      <c r="AL107" s="218" t="str">
        <f t="shared" si="99"/>
        <v>N/A</v>
      </c>
      <c r="AM107" s="218">
        <f t="shared" si="99"/>
        <v>3.9E-2</v>
      </c>
      <c r="AN107" s="218">
        <f t="shared" si="99"/>
        <v>5.5199999999999999E-2</v>
      </c>
      <c r="AO107" s="218">
        <f t="shared" si="99"/>
        <v>5.2600000000000001E-2</v>
      </c>
      <c r="AP107" s="218">
        <f t="shared" si="99"/>
        <v>3.0800000000000001E-2</v>
      </c>
      <c r="AQ107" s="218">
        <f t="shared" si="99"/>
        <v>5.45E-2</v>
      </c>
      <c r="AR107" s="218">
        <f t="shared" si="99"/>
        <v>7.2700000000000001E-2</v>
      </c>
      <c r="AS107" s="218">
        <f t="shared" si="99"/>
        <v>1.9599999999999999E-2</v>
      </c>
      <c r="AT107" s="218">
        <f t="shared" si="99"/>
        <v>0</v>
      </c>
      <c r="AU107" s="218" t="str">
        <f t="shared" si="99"/>
        <v>N/A</v>
      </c>
      <c r="AV107" s="218">
        <f t="shared" si="99"/>
        <v>4.6800000000000001E-2</v>
      </c>
      <c r="AW107" s="218">
        <f t="shared" si="99"/>
        <v>2.6200000000000001E-2</v>
      </c>
      <c r="AX107" s="218">
        <f t="shared" si="99"/>
        <v>3.2300000000000002E-2</v>
      </c>
      <c r="AY107" s="218">
        <f t="shared" si="99"/>
        <v>4.4200000000000003E-2</v>
      </c>
      <c r="AZ107" s="218">
        <f t="shared" si="99"/>
        <v>2.98E-2</v>
      </c>
      <c r="BA107" s="218">
        <f t="shared" si="99"/>
        <v>4.58E-2</v>
      </c>
      <c r="BB107" s="218">
        <f t="shared" si="99"/>
        <v>4.2099999999999999E-2</v>
      </c>
      <c r="BC107" s="218">
        <f t="shared" si="99"/>
        <v>4.9399999999999999E-2</v>
      </c>
      <c r="BD107" s="218">
        <f t="shared" si="99"/>
        <v>1.23E-2</v>
      </c>
      <c r="BE107" s="218">
        <f t="shared" si="99"/>
        <v>0</v>
      </c>
      <c r="BF107" s="218">
        <f t="shared" si="99"/>
        <v>0</v>
      </c>
      <c r="BG107" s="218">
        <f t="shared" si="99"/>
        <v>1.5599999999999999E-2</v>
      </c>
      <c r="BH107" s="218">
        <f t="shared" si="99"/>
        <v>8.3299999999999999E-2</v>
      </c>
      <c r="BI107" s="218">
        <f t="shared" si="99"/>
        <v>1.12E-2</v>
      </c>
      <c r="BJ107" s="218">
        <f t="shared" si="99"/>
        <v>1.7899999999999999E-2</v>
      </c>
      <c r="BK107" s="219">
        <f>V107</f>
        <v>3.9100000000000003E-2</v>
      </c>
      <c r="BL107" s="219">
        <f>AVERAGE(V107:AG107)</f>
        <v>4.4216666666666661E-2</v>
      </c>
    </row>
  </sheetData>
  <conditionalFormatting sqref="V12:AQ12 V17:AQ17 V22:AQ22 V27:AQ27 V32:AQ32">
    <cfRule type="cellIs" dxfId="32" priority="14" operator="greaterThan">
      <formula>0.1</formula>
    </cfRule>
  </conditionalFormatting>
  <conditionalFormatting sqref="V37:AQ37 V42:AQ42 V47:AQ47 V52:AQ52 V57:AQ57 V62:AQ62 V67:AQ67 V72:AQ72 V77:AQ77">
    <cfRule type="cellIs" dxfId="31" priority="9" operator="greaterThan">
      <formula>0.1</formula>
    </cfRule>
  </conditionalFormatting>
  <conditionalFormatting sqref="V82:AQ82 V87:AQ87 V92:AQ92 V97:AQ97 V102:AQ102 V107:AQ107">
    <cfRule type="cellIs" dxfId="30" priority="4" operator="greaterThan">
      <formula>0.1</formula>
    </cfRule>
  </conditionalFormatting>
  <conditionalFormatting sqref="V12:BJ12 V17:BJ17 V22:BJ22 V27:BJ27 V32:BJ32">
    <cfRule type="cellIs" dxfId="29" priority="11" stopIfTrue="1" operator="equal">
      <formula>"N/A"</formula>
    </cfRule>
    <cfRule type="expression" dxfId="28" priority="12" stopIfTrue="1">
      <formula>ABS((V9-V8))&lt;0.0015</formula>
    </cfRule>
  </conditionalFormatting>
  <conditionalFormatting sqref="V37:BJ37 V42:BJ42 V47:BJ47 V52:BJ52 V57:BJ57 V62:BJ62 V67:BJ67 V72:BJ72 V77:BJ77">
    <cfRule type="cellIs" dxfId="27" priority="6" stopIfTrue="1" operator="equal">
      <formula>"N/A"</formula>
    </cfRule>
    <cfRule type="expression" dxfId="26" priority="7" stopIfTrue="1">
      <formula>ABS((V34-V33))&lt;0.0015</formula>
    </cfRule>
  </conditionalFormatting>
  <conditionalFormatting sqref="V82:BJ82 V87:BJ87 V92:BJ92 V97:BJ97 V102:BJ102 V107:BJ107">
    <cfRule type="cellIs" dxfId="25" priority="1" stopIfTrue="1" operator="equal">
      <formula>"N/A"</formula>
    </cfRule>
    <cfRule type="expression" dxfId="24" priority="2" stopIfTrue="1">
      <formula>ABS((V79-V78))&lt;0.0015</formula>
    </cfRule>
  </conditionalFormatting>
  <conditionalFormatting sqref="AJ12 AR12:AS12 AJ17 AR17:AS17 AJ22 AR22:AS22 AJ27 AR27:AS27 AJ32 AR32:AS32">
    <cfRule type="cellIs" dxfId="23" priority="15" operator="greaterThan">
      <formula>0.15</formula>
    </cfRule>
  </conditionalFormatting>
  <conditionalFormatting sqref="AJ37 AR37:AS37 AJ42 AR42:AS42 AJ47 AR47:AS47 AJ52 AR52:AS52 AJ57 AR57:AS57 AJ62 AR62:AS62 AJ67 AR67:AS67 AJ72 AR72:AS72 AJ77 AR77:AS77">
    <cfRule type="cellIs" dxfId="22" priority="10" operator="greaterThan">
      <formula>0.15</formula>
    </cfRule>
  </conditionalFormatting>
  <conditionalFormatting sqref="AJ82 AR82:AS82 AJ87 AR87:AS87 AJ92 AR92:AS92 AJ97 AR97:AS97 AJ102 AR102:AS102 AJ107 AR107:AS107">
    <cfRule type="cellIs" dxfId="21" priority="5" operator="greaterThan">
      <formula>0.15</formula>
    </cfRule>
  </conditionalFormatting>
  <conditionalFormatting sqref="AT12:BJ12 AT17:BJ17 AT22:BJ22 AT27:BJ27 AT32:BJ32">
    <cfRule type="cellIs" dxfId="20" priority="13" operator="greaterThan">
      <formula>0.1</formula>
    </cfRule>
  </conditionalFormatting>
  <conditionalFormatting sqref="AT37:BJ37 AT42:BJ42 AT47:BJ47 AT52:BJ52 AT57:BJ57 AT62:BJ62 AT67:BJ67 AT72:BJ72 AT77:BJ77">
    <cfRule type="cellIs" dxfId="19" priority="8" operator="greaterThan">
      <formula>0.1</formula>
    </cfRule>
  </conditionalFormatting>
  <conditionalFormatting sqref="AT82:BJ82 AT87:BJ87 AT92:BJ92 AT97:BJ97 AT102:BJ102 AT107:BJ107">
    <cfRule type="cellIs" dxfId="18" priority="3" operator="greaterThan">
      <formula>0.1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9"/>
  <sheetViews>
    <sheetView workbookViewId="0"/>
  </sheetViews>
  <sheetFormatPr defaultColWidth="9.140625" defaultRowHeight="12.75"/>
  <cols>
    <col min="1" max="1" width="17" style="8" customWidth="1"/>
    <col min="2" max="2" width="12" style="8" customWidth="1"/>
    <col min="3" max="3" width="11" style="17" customWidth="1"/>
    <col min="4" max="4" width="9.140625" style="17"/>
    <col min="5" max="21" width="9.140625" style="8"/>
    <col min="22" max="22" width="11" style="8" customWidth="1"/>
    <col min="23" max="16384" width="9.140625" style="8"/>
  </cols>
  <sheetData>
    <row r="1" spans="1:28" s="11" customFormat="1" ht="14.1" customHeight="1">
      <c r="A1" s="9" t="s">
        <v>23</v>
      </c>
      <c r="B1" s="7"/>
      <c r="C1" s="6"/>
      <c r="D1" s="6"/>
      <c r="E1" s="10"/>
      <c r="F1" s="161"/>
      <c r="G1" s="161"/>
      <c r="H1" s="161"/>
      <c r="I1" s="161"/>
      <c r="J1" s="161"/>
      <c r="K1" s="161"/>
      <c r="L1" s="161"/>
      <c r="M1" s="161"/>
      <c r="N1" s="161"/>
      <c r="O1" s="161"/>
      <c r="P1" s="161"/>
      <c r="Q1" s="161"/>
      <c r="R1" s="161"/>
      <c r="S1" s="162"/>
      <c r="T1" s="161"/>
      <c r="U1" s="161"/>
      <c r="V1" s="161"/>
      <c r="W1" s="161"/>
      <c r="X1" s="161"/>
      <c r="Y1" s="161"/>
      <c r="Z1" s="161"/>
      <c r="AA1" s="161"/>
      <c r="AB1" s="3"/>
    </row>
    <row r="2" spans="1:28" s="11" customFormat="1" ht="14.1" customHeight="1">
      <c r="B2" s="7"/>
      <c r="C2" s="6"/>
      <c r="D2" s="6"/>
      <c r="E2" s="10"/>
      <c r="F2" s="161"/>
      <c r="G2" s="161"/>
      <c r="H2" s="161"/>
      <c r="I2" s="161"/>
      <c r="J2" s="161"/>
      <c r="K2" s="161"/>
      <c r="L2" s="161"/>
      <c r="M2" s="161"/>
      <c r="N2" s="161"/>
      <c r="O2" s="161"/>
      <c r="P2" s="161"/>
      <c r="Q2" s="161"/>
      <c r="R2" s="161"/>
      <c r="S2" s="161"/>
      <c r="T2" s="161"/>
      <c r="U2" s="161"/>
      <c r="V2" s="161"/>
      <c r="W2" s="161"/>
      <c r="X2" s="161"/>
      <c r="Y2" s="161"/>
      <c r="Z2" s="161"/>
      <c r="AA2" s="161"/>
      <c r="AB2" s="3"/>
    </row>
    <row r="3" spans="1:28" s="12" customFormat="1" ht="14.1" customHeight="1">
      <c r="C3" s="13"/>
      <c r="D3" s="13"/>
      <c r="E3" s="14"/>
      <c r="F3" s="5" t="s">
        <v>2</v>
      </c>
      <c r="G3" s="5" t="s">
        <v>2</v>
      </c>
      <c r="H3" s="4" t="s">
        <v>2</v>
      </c>
      <c r="I3" s="4" t="s">
        <v>2</v>
      </c>
      <c r="J3" s="4" t="s">
        <v>2</v>
      </c>
      <c r="K3" s="4" t="s">
        <v>2</v>
      </c>
      <c r="L3" s="4" t="s">
        <v>2</v>
      </c>
      <c r="M3" s="4" t="s">
        <v>2</v>
      </c>
      <c r="N3" s="4" t="s">
        <v>2</v>
      </c>
      <c r="O3" s="4" t="s">
        <v>2</v>
      </c>
      <c r="P3" s="4" t="s">
        <v>2</v>
      </c>
      <c r="Q3" s="4" t="s">
        <v>2</v>
      </c>
      <c r="R3" s="4" t="s">
        <v>2</v>
      </c>
      <c r="S3" s="4" t="s">
        <v>2</v>
      </c>
      <c r="T3" s="4" t="s">
        <v>2</v>
      </c>
      <c r="U3" s="4" t="s">
        <v>2</v>
      </c>
      <c r="V3" s="4" t="s">
        <v>2</v>
      </c>
      <c r="W3" s="4" t="s">
        <v>26</v>
      </c>
      <c r="X3" s="4" t="s">
        <v>2</v>
      </c>
      <c r="Y3" s="16" t="s">
        <v>2</v>
      </c>
      <c r="Z3" s="16" t="s">
        <v>2</v>
      </c>
      <c r="AA3" s="16" t="s">
        <v>2</v>
      </c>
      <c r="AB3" s="15"/>
    </row>
    <row r="4" spans="1:28" s="12" customFormat="1" ht="51">
      <c r="A4" s="13"/>
      <c r="B4" s="16"/>
      <c r="C4" s="16" t="s">
        <v>155</v>
      </c>
      <c r="D4" s="16" t="s">
        <v>3</v>
      </c>
      <c r="E4" s="16" t="s">
        <v>24</v>
      </c>
      <c r="F4" s="5" t="s">
        <v>6</v>
      </c>
      <c r="G4" s="5" t="s">
        <v>1012</v>
      </c>
      <c r="H4" s="4" t="s">
        <v>19</v>
      </c>
      <c r="I4" s="4" t="s">
        <v>21</v>
      </c>
      <c r="J4" s="4" t="s">
        <v>4</v>
      </c>
      <c r="K4" s="4" t="s">
        <v>36</v>
      </c>
      <c r="L4" s="4" t="s">
        <v>5</v>
      </c>
      <c r="M4" s="4" t="s">
        <v>8</v>
      </c>
      <c r="N4" s="4" t="s">
        <v>9</v>
      </c>
      <c r="O4" s="4" t="s">
        <v>10</v>
      </c>
      <c r="P4" s="4" t="s">
        <v>37</v>
      </c>
      <c r="Q4" s="4" t="s">
        <v>12</v>
      </c>
      <c r="R4" s="4" t="s">
        <v>13</v>
      </c>
      <c r="S4" s="4" t="s">
        <v>14</v>
      </c>
      <c r="T4" s="4" t="s">
        <v>15</v>
      </c>
      <c r="U4" s="4" t="s">
        <v>16</v>
      </c>
      <c r="V4" s="4" t="s">
        <v>58</v>
      </c>
      <c r="W4" s="4" t="s">
        <v>25</v>
      </c>
      <c r="X4" s="4" t="s">
        <v>0</v>
      </c>
      <c r="Y4" s="16" t="s">
        <v>1</v>
      </c>
      <c r="Z4" s="16" t="s">
        <v>20</v>
      </c>
      <c r="AA4" s="16" t="s">
        <v>178</v>
      </c>
      <c r="AB4" s="16"/>
    </row>
    <row r="5" spans="1:28">
      <c r="C5" s="20">
        <v>2.81</v>
      </c>
      <c r="D5" s="17">
        <v>0.15</v>
      </c>
      <c r="E5" s="17">
        <v>282</v>
      </c>
      <c r="F5" s="19">
        <v>3.0000000000000001E-3</v>
      </c>
      <c r="G5" s="19">
        <v>2E-3</v>
      </c>
      <c r="H5" s="19">
        <v>4.0000000000000001E-3</v>
      </c>
      <c r="I5" s="19">
        <v>7.0000000000000001E-3</v>
      </c>
      <c r="J5" s="19">
        <v>6.0000000000000001E-3</v>
      </c>
      <c r="K5" s="19">
        <v>4.0000000000000001E-3</v>
      </c>
      <c r="L5" s="19">
        <v>4.0000000000000001E-3</v>
      </c>
      <c r="M5" s="19">
        <v>4.0000000000000001E-3</v>
      </c>
      <c r="N5" s="19">
        <v>4.0000000000000001E-3</v>
      </c>
      <c r="O5" s="19">
        <v>3.0000000000000001E-3</v>
      </c>
      <c r="P5" s="19">
        <v>4.0000000000000001E-3</v>
      </c>
      <c r="Q5" s="19">
        <v>3.0000000000000001E-3</v>
      </c>
      <c r="R5" s="19">
        <v>2E-3</v>
      </c>
      <c r="S5" s="19">
        <v>2E-3</v>
      </c>
      <c r="T5" s="19">
        <v>2E-3</v>
      </c>
      <c r="U5" s="19">
        <v>3.0000000000000001E-3</v>
      </c>
      <c r="V5" s="19">
        <v>2E-3</v>
      </c>
      <c r="W5" s="19">
        <v>7.0000000000000001E-3</v>
      </c>
      <c r="X5" s="19">
        <v>4.0000000000000001E-3</v>
      </c>
      <c r="Y5" s="19">
        <v>5.0000000000000001E-3</v>
      </c>
      <c r="Z5" s="19">
        <v>8.9999999999999993E-3</v>
      </c>
      <c r="AA5" s="19">
        <v>4.0000000000000001E-3</v>
      </c>
      <c r="AB5" s="19"/>
    </row>
    <row r="6" spans="1:28">
      <c r="C6" s="20">
        <v>2.81</v>
      </c>
      <c r="D6" s="17">
        <v>0.15</v>
      </c>
      <c r="E6" s="2">
        <v>531</v>
      </c>
      <c r="F6" s="19">
        <v>1E-3</v>
      </c>
      <c r="G6" s="19">
        <v>1E-3</v>
      </c>
      <c r="H6" s="19">
        <v>2E-3</v>
      </c>
      <c r="I6" s="19">
        <v>3.0000000000000001E-3</v>
      </c>
      <c r="J6" s="19">
        <v>3.0000000000000001E-3</v>
      </c>
      <c r="K6" s="19">
        <v>2E-3</v>
      </c>
      <c r="L6" s="19">
        <v>2E-3</v>
      </c>
      <c r="M6" s="19">
        <v>2E-3</v>
      </c>
      <c r="N6" s="19">
        <v>2E-3</v>
      </c>
      <c r="O6" s="19">
        <v>2E-3</v>
      </c>
      <c r="P6" s="19">
        <v>2E-3</v>
      </c>
      <c r="Q6" s="19">
        <v>1E-3</v>
      </c>
      <c r="R6" s="19">
        <v>1E-3</v>
      </c>
      <c r="S6" s="19">
        <v>1E-3</v>
      </c>
      <c r="T6" s="19">
        <v>1E-3</v>
      </c>
      <c r="U6" s="19">
        <v>1E-3</v>
      </c>
      <c r="V6" s="19">
        <v>1E-3</v>
      </c>
      <c r="W6" s="19">
        <v>4.0000000000000001E-3</v>
      </c>
      <c r="X6" s="19">
        <v>2E-3</v>
      </c>
      <c r="Y6" s="19">
        <v>3.0000000000000001E-3</v>
      </c>
      <c r="Z6" s="19">
        <v>5.0000000000000001E-3</v>
      </c>
      <c r="AA6" s="19">
        <v>2E-3</v>
      </c>
      <c r="AB6" s="19"/>
    </row>
    <row r="7" spans="1:28">
      <c r="C7" s="20">
        <v>2.81</v>
      </c>
      <c r="D7" s="17">
        <v>0.15</v>
      </c>
      <c r="E7" s="2">
        <v>532</v>
      </c>
      <c r="F7" s="19">
        <v>1E-3</v>
      </c>
      <c r="G7" s="19">
        <v>1E-3</v>
      </c>
      <c r="H7" s="19">
        <v>2E-3</v>
      </c>
      <c r="I7" s="19">
        <v>3.0000000000000001E-3</v>
      </c>
      <c r="J7" s="19">
        <v>3.0000000000000001E-3</v>
      </c>
      <c r="K7" s="19">
        <v>2E-3</v>
      </c>
      <c r="L7" s="19">
        <v>2E-3</v>
      </c>
      <c r="M7" s="19">
        <v>2E-3</v>
      </c>
      <c r="N7" s="19">
        <v>2E-3</v>
      </c>
      <c r="O7" s="19">
        <v>2E-3</v>
      </c>
      <c r="P7" s="19">
        <v>2E-3</v>
      </c>
      <c r="Q7" s="19">
        <v>1E-3</v>
      </c>
      <c r="R7" s="19">
        <v>1E-3</v>
      </c>
      <c r="S7" s="19">
        <v>1E-3</v>
      </c>
      <c r="T7" s="19">
        <v>1E-3</v>
      </c>
      <c r="U7" s="19">
        <v>1E-3</v>
      </c>
      <c r="V7" s="19">
        <v>1E-3</v>
      </c>
      <c r="W7" s="19">
        <v>4.0000000000000001E-3</v>
      </c>
      <c r="X7" s="19">
        <v>2E-3</v>
      </c>
      <c r="Y7" s="19">
        <v>3.0000000000000001E-3</v>
      </c>
      <c r="Z7" s="19">
        <v>5.0000000000000001E-3</v>
      </c>
      <c r="AA7" s="19">
        <v>2E-3</v>
      </c>
      <c r="AB7" s="19"/>
    </row>
    <row r="8" spans="1:28">
      <c r="C8" s="20">
        <v>2.81</v>
      </c>
      <c r="D8" s="17">
        <v>0.15</v>
      </c>
      <c r="E8" s="2">
        <v>535</v>
      </c>
      <c r="F8" s="19">
        <v>1E-3</v>
      </c>
      <c r="G8" s="19">
        <v>1E-3</v>
      </c>
      <c r="H8" s="19">
        <v>2E-3</v>
      </c>
      <c r="I8" s="19">
        <v>3.0000000000000001E-3</v>
      </c>
      <c r="J8" s="19">
        <v>3.0000000000000001E-3</v>
      </c>
      <c r="K8" s="19">
        <v>2E-3</v>
      </c>
      <c r="L8" s="19">
        <v>2E-3</v>
      </c>
      <c r="M8" s="19">
        <v>2E-3</v>
      </c>
      <c r="N8" s="19">
        <v>2E-3</v>
      </c>
      <c r="O8" s="19">
        <v>2E-3</v>
      </c>
      <c r="P8" s="19">
        <v>2E-3</v>
      </c>
      <c r="Q8" s="19">
        <v>1E-3</v>
      </c>
      <c r="R8" s="19">
        <v>1E-3</v>
      </c>
      <c r="S8" s="19">
        <v>1E-3</v>
      </c>
      <c r="T8" s="19">
        <v>1E-3</v>
      </c>
      <c r="U8" s="19">
        <v>1E-3</v>
      </c>
      <c r="V8" s="19">
        <v>1E-3</v>
      </c>
      <c r="W8" s="19">
        <v>4.0000000000000001E-3</v>
      </c>
      <c r="X8" s="19">
        <v>2E-3</v>
      </c>
      <c r="Y8" s="19">
        <v>3.0000000000000001E-3</v>
      </c>
      <c r="Z8" s="19">
        <v>5.0000000000000001E-3</v>
      </c>
      <c r="AA8" s="19">
        <v>2E-3</v>
      </c>
      <c r="AB8" s="19"/>
    </row>
    <row r="9" spans="1:28">
      <c r="C9" s="20">
        <v>2.81</v>
      </c>
      <c r="D9" s="17">
        <v>0.15</v>
      </c>
      <c r="E9" s="2">
        <v>537</v>
      </c>
      <c r="F9" s="19">
        <v>1E-3</v>
      </c>
      <c r="G9" s="19">
        <v>1E-3</v>
      </c>
      <c r="H9" s="19">
        <v>2E-3</v>
      </c>
      <c r="I9" s="19">
        <v>3.0000000000000001E-3</v>
      </c>
      <c r="J9" s="19">
        <v>3.0000000000000001E-3</v>
      </c>
      <c r="K9" s="19">
        <v>2E-3</v>
      </c>
      <c r="L9" s="19">
        <v>2E-3</v>
      </c>
      <c r="M9" s="19">
        <v>2E-3</v>
      </c>
      <c r="N9" s="19">
        <v>2E-3</v>
      </c>
      <c r="O9" s="19">
        <v>2E-3</v>
      </c>
      <c r="P9" s="19">
        <v>2E-3</v>
      </c>
      <c r="Q9" s="19">
        <v>1E-3</v>
      </c>
      <c r="R9" s="19">
        <v>1E-3</v>
      </c>
      <c r="S9" s="19">
        <v>1E-3</v>
      </c>
      <c r="T9" s="19">
        <v>1E-3</v>
      </c>
      <c r="U9" s="19">
        <v>1E-3</v>
      </c>
      <c r="V9" s="19">
        <v>1E-3</v>
      </c>
      <c r="W9" s="19">
        <v>4.0000000000000001E-3</v>
      </c>
      <c r="X9" s="19">
        <v>2E-3</v>
      </c>
      <c r="Y9" s="19">
        <v>3.0000000000000001E-3</v>
      </c>
      <c r="Z9" s="19">
        <v>5.0000000000000001E-3</v>
      </c>
      <c r="AA9" s="19">
        <v>2E-3</v>
      </c>
      <c r="AB9" s="19"/>
    </row>
    <row r="10" spans="1:28">
      <c r="C10" s="20">
        <v>2.81</v>
      </c>
      <c r="D10" s="17">
        <v>0.15</v>
      </c>
      <c r="E10" s="2">
        <v>539</v>
      </c>
      <c r="F10" s="19">
        <v>1E-3</v>
      </c>
      <c r="G10" s="19">
        <v>1E-3</v>
      </c>
      <c r="H10" s="19">
        <v>2E-3</v>
      </c>
      <c r="I10" s="19">
        <v>3.0000000000000001E-3</v>
      </c>
      <c r="J10" s="19">
        <v>3.0000000000000001E-3</v>
      </c>
      <c r="K10" s="19">
        <v>2E-3</v>
      </c>
      <c r="L10" s="19">
        <v>2E-3</v>
      </c>
      <c r="M10" s="19">
        <v>2E-3</v>
      </c>
      <c r="N10" s="19">
        <v>2E-3</v>
      </c>
      <c r="O10" s="19">
        <v>2E-3</v>
      </c>
      <c r="P10" s="19">
        <v>2E-3</v>
      </c>
      <c r="Q10" s="19">
        <v>1E-3</v>
      </c>
      <c r="R10" s="19">
        <v>1E-3</v>
      </c>
      <c r="S10" s="19">
        <v>1E-3</v>
      </c>
      <c r="T10" s="19">
        <v>1E-3</v>
      </c>
      <c r="U10" s="19">
        <v>1E-3</v>
      </c>
      <c r="V10" s="19">
        <v>1E-3</v>
      </c>
      <c r="W10" s="19">
        <v>4.0000000000000001E-3</v>
      </c>
      <c r="X10" s="19">
        <v>2E-3</v>
      </c>
      <c r="Y10" s="19">
        <v>3.0000000000000001E-3</v>
      </c>
      <c r="Z10" s="19">
        <v>5.0000000000000001E-3</v>
      </c>
      <c r="AA10" s="19">
        <v>2E-3</v>
      </c>
      <c r="AB10" s="19"/>
    </row>
    <row r="11" spans="1:28">
      <c r="C11" s="20">
        <v>2.81</v>
      </c>
      <c r="D11" s="17">
        <v>0.15</v>
      </c>
      <c r="E11" s="2">
        <v>540</v>
      </c>
      <c r="F11" s="19">
        <v>1E-3</v>
      </c>
      <c r="G11" s="19">
        <v>1E-3</v>
      </c>
      <c r="H11" s="19">
        <v>2E-3</v>
      </c>
      <c r="I11" s="19">
        <v>3.0000000000000001E-3</v>
      </c>
      <c r="J11" s="19">
        <v>3.0000000000000001E-3</v>
      </c>
      <c r="K11" s="19">
        <v>2E-3</v>
      </c>
      <c r="L11" s="19">
        <v>2E-3</v>
      </c>
      <c r="M11" s="19">
        <v>2E-3</v>
      </c>
      <c r="N11" s="19">
        <v>2E-3</v>
      </c>
      <c r="O11" s="19">
        <v>2E-3</v>
      </c>
      <c r="P11" s="19">
        <v>2E-3</v>
      </c>
      <c r="Q11" s="19">
        <v>1E-3</v>
      </c>
      <c r="R11" s="19">
        <v>1E-3</v>
      </c>
      <c r="S11" s="19">
        <v>1E-3</v>
      </c>
      <c r="T11" s="19">
        <v>1E-3</v>
      </c>
      <c r="U11" s="19">
        <v>1E-3</v>
      </c>
      <c r="V11" s="19">
        <v>1E-3</v>
      </c>
      <c r="W11" s="19">
        <v>4.0000000000000001E-3</v>
      </c>
      <c r="X11" s="19">
        <v>2E-3</v>
      </c>
      <c r="Y11" s="19">
        <v>3.0000000000000001E-3</v>
      </c>
      <c r="Z11" s="19">
        <v>5.0000000000000001E-3</v>
      </c>
      <c r="AA11" s="19">
        <v>2E-3</v>
      </c>
      <c r="AB11" s="19"/>
    </row>
    <row r="12" spans="1:28">
      <c r="C12" s="20">
        <v>2.81</v>
      </c>
      <c r="D12" s="17">
        <v>0.15</v>
      </c>
      <c r="E12" s="2">
        <v>541</v>
      </c>
      <c r="F12" s="19">
        <v>1E-3</v>
      </c>
      <c r="G12" s="19">
        <v>1E-3</v>
      </c>
      <c r="H12" s="19">
        <v>2E-3</v>
      </c>
      <c r="I12" s="19">
        <v>3.0000000000000001E-3</v>
      </c>
      <c r="J12" s="19">
        <v>3.0000000000000001E-3</v>
      </c>
      <c r="K12" s="19">
        <v>2E-3</v>
      </c>
      <c r="L12" s="19">
        <v>2E-3</v>
      </c>
      <c r="M12" s="19">
        <v>2E-3</v>
      </c>
      <c r="N12" s="19">
        <v>2E-3</v>
      </c>
      <c r="O12" s="19">
        <v>2E-3</v>
      </c>
      <c r="P12" s="19">
        <v>2E-3</v>
      </c>
      <c r="Q12" s="19">
        <v>1E-3</v>
      </c>
      <c r="R12" s="19">
        <v>1E-3</v>
      </c>
      <c r="S12" s="19">
        <v>1E-3</v>
      </c>
      <c r="T12" s="19">
        <v>1E-3</v>
      </c>
      <c r="U12" s="19">
        <v>1E-3</v>
      </c>
      <c r="V12" s="19">
        <v>1E-3</v>
      </c>
      <c r="W12" s="19">
        <v>4.0000000000000001E-3</v>
      </c>
      <c r="X12" s="19">
        <v>2E-3</v>
      </c>
      <c r="Y12" s="19">
        <v>3.0000000000000001E-3</v>
      </c>
      <c r="Z12" s="19">
        <v>5.0000000000000001E-3</v>
      </c>
      <c r="AA12" s="19">
        <v>2E-3</v>
      </c>
      <c r="AB12" s="19"/>
    </row>
    <row r="13" spans="1:28">
      <c r="C13" s="20">
        <v>2.81</v>
      </c>
      <c r="D13" s="17">
        <v>0.15</v>
      </c>
      <c r="E13" s="2">
        <v>542</v>
      </c>
      <c r="F13" s="19">
        <v>1E-3</v>
      </c>
      <c r="G13" s="19">
        <v>1E-3</v>
      </c>
      <c r="H13" s="19">
        <v>2E-3</v>
      </c>
      <c r="I13" s="19">
        <v>3.0000000000000001E-3</v>
      </c>
      <c r="J13" s="19">
        <v>3.0000000000000001E-3</v>
      </c>
      <c r="K13" s="19">
        <v>2E-3</v>
      </c>
      <c r="L13" s="19">
        <v>2E-3</v>
      </c>
      <c r="M13" s="19">
        <v>2E-3</v>
      </c>
      <c r="N13" s="19">
        <v>2E-3</v>
      </c>
      <c r="O13" s="19">
        <v>2E-3</v>
      </c>
      <c r="P13" s="19">
        <v>2E-3</v>
      </c>
      <c r="Q13" s="19">
        <v>1E-3</v>
      </c>
      <c r="R13" s="19">
        <v>1E-3</v>
      </c>
      <c r="S13" s="19">
        <v>1E-3</v>
      </c>
      <c r="T13" s="19">
        <v>1E-3</v>
      </c>
      <c r="U13" s="19">
        <v>1E-3</v>
      </c>
      <c r="V13" s="19">
        <v>1E-3</v>
      </c>
      <c r="W13" s="19">
        <v>4.0000000000000001E-3</v>
      </c>
      <c r="X13" s="19">
        <v>2E-3</v>
      </c>
      <c r="Y13" s="19">
        <v>3.0000000000000001E-3</v>
      </c>
      <c r="Z13" s="19">
        <v>5.0000000000000001E-3</v>
      </c>
      <c r="AA13" s="19">
        <v>2E-3</v>
      </c>
      <c r="AB13" s="19"/>
    </row>
    <row r="14" spans="1:28">
      <c r="C14" s="20">
        <v>2.81</v>
      </c>
      <c r="D14" s="17">
        <v>0.15</v>
      </c>
      <c r="E14" s="2">
        <v>547</v>
      </c>
      <c r="F14" s="19">
        <v>1E-3</v>
      </c>
      <c r="G14" s="19">
        <v>1E-3</v>
      </c>
      <c r="H14" s="19">
        <v>2E-3</v>
      </c>
      <c r="I14" s="19">
        <v>3.0000000000000001E-3</v>
      </c>
      <c r="J14" s="19">
        <v>3.0000000000000001E-3</v>
      </c>
      <c r="K14" s="19">
        <v>2E-3</v>
      </c>
      <c r="L14" s="19">
        <v>2E-3</v>
      </c>
      <c r="M14" s="19">
        <v>2E-3</v>
      </c>
      <c r="N14" s="19">
        <v>2E-3</v>
      </c>
      <c r="O14" s="19">
        <v>2E-3</v>
      </c>
      <c r="P14" s="19">
        <v>2E-3</v>
      </c>
      <c r="Q14" s="19">
        <v>1E-3</v>
      </c>
      <c r="R14" s="19">
        <v>1E-3</v>
      </c>
      <c r="S14" s="19">
        <v>1E-3</v>
      </c>
      <c r="T14" s="19">
        <v>1E-3</v>
      </c>
      <c r="U14" s="19">
        <v>1E-3</v>
      </c>
      <c r="V14" s="19">
        <v>1E-3</v>
      </c>
      <c r="W14" s="19">
        <v>4.0000000000000001E-3</v>
      </c>
      <c r="X14" s="19">
        <v>2E-3</v>
      </c>
      <c r="Y14" s="19">
        <v>3.0000000000000001E-3</v>
      </c>
      <c r="Z14" s="19">
        <v>5.0000000000000001E-3</v>
      </c>
      <c r="AA14" s="19">
        <v>2E-3</v>
      </c>
      <c r="AB14" s="19"/>
    </row>
    <row r="15" spans="1:28">
      <c r="C15" s="20">
        <v>2.81</v>
      </c>
      <c r="D15" s="17">
        <v>0.15</v>
      </c>
      <c r="E15" s="2">
        <v>548</v>
      </c>
      <c r="F15" s="19">
        <v>1E-3</v>
      </c>
      <c r="G15" s="19">
        <v>1E-3</v>
      </c>
      <c r="H15" s="19">
        <v>2E-3</v>
      </c>
      <c r="I15" s="19">
        <v>3.0000000000000001E-3</v>
      </c>
      <c r="J15" s="19">
        <v>3.0000000000000001E-3</v>
      </c>
      <c r="K15" s="19">
        <v>2E-3</v>
      </c>
      <c r="L15" s="19">
        <v>2E-3</v>
      </c>
      <c r="M15" s="19">
        <v>2E-3</v>
      </c>
      <c r="N15" s="19">
        <v>2E-3</v>
      </c>
      <c r="O15" s="19">
        <v>2E-3</v>
      </c>
      <c r="P15" s="19">
        <v>2E-3</v>
      </c>
      <c r="Q15" s="19">
        <v>1E-3</v>
      </c>
      <c r="R15" s="19">
        <v>1E-3</v>
      </c>
      <c r="S15" s="19">
        <v>1E-3</v>
      </c>
      <c r="T15" s="19">
        <v>1E-3</v>
      </c>
      <c r="U15" s="19">
        <v>1E-3</v>
      </c>
      <c r="V15" s="19">
        <v>1E-3</v>
      </c>
      <c r="W15" s="19">
        <v>4.0000000000000001E-3</v>
      </c>
      <c r="X15" s="19">
        <v>2E-3</v>
      </c>
      <c r="Y15" s="19">
        <v>3.0000000000000001E-3</v>
      </c>
      <c r="Z15" s="19">
        <v>5.0000000000000001E-3</v>
      </c>
      <c r="AA15" s="19">
        <v>2E-3</v>
      </c>
      <c r="AB15" s="19"/>
    </row>
    <row r="16" spans="1:28">
      <c r="C16" s="20">
        <v>2.81</v>
      </c>
      <c r="D16" s="17">
        <v>0.15</v>
      </c>
      <c r="E16" s="2">
        <v>549</v>
      </c>
      <c r="F16" s="19">
        <v>1E-3</v>
      </c>
      <c r="G16" s="19">
        <v>1E-3</v>
      </c>
      <c r="H16" s="19">
        <v>2E-3</v>
      </c>
      <c r="I16" s="19">
        <v>3.0000000000000001E-3</v>
      </c>
      <c r="J16" s="19">
        <v>3.0000000000000001E-3</v>
      </c>
      <c r="K16" s="19">
        <v>2E-3</v>
      </c>
      <c r="L16" s="19">
        <v>2E-3</v>
      </c>
      <c r="M16" s="19">
        <v>2E-3</v>
      </c>
      <c r="N16" s="19">
        <v>2E-3</v>
      </c>
      <c r="O16" s="19">
        <v>2E-3</v>
      </c>
      <c r="P16" s="19">
        <v>2E-3</v>
      </c>
      <c r="Q16" s="19">
        <v>1E-3</v>
      </c>
      <c r="R16" s="19">
        <v>1E-3</v>
      </c>
      <c r="S16" s="19">
        <v>1E-3</v>
      </c>
      <c r="T16" s="19">
        <v>1E-3</v>
      </c>
      <c r="U16" s="19">
        <v>1E-3</v>
      </c>
      <c r="V16" s="19">
        <v>1E-3</v>
      </c>
      <c r="W16" s="19">
        <v>4.0000000000000001E-3</v>
      </c>
      <c r="X16" s="19">
        <v>2E-3</v>
      </c>
      <c r="Y16" s="19">
        <v>3.0000000000000001E-3</v>
      </c>
      <c r="Z16" s="19">
        <v>5.0000000000000001E-3</v>
      </c>
      <c r="AA16" s="19">
        <v>2E-3</v>
      </c>
      <c r="AB16" s="19"/>
    </row>
    <row r="17" spans="3:28">
      <c r="C17" s="20">
        <v>2.81</v>
      </c>
      <c r="D17" s="17">
        <v>0.15</v>
      </c>
      <c r="E17" s="2">
        <v>1055</v>
      </c>
      <c r="F17" s="19">
        <v>1E-3</v>
      </c>
      <c r="G17" s="19">
        <v>1E-3</v>
      </c>
      <c r="H17" s="19">
        <v>1E-3</v>
      </c>
      <c r="I17" s="19">
        <v>2E-3</v>
      </c>
      <c r="J17" s="19">
        <v>2E-3</v>
      </c>
      <c r="K17" s="19">
        <v>1E-3</v>
      </c>
      <c r="L17" s="19">
        <v>1E-3</v>
      </c>
      <c r="M17" s="19">
        <v>1E-3</v>
      </c>
      <c r="N17" s="19">
        <v>1E-3</v>
      </c>
      <c r="O17" s="19">
        <v>1E-3</v>
      </c>
      <c r="P17" s="19">
        <v>1E-3</v>
      </c>
      <c r="Q17" s="19">
        <v>1E-3</v>
      </c>
      <c r="R17" s="19">
        <v>1E-3</v>
      </c>
      <c r="S17" s="19">
        <v>1E-3</v>
      </c>
      <c r="T17" s="19">
        <v>1E-3</v>
      </c>
      <c r="U17" s="19">
        <v>1E-3</v>
      </c>
      <c r="V17" s="19">
        <v>1E-3</v>
      </c>
      <c r="W17" s="19">
        <v>2E-3</v>
      </c>
      <c r="X17" s="19">
        <v>1E-3</v>
      </c>
      <c r="Y17" s="19">
        <v>1E-3</v>
      </c>
      <c r="Z17" s="19">
        <v>2E-3</v>
      </c>
      <c r="AA17" s="19">
        <v>1E-3</v>
      </c>
      <c r="AB17" s="19"/>
    </row>
    <row r="18" spans="3:28">
      <c r="C18" s="20">
        <v>2.81</v>
      </c>
      <c r="D18" s="17">
        <v>0.15</v>
      </c>
      <c r="E18" s="2">
        <v>1060</v>
      </c>
      <c r="F18" s="19">
        <v>1E-3</v>
      </c>
      <c r="G18" s="19">
        <v>1E-3</v>
      </c>
      <c r="H18" s="19">
        <v>1E-3</v>
      </c>
      <c r="I18" s="19">
        <v>2E-3</v>
      </c>
      <c r="J18" s="19">
        <v>2E-3</v>
      </c>
      <c r="K18" s="19">
        <v>1E-3</v>
      </c>
      <c r="L18" s="19">
        <v>1E-3</v>
      </c>
      <c r="M18" s="19">
        <v>1E-3</v>
      </c>
      <c r="N18" s="19">
        <v>1E-3</v>
      </c>
      <c r="O18" s="19">
        <v>1E-3</v>
      </c>
      <c r="P18" s="19">
        <v>1E-3</v>
      </c>
      <c r="Q18" s="19">
        <v>1E-3</v>
      </c>
      <c r="R18" s="19">
        <v>1E-3</v>
      </c>
      <c r="S18" s="19">
        <v>1E-3</v>
      </c>
      <c r="T18" s="19">
        <v>1E-3</v>
      </c>
      <c r="U18" s="19">
        <v>1E-3</v>
      </c>
      <c r="V18" s="19">
        <v>1E-3</v>
      </c>
      <c r="W18" s="19">
        <v>2E-3</v>
      </c>
      <c r="X18" s="19">
        <v>1E-3</v>
      </c>
      <c r="Y18" s="19">
        <v>1E-3</v>
      </c>
      <c r="Z18" s="19">
        <v>2E-3</v>
      </c>
      <c r="AA18" s="19">
        <v>1E-3</v>
      </c>
      <c r="AB18" s="19"/>
    </row>
    <row r="19" spans="3:28">
      <c r="C19" s="20">
        <v>2.81</v>
      </c>
      <c r="D19" s="17">
        <v>0.15</v>
      </c>
      <c r="E19" s="2">
        <v>1065</v>
      </c>
      <c r="F19" s="19">
        <v>1E-3</v>
      </c>
      <c r="G19" s="19">
        <v>1E-3</v>
      </c>
      <c r="H19" s="19">
        <v>1E-3</v>
      </c>
      <c r="I19" s="19">
        <v>2E-3</v>
      </c>
      <c r="J19" s="19">
        <v>2E-3</v>
      </c>
      <c r="K19" s="19">
        <v>1E-3</v>
      </c>
      <c r="L19" s="19">
        <v>1E-3</v>
      </c>
      <c r="M19" s="19">
        <v>1E-3</v>
      </c>
      <c r="N19" s="19">
        <v>1E-3</v>
      </c>
      <c r="O19" s="19">
        <v>1E-3</v>
      </c>
      <c r="P19" s="19">
        <v>1E-3</v>
      </c>
      <c r="Q19" s="19">
        <v>1E-3</v>
      </c>
      <c r="R19" s="19">
        <v>1E-3</v>
      </c>
      <c r="S19" s="19">
        <v>1E-3</v>
      </c>
      <c r="T19" s="19">
        <v>1E-3</v>
      </c>
      <c r="U19" s="19">
        <v>1E-3</v>
      </c>
      <c r="V19" s="19">
        <v>1E-3</v>
      </c>
      <c r="W19" s="19">
        <v>2E-3</v>
      </c>
      <c r="X19" s="19">
        <v>1E-3</v>
      </c>
      <c r="Y19" s="19">
        <v>1E-3</v>
      </c>
      <c r="Z19" s="19">
        <v>2E-3</v>
      </c>
      <c r="AA19" s="19">
        <v>1E-3</v>
      </c>
      <c r="AB19" s="19"/>
    </row>
  </sheetData>
  <phoneticPr fontId="2" type="noConversion"/>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1"/>
  <sheetViews>
    <sheetView workbookViewId="0"/>
  </sheetViews>
  <sheetFormatPr defaultRowHeight="12.75"/>
  <cols>
    <col min="1" max="1" width="11.42578125" style="1" customWidth="1"/>
    <col min="2" max="2" width="15.5703125" style="1" customWidth="1"/>
    <col min="3" max="3" width="10.140625" style="1" customWidth="1"/>
    <col min="4" max="4" width="9" style="1" customWidth="1"/>
    <col min="5" max="5" width="6.42578125" style="1" customWidth="1"/>
    <col min="6" max="6" width="7.5703125" style="1" customWidth="1"/>
    <col min="7" max="7" width="11.28515625" style="1" customWidth="1"/>
    <col min="8" max="8" width="13.7109375" style="1" customWidth="1"/>
    <col min="9" max="9" width="7.85546875" style="124" customWidth="1"/>
    <col min="10" max="10" width="7.5703125" style="1" customWidth="1"/>
    <col min="11" max="11" width="15" style="1" customWidth="1"/>
    <col min="12" max="12" width="8.5703125" style="1" customWidth="1"/>
    <col min="13" max="13" width="7.140625" style="1" customWidth="1"/>
    <col min="14" max="14" width="5.5703125" style="1" customWidth="1"/>
    <col min="15" max="15" width="10" style="1" customWidth="1"/>
    <col min="16" max="16" width="8.140625" style="1" customWidth="1"/>
    <col min="17" max="17" width="9.42578125" style="1" customWidth="1"/>
    <col min="18" max="18" width="9.28515625" style="1" customWidth="1"/>
    <col min="19" max="19" width="7.140625" style="1" customWidth="1"/>
    <col min="20" max="20" width="9.42578125" style="1" customWidth="1"/>
    <col min="21" max="23" width="11.42578125" style="1" customWidth="1"/>
    <col min="24" max="1023" width="11.42578125" customWidth="1"/>
  </cols>
  <sheetData>
    <row r="1" spans="1:23" s="111" customFormat="1" ht="15.75">
      <c r="A1" s="108" t="s">
        <v>208</v>
      </c>
      <c r="B1" s="109"/>
      <c r="C1" s="109"/>
      <c r="D1" s="109"/>
      <c r="E1" s="109"/>
      <c r="F1" s="109"/>
      <c r="G1" s="109"/>
      <c r="H1" s="109"/>
      <c r="I1" s="110"/>
      <c r="J1" s="109"/>
      <c r="K1" s="109"/>
      <c r="L1" s="109"/>
      <c r="M1" s="109"/>
      <c r="N1" s="109"/>
      <c r="O1" s="109"/>
      <c r="P1" s="109"/>
      <c r="Q1" s="109"/>
      <c r="R1" s="109"/>
      <c r="S1" s="109"/>
      <c r="T1" s="109"/>
      <c r="U1" s="109"/>
      <c r="V1" s="109"/>
      <c r="W1" s="109"/>
    </row>
    <row r="2" spans="1:23">
      <c r="A2" s="112" t="s">
        <v>209</v>
      </c>
      <c r="I2" s="113" t="s">
        <v>157</v>
      </c>
      <c r="J2" s="114"/>
      <c r="K2" s="114"/>
      <c r="L2" s="114"/>
      <c r="M2" s="115"/>
    </row>
    <row r="3" spans="1:23">
      <c r="A3" s="112"/>
      <c r="I3" s="113" t="s">
        <v>158</v>
      </c>
      <c r="J3" s="114"/>
      <c r="K3" s="114"/>
      <c r="L3" s="114"/>
      <c r="M3" s="116"/>
    </row>
    <row r="4" spans="1:23">
      <c r="A4" s="112"/>
      <c r="I4" s="117" t="s">
        <v>161</v>
      </c>
      <c r="J4" s="118"/>
      <c r="K4" s="118"/>
      <c r="L4" s="119"/>
      <c r="M4" s="115"/>
    </row>
    <row r="5" spans="1:23" s="123" customFormat="1" ht="11.25">
      <c r="A5" s="120" t="s">
        <v>159</v>
      </c>
      <c r="B5" s="121">
        <v>44135</v>
      </c>
      <c r="C5" s="120" t="s">
        <v>160</v>
      </c>
      <c r="D5" s="122"/>
      <c r="E5" s="122"/>
      <c r="F5" s="122"/>
      <c r="G5" s="122"/>
      <c r="N5" s="122"/>
      <c r="O5" s="122"/>
      <c r="P5" s="122"/>
      <c r="Q5" s="122"/>
      <c r="R5" s="122"/>
      <c r="S5" s="122"/>
      <c r="T5" s="122"/>
      <c r="U5" s="122"/>
      <c r="V5" s="122"/>
      <c r="W5" s="122"/>
    </row>
    <row r="6" spans="1:23">
      <c r="J6" s="164" t="s">
        <v>510</v>
      </c>
    </row>
    <row r="7" spans="1:23" ht="18">
      <c r="A7" s="125" t="s">
        <v>162</v>
      </c>
      <c r="P7" s="126"/>
      <c r="Q7" s="18"/>
      <c r="R7" s="18"/>
    </row>
    <row r="8" spans="1:23" ht="16.5" customHeight="1">
      <c r="A8" s="127" t="s">
        <v>163</v>
      </c>
    </row>
    <row r="9" spans="1:23" ht="16.5" customHeight="1">
      <c r="A9" s="127"/>
      <c r="B9" s="112" t="s">
        <v>164</v>
      </c>
    </row>
    <row r="10" spans="1:23" ht="16.5" customHeight="1">
      <c r="A10" s="127"/>
      <c r="B10" s="112" t="s">
        <v>210</v>
      </c>
    </row>
    <row r="11" spans="1:23" ht="16.5" customHeight="1">
      <c r="A11" s="127" t="s">
        <v>211</v>
      </c>
      <c r="P11" s="126"/>
      <c r="Q11" s="18"/>
      <c r="R11" s="18"/>
    </row>
    <row r="12" spans="1:23" ht="16.5" customHeight="1">
      <c r="A12" s="127" t="s">
        <v>212</v>
      </c>
      <c r="P12" s="126"/>
      <c r="Q12" s="18"/>
      <c r="R12" s="18"/>
    </row>
    <row r="13" spans="1:23" s="132" customFormat="1" ht="20.25" customHeight="1">
      <c r="A13" s="127" t="s">
        <v>213</v>
      </c>
      <c r="B13" s="128"/>
      <c r="C13" s="128"/>
      <c r="D13" s="128"/>
      <c r="E13" s="128"/>
      <c r="F13" s="128"/>
      <c r="G13" s="128"/>
      <c r="H13" s="128"/>
      <c r="I13" s="129"/>
      <c r="J13" s="128"/>
      <c r="K13" s="128"/>
      <c r="L13" s="128"/>
      <c r="M13" s="128"/>
      <c r="N13" s="128"/>
      <c r="O13" s="128"/>
      <c r="P13" s="130"/>
      <c r="Q13" s="131"/>
      <c r="R13" s="131"/>
      <c r="S13" s="128"/>
      <c r="T13" s="128"/>
      <c r="U13" s="128"/>
      <c r="V13" s="128"/>
      <c r="W13" s="128"/>
    </row>
    <row r="14" spans="1:23" s="138" customFormat="1" ht="19.5" customHeight="1">
      <c r="A14" s="133" t="s">
        <v>214</v>
      </c>
      <c r="B14" s="134"/>
      <c r="C14" s="134"/>
      <c r="D14" s="134"/>
      <c r="E14" s="134"/>
      <c r="F14" s="134"/>
      <c r="G14" s="134"/>
      <c r="H14" s="134"/>
      <c r="I14" s="135"/>
      <c r="J14" s="134"/>
      <c r="K14" s="134"/>
      <c r="L14" s="134"/>
      <c r="M14" s="134"/>
      <c r="N14" s="134"/>
      <c r="O14" s="134"/>
      <c r="P14" s="136"/>
      <c r="Q14" s="137"/>
      <c r="R14" s="137"/>
      <c r="S14" s="134"/>
      <c r="T14" s="134"/>
      <c r="U14" s="134"/>
      <c r="V14" s="134"/>
      <c r="W14" s="134"/>
    </row>
    <row r="15" spans="1:23" s="138" customFormat="1" ht="19.5" customHeight="1">
      <c r="A15" s="133" t="s">
        <v>215</v>
      </c>
      <c r="B15" s="134"/>
      <c r="C15" s="134"/>
      <c r="D15" s="134"/>
      <c r="E15" s="134"/>
      <c r="F15" s="134"/>
      <c r="G15" s="134"/>
      <c r="H15" s="134"/>
      <c r="I15" s="135"/>
      <c r="J15" s="134"/>
      <c r="K15" s="134"/>
      <c r="L15" s="134"/>
      <c r="M15" s="134"/>
      <c r="N15" s="134"/>
      <c r="O15" s="134"/>
      <c r="P15" s="136"/>
      <c r="Q15" s="137"/>
      <c r="R15" s="137"/>
      <c r="S15" s="134"/>
      <c r="T15" s="134"/>
      <c r="U15" s="134"/>
      <c r="V15" s="134"/>
      <c r="W15" s="134"/>
    </row>
    <row r="16" spans="1:23" s="138" customFormat="1" ht="19.5" customHeight="1">
      <c r="A16" s="134"/>
      <c r="B16" s="134"/>
      <c r="C16" s="134"/>
      <c r="D16" s="134"/>
      <c r="E16" s="134"/>
      <c r="F16" s="134"/>
      <c r="G16" s="134"/>
      <c r="H16" s="134"/>
      <c r="I16" s="135"/>
      <c r="J16" s="134"/>
      <c r="K16" s="134"/>
      <c r="L16" s="134"/>
      <c r="M16" s="134"/>
      <c r="N16" s="134"/>
      <c r="O16" s="134"/>
      <c r="P16" s="136"/>
      <c r="S16" s="134"/>
      <c r="T16" s="134"/>
      <c r="U16" s="134"/>
      <c r="V16" s="134"/>
      <c r="W16" s="134"/>
    </row>
    <row r="17" spans="1:23" s="139" customFormat="1" ht="114.75">
      <c r="B17" s="139" t="s">
        <v>216</v>
      </c>
      <c r="C17" s="163" t="s">
        <v>259</v>
      </c>
      <c r="D17" s="139" t="s">
        <v>165</v>
      </c>
      <c r="E17" s="139" t="s">
        <v>166</v>
      </c>
      <c r="F17" s="139" t="s">
        <v>217</v>
      </c>
      <c r="H17" s="139" t="s">
        <v>218</v>
      </c>
      <c r="I17" s="140" t="s">
        <v>219</v>
      </c>
      <c r="J17" s="139" t="s">
        <v>220</v>
      </c>
      <c r="L17" s="139" t="s">
        <v>221</v>
      </c>
      <c r="M17" s="139" t="s">
        <v>222</v>
      </c>
      <c r="N17" s="141" t="s">
        <v>223</v>
      </c>
      <c r="O17" s="141" t="s">
        <v>224</v>
      </c>
      <c r="P17" s="139" t="s">
        <v>225</v>
      </c>
      <c r="Q17" s="142" t="s">
        <v>226</v>
      </c>
      <c r="R17" s="142" t="s">
        <v>227</v>
      </c>
      <c r="U17" s="139" t="s">
        <v>167</v>
      </c>
    </row>
    <row r="18" spans="1:23" s="143" customFormat="1" ht="76.5">
      <c r="A18" s="143" t="s">
        <v>193</v>
      </c>
      <c r="B18" s="144" t="s">
        <v>168</v>
      </c>
      <c r="C18" s="143" t="s">
        <v>228</v>
      </c>
      <c r="D18" s="143" t="s">
        <v>229</v>
      </c>
      <c r="E18" s="144" t="s">
        <v>230</v>
      </c>
      <c r="F18" s="143" t="s">
        <v>231</v>
      </c>
      <c r="G18" s="143" t="s">
        <v>232</v>
      </c>
      <c r="H18" s="143" t="s">
        <v>233</v>
      </c>
      <c r="I18" s="145" t="s">
        <v>234</v>
      </c>
      <c r="J18" s="143" t="s">
        <v>235</v>
      </c>
      <c r="K18" s="143" t="s">
        <v>236</v>
      </c>
      <c r="L18" s="143" t="s">
        <v>237</v>
      </c>
      <c r="M18" s="143" t="s">
        <v>238</v>
      </c>
      <c r="N18" s="143" t="s">
        <v>239</v>
      </c>
      <c r="O18" s="143" t="s">
        <v>240</v>
      </c>
      <c r="P18" s="146" t="s">
        <v>241</v>
      </c>
      <c r="Q18" s="147" t="s">
        <v>242</v>
      </c>
      <c r="R18" s="147" t="s">
        <v>243</v>
      </c>
      <c r="S18" s="143" t="s">
        <v>244</v>
      </c>
      <c r="T18" s="143" t="s">
        <v>245</v>
      </c>
      <c r="U18" s="143" t="s">
        <v>260</v>
      </c>
      <c r="V18" s="143" t="s">
        <v>169</v>
      </c>
      <c r="W18" s="143" t="s">
        <v>169</v>
      </c>
    </row>
    <row r="19" spans="1:23" ht="14.25">
      <c r="A19" s="180" t="s">
        <v>271</v>
      </c>
      <c r="B19" s="165" t="s">
        <v>511</v>
      </c>
      <c r="C19" s="165" t="s">
        <v>519</v>
      </c>
      <c r="D19" s="165" t="s">
        <v>513</v>
      </c>
      <c r="E19" s="165" t="s">
        <v>170</v>
      </c>
      <c r="F19" s="165">
        <v>540</v>
      </c>
      <c r="G19" s="165">
        <v>2</v>
      </c>
      <c r="H19" s="165">
        <v>11</v>
      </c>
      <c r="I19" s="165">
        <v>32</v>
      </c>
      <c r="J19" s="165">
        <v>77</v>
      </c>
      <c r="K19" s="166" t="s">
        <v>514</v>
      </c>
      <c r="L19" s="165">
        <v>2024</v>
      </c>
      <c r="M19" s="165" t="s">
        <v>171</v>
      </c>
      <c r="N19" s="165">
        <v>10</v>
      </c>
      <c r="O19" s="165">
        <v>41</v>
      </c>
      <c r="P19" s="165" t="s">
        <v>520</v>
      </c>
      <c r="Q19" s="165">
        <v>-70.884</v>
      </c>
      <c r="R19" s="165">
        <v>40.51</v>
      </c>
      <c r="S19" s="165" t="s">
        <v>172</v>
      </c>
      <c r="T19" s="165">
        <v>25</v>
      </c>
      <c r="U19" s="166" t="s">
        <v>516</v>
      </c>
      <c r="V19" s="168" t="s">
        <v>521</v>
      </c>
    </row>
    <row r="20" spans="1:23" ht="14.25">
      <c r="A20" s="180" t="s">
        <v>272</v>
      </c>
      <c r="B20" s="165" t="s">
        <v>511</v>
      </c>
      <c r="C20" s="165" t="s">
        <v>522</v>
      </c>
      <c r="D20" s="165" t="s">
        <v>513</v>
      </c>
      <c r="E20" s="165" t="s">
        <v>170</v>
      </c>
      <c r="F20" s="165">
        <v>548</v>
      </c>
      <c r="G20" s="165">
        <v>2</v>
      </c>
      <c r="H20" s="165">
        <v>17</v>
      </c>
      <c r="I20" s="165">
        <v>3.8</v>
      </c>
      <c r="J20" s="165">
        <v>77</v>
      </c>
      <c r="K20" s="166" t="s">
        <v>514</v>
      </c>
      <c r="L20" s="165">
        <v>2024</v>
      </c>
      <c r="M20" s="165" t="s">
        <v>171</v>
      </c>
      <c r="N20" s="165">
        <v>10</v>
      </c>
      <c r="O20" s="165">
        <v>41</v>
      </c>
      <c r="P20" s="165" t="s">
        <v>523</v>
      </c>
      <c r="Q20" s="165">
        <v>-70.884</v>
      </c>
      <c r="R20" s="165">
        <v>40.51</v>
      </c>
      <c r="S20" s="165" t="s">
        <v>172</v>
      </c>
      <c r="T20" s="165">
        <v>25</v>
      </c>
      <c r="U20" s="166" t="s">
        <v>516</v>
      </c>
      <c r="V20" s="168" t="s">
        <v>521</v>
      </c>
    </row>
    <row r="21" spans="1:23">
      <c r="A21" s="180" t="s">
        <v>273</v>
      </c>
      <c r="B21" s="165" t="s">
        <v>511</v>
      </c>
      <c r="C21" s="165" t="s">
        <v>524</v>
      </c>
      <c r="D21" s="165" t="s">
        <v>513</v>
      </c>
      <c r="E21" s="165" t="s">
        <v>170</v>
      </c>
      <c r="F21" s="165">
        <v>547</v>
      </c>
      <c r="G21" s="165">
        <v>5</v>
      </c>
      <c r="H21" s="165">
        <v>10</v>
      </c>
      <c r="I21" s="165">
        <v>32.6</v>
      </c>
      <c r="J21" s="165">
        <v>94</v>
      </c>
      <c r="K21" s="166" t="s">
        <v>514</v>
      </c>
      <c r="L21" s="165">
        <v>2024</v>
      </c>
      <c r="M21" s="165" t="s">
        <v>171</v>
      </c>
      <c r="N21" s="165">
        <v>10</v>
      </c>
      <c r="O21" s="165">
        <v>41</v>
      </c>
      <c r="P21" s="165" t="s">
        <v>525</v>
      </c>
      <c r="Q21" s="165">
        <v>-70.884</v>
      </c>
      <c r="R21" s="165">
        <v>40.366</v>
      </c>
      <c r="S21" s="165" t="s">
        <v>172</v>
      </c>
      <c r="T21" s="165">
        <v>25</v>
      </c>
      <c r="U21" s="166" t="s">
        <v>516</v>
      </c>
      <c r="V21" s="167"/>
    </row>
    <row r="22" spans="1:23">
      <c r="A22" s="180" t="s">
        <v>274</v>
      </c>
      <c r="B22" s="165" t="s">
        <v>511</v>
      </c>
      <c r="C22" s="165" t="s">
        <v>526</v>
      </c>
      <c r="D22" s="165" t="s">
        <v>513</v>
      </c>
      <c r="E22" s="165" t="s">
        <v>170</v>
      </c>
      <c r="F22" s="165">
        <v>548</v>
      </c>
      <c r="G22" s="165">
        <v>5</v>
      </c>
      <c r="H22" s="165">
        <v>19</v>
      </c>
      <c r="I22" s="165">
        <v>3.2</v>
      </c>
      <c r="J22" s="165">
        <v>94</v>
      </c>
      <c r="K22" s="166" t="s">
        <v>514</v>
      </c>
      <c r="L22" s="165">
        <v>2024</v>
      </c>
      <c r="M22" s="165" t="s">
        <v>171</v>
      </c>
      <c r="N22" s="165">
        <v>10</v>
      </c>
      <c r="O22" s="165">
        <v>41</v>
      </c>
      <c r="P22" s="165" t="s">
        <v>527</v>
      </c>
      <c r="Q22" s="165">
        <v>-70.884</v>
      </c>
      <c r="R22" s="165">
        <v>40.366999999999997</v>
      </c>
      <c r="S22" s="165" t="s">
        <v>172</v>
      </c>
      <c r="T22" s="165">
        <v>25</v>
      </c>
      <c r="U22" s="166" t="s">
        <v>516</v>
      </c>
      <c r="V22" s="167"/>
    </row>
    <row r="23" spans="1:23">
      <c r="A23" s="180" t="s">
        <v>275</v>
      </c>
      <c r="B23" s="165" t="s">
        <v>511</v>
      </c>
      <c r="C23" s="165" t="s">
        <v>528</v>
      </c>
      <c r="D23" s="165" t="s">
        <v>513</v>
      </c>
      <c r="E23" s="165" t="s">
        <v>170</v>
      </c>
      <c r="F23" s="165">
        <v>549</v>
      </c>
      <c r="G23" s="165">
        <v>6</v>
      </c>
      <c r="H23" s="165">
        <v>3</v>
      </c>
      <c r="I23" s="165">
        <v>102.1</v>
      </c>
      <c r="J23" s="165">
        <v>124</v>
      </c>
      <c r="K23" s="166" t="s">
        <v>514</v>
      </c>
      <c r="L23" s="165">
        <v>2024</v>
      </c>
      <c r="M23" s="165" t="s">
        <v>171</v>
      </c>
      <c r="N23" s="165">
        <v>10</v>
      </c>
      <c r="O23" s="165">
        <v>41</v>
      </c>
      <c r="P23" s="165" t="s">
        <v>529</v>
      </c>
      <c r="Q23" s="165">
        <v>-70.884</v>
      </c>
      <c r="R23" s="165">
        <v>40.256</v>
      </c>
      <c r="S23" s="165" t="s">
        <v>172</v>
      </c>
      <c r="T23" s="165">
        <v>25</v>
      </c>
      <c r="U23" s="166" t="s">
        <v>516</v>
      </c>
      <c r="V23" s="167"/>
    </row>
    <row r="24" spans="1:23">
      <c r="A24" s="180" t="s">
        <v>276</v>
      </c>
      <c r="B24" s="165" t="s">
        <v>511</v>
      </c>
      <c r="C24" s="165" t="s">
        <v>530</v>
      </c>
      <c r="D24" s="165" t="s">
        <v>513</v>
      </c>
      <c r="E24" s="165" t="s">
        <v>173</v>
      </c>
      <c r="F24" s="165">
        <v>547</v>
      </c>
      <c r="G24" s="165">
        <v>6</v>
      </c>
      <c r="H24" s="165">
        <v>10</v>
      </c>
      <c r="I24" s="165">
        <v>55.3</v>
      </c>
      <c r="J24" s="165">
        <v>124</v>
      </c>
      <c r="K24" s="166" t="s">
        <v>514</v>
      </c>
      <c r="L24" s="165">
        <v>2024</v>
      </c>
      <c r="M24" s="165" t="s">
        <v>171</v>
      </c>
      <c r="N24" s="165">
        <v>10</v>
      </c>
      <c r="O24" s="165">
        <v>41</v>
      </c>
      <c r="P24" s="165" t="s">
        <v>531</v>
      </c>
      <c r="Q24" s="165">
        <v>-70.884</v>
      </c>
      <c r="R24" s="165">
        <v>40.256999999999998</v>
      </c>
      <c r="S24" s="165" t="s">
        <v>172</v>
      </c>
      <c r="T24" s="165">
        <v>25</v>
      </c>
      <c r="U24" s="166" t="s">
        <v>516</v>
      </c>
      <c r="V24" s="167"/>
    </row>
    <row r="25" spans="1:23">
      <c r="A25" s="180" t="s">
        <v>277</v>
      </c>
      <c r="B25" s="165" t="s">
        <v>511</v>
      </c>
      <c r="C25" s="165" t="s">
        <v>532</v>
      </c>
      <c r="D25" s="165" t="s">
        <v>513</v>
      </c>
      <c r="E25" s="165" t="s">
        <v>173</v>
      </c>
      <c r="F25" s="165">
        <v>547</v>
      </c>
      <c r="G25" s="165">
        <v>6</v>
      </c>
      <c r="H25" s="165">
        <v>10</v>
      </c>
      <c r="I25" s="165">
        <v>55.3</v>
      </c>
      <c r="J25" s="165">
        <v>124</v>
      </c>
      <c r="K25" s="166" t="s">
        <v>514</v>
      </c>
      <c r="L25" s="165">
        <v>2024</v>
      </c>
      <c r="M25" s="165" t="s">
        <v>171</v>
      </c>
      <c r="N25" s="165">
        <v>10</v>
      </c>
      <c r="O25" s="165">
        <v>41</v>
      </c>
      <c r="P25" s="165" t="s">
        <v>531</v>
      </c>
      <c r="Q25" s="165">
        <v>-70.884</v>
      </c>
      <c r="R25" s="165">
        <v>40.256999999999998</v>
      </c>
      <c r="S25" s="165" t="s">
        <v>172</v>
      </c>
      <c r="T25" s="165">
        <v>25</v>
      </c>
      <c r="U25" s="166" t="s">
        <v>516</v>
      </c>
      <c r="V25" s="167"/>
    </row>
    <row r="26" spans="1:23">
      <c r="A26" s="180" t="s">
        <v>278</v>
      </c>
      <c r="B26" s="165" t="s">
        <v>511</v>
      </c>
      <c r="C26" s="165" t="s">
        <v>533</v>
      </c>
      <c r="D26" s="165" t="s">
        <v>513</v>
      </c>
      <c r="E26" s="165" t="s">
        <v>170</v>
      </c>
      <c r="F26" s="165">
        <v>548</v>
      </c>
      <c r="G26" s="165">
        <v>6</v>
      </c>
      <c r="H26" s="165">
        <v>16</v>
      </c>
      <c r="I26" s="165">
        <v>3.3</v>
      </c>
      <c r="J26" s="165">
        <v>124</v>
      </c>
      <c r="K26" s="166" t="s">
        <v>514</v>
      </c>
      <c r="L26" s="165">
        <v>2024</v>
      </c>
      <c r="M26" s="165" t="s">
        <v>171</v>
      </c>
      <c r="N26" s="165">
        <v>10</v>
      </c>
      <c r="O26" s="165">
        <v>41</v>
      </c>
      <c r="P26" s="165" t="s">
        <v>534</v>
      </c>
      <c r="Q26" s="165">
        <v>-70.884</v>
      </c>
      <c r="R26" s="165">
        <v>40.256999999999998</v>
      </c>
      <c r="S26" s="165" t="s">
        <v>172</v>
      </c>
      <c r="T26" s="165">
        <v>25</v>
      </c>
      <c r="U26" s="166" t="s">
        <v>516</v>
      </c>
      <c r="V26" s="167"/>
    </row>
    <row r="27" spans="1:23">
      <c r="A27" s="180" t="s">
        <v>279</v>
      </c>
      <c r="B27" s="165" t="s">
        <v>511</v>
      </c>
      <c r="C27" s="165" t="s">
        <v>535</v>
      </c>
      <c r="D27" s="165" t="s">
        <v>513</v>
      </c>
      <c r="E27" s="165" t="s">
        <v>170</v>
      </c>
      <c r="F27" s="165">
        <v>549</v>
      </c>
      <c r="G27" s="165">
        <v>7</v>
      </c>
      <c r="H27" s="165">
        <v>5</v>
      </c>
      <c r="I27" s="165">
        <v>45.3</v>
      </c>
      <c r="J27" s="165">
        <v>447</v>
      </c>
      <c r="K27" s="166" t="s">
        <v>514</v>
      </c>
      <c r="L27" s="165">
        <v>2024</v>
      </c>
      <c r="M27" s="165" t="s">
        <v>171</v>
      </c>
      <c r="N27" s="165">
        <v>11</v>
      </c>
      <c r="O27" s="165">
        <v>42</v>
      </c>
      <c r="P27" s="165" t="s">
        <v>536</v>
      </c>
      <c r="Q27" s="165">
        <v>-70.887</v>
      </c>
      <c r="R27" s="165">
        <v>39.933999999999997</v>
      </c>
      <c r="S27" s="165" t="s">
        <v>172</v>
      </c>
      <c r="T27" s="165">
        <v>25</v>
      </c>
      <c r="U27" s="166" t="s">
        <v>516</v>
      </c>
      <c r="V27" s="167"/>
    </row>
    <row r="28" spans="1:23">
      <c r="A28" s="180" t="s">
        <v>280</v>
      </c>
      <c r="B28" s="165" t="s">
        <v>511</v>
      </c>
      <c r="C28" s="165" t="s">
        <v>537</v>
      </c>
      <c r="D28" s="165" t="s">
        <v>513</v>
      </c>
      <c r="E28" s="165" t="s">
        <v>170</v>
      </c>
      <c r="F28" s="165">
        <v>547</v>
      </c>
      <c r="G28" s="165">
        <v>7</v>
      </c>
      <c r="H28" s="165">
        <v>11</v>
      </c>
      <c r="I28" s="165">
        <v>14.4</v>
      </c>
      <c r="J28" s="165">
        <v>447</v>
      </c>
      <c r="K28" s="166" t="s">
        <v>514</v>
      </c>
      <c r="L28" s="165">
        <v>2024</v>
      </c>
      <c r="M28" s="165" t="s">
        <v>171</v>
      </c>
      <c r="N28" s="165">
        <v>11</v>
      </c>
      <c r="O28" s="165">
        <v>42</v>
      </c>
      <c r="P28" s="165" t="s">
        <v>538</v>
      </c>
      <c r="Q28" s="165">
        <v>-70.888000000000005</v>
      </c>
      <c r="R28" s="165">
        <v>39.933</v>
      </c>
      <c r="S28" s="165" t="s">
        <v>172</v>
      </c>
      <c r="T28" s="165">
        <v>25</v>
      </c>
      <c r="U28" s="166" t="s">
        <v>516</v>
      </c>
      <c r="V28" s="167"/>
    </row>
    <row r="29" spans="1:23">
      <c r="A29" s="180" t="s">
        <v>281</v>
      </c>
      <c r="B29" s="165" t="s">
        <v>511</v>
      </c>
      <c r="C29" s="165" t="s">
        <v>539</v>
      </c>
      <c r="D29" s="165" t="s">
        <v>513</v>
      </c>
      <c r="E29" s="165" t="s">
        <v>170</v>
      </c>
      <c r="F29" s="165">
        <v>548</v>
      </c>
      <c r="G29" s="165">
        <v>7</v>
      </c>
      <c r="H29" s="165">
        <v>19</v>
      </c>
      <c r="I29" s="165">
        <v>3</v>
      </c>
      <c r="J29" s="165">
        <v>447</v>
      </c>
      <c r="K29" s="166" t="s">
        <v>514</v>
      </c>
      <c r="L29" s="165">
        <v>2024</v>
      </c>
      <c r="M29" s="165" t="s">
        <v>171</v>
      </c>
      <c r="N29" s="165">
        <v>11</v>
      </c>
      <c r="O29" s="165">
        <v>42</v>
      </c>
      <c r="P29" s="165" t="s">
        <v>540</v>
      </c>
      <c r="Q29" s="165">
        <v>-70.888999999999996</v>
      </c>
      <c r="R29" s="165">
        <v>39.932000000000002</v>
      </c>
      <c r="S29" s="165" t="s">
        <v>172</v>
      </c>
      <c r="T29" s="165">
        <v>25</v>
      </c>
      <c r="U29" s="166" t="s">
        <v>516</v>
      </c>
      <c r="V29" s="167"/>
    </row>
    <row r="30" spans="1:23">
      <c r="A30" s="180" t="s">
        <v>282</v>
      </c>
      <c r="B30" s="165" t="s">
        <v>511</v>
      </c>
      <c r="C30" s="165" t="s">
        <v>541</v>
      </c>
      <c r="D30" s="165" t="s">
        <v>513</v>
      </c>
      <c r="E30" s="165" t="s">
        <v>170</v>
      </c>
      <c r="F30" s="165">
        <v>1055</v>
      </c>
      <c r="G30" s="165">
        <v>10</v>
      </c>
      <c r="H30" s="165">
        <v>6</v>
      </c>
      <c r="I30" s="165">
        <v>43.3</v>
      </c>
      <c r="J30" s="165">
        <v>1591</v>
      </c>
      <c r="K30" s="166" t="s">
        <v>514</v>
      </c>
      <c r="L30" s="165">
        <v>2024</v>
      </c>
      <c r="M30" s="165" t="s">
        <v>171</v>
      </c>
      <c r="N30" s="165">
        <v>11</v>
      </c>
      <c r="O30" s="165">
        <v>42</v>
      </c>
      <c r="P30" s="165" t="s">
        <v>542</v>
      </c>
      <c r="Q30" s="165">
        <v>-70.897999999999996</v>
      </c>
      <c r="R30" s="165">
        <v>39.758000000000003</v>
      </c>
      <c r="S30" s="165" t="s">
        <v>172</v>
      </c>
      <c r="T30" s="165">
        <v>25</v>
      </c>
      <c r="U30" s="166" t="s">
        <v>516</v>
      </c>
      <c r="V30" s="167"/>
    </row>
    <row r="31" spans="1:23">
      <c r="A31" s="180" t="s">
        <v>284</v>
      </c>
      <c r="B31" s="165" t="s">
        <v>511</v>
      </c>
      <c r="C31" s="165" t="s">
        <v>543</v>
      </c>
      <c r="D31" s="165" t="s">
        <v>513</v>
      </c>
      <c r="E31" s="165" t="s">
        <v>170</v>
      </c>
      <c r="F31" s="165">
        <v>1060</v>
      </c>
      <c r="G31" s="165">
        <v>10</v>
      </c>
      <c r="H31" s="165">
        <v>9</v>
      </c>
      <c r="I31" s="165">
        <v>26.4</v>
      </c>
      <c r="J31" s="165">
        <v>1591</v>
      </c>
      <c r="K31" s="166" t="s">
        <v>514</v>
      </c>
      <c r="L31" s="165">
        <v>2024</v>
      </c>
      <c r="M31" s="165" t="s">
        <v>171</v>
      </c>
      <c r="N31" s="165">
        <v>11</v>
      </c>
      <c r="O31" s="165">
        <v>42</v>
      </c>
      <c r="P31" s="165" t="s">
        <v>544</v>
      </c>
      <c r="Q31" s="165">
        <v>-70.899000000000001</v>
      </c>
      <c r="R31" s="165">
        <v>39.756999999999998</v>
      </c>
      <c r="S31" s="165" t="s">
        <v>172</v>
      </c>
      <c r="T31" s="165">
        <v>25</v>
      </c>
      <c r="U31" s="166" t="s">
        <v>516</v>
      </c>
      <c r="V31" s="167"/>
    </row>
    <row r="32" spans="1:23">
      <c r="A32" s="180" t="s">
        <v>285</v>
      </c>
      <c r="B32" s="165" t="s">
        <v>511</v>
      </c>
      <c r="C32" s="165" t="s">
        <v>545</v>
      </c>
      <c r="D32" s="165" t="s">
        <v>513</v>
      </c>
      <c r="E32" s="165" t="s">
        <v>170</v>
      </c>
      <c r="F32" s="165">
        <v>548</v>
      </c>
      <c r="G32" s="165">
        <v>10</v>
      </c>
      <c r="H32" s="165">
        <v>18</v>
      </c>
      <c r="I32" s="165">
        <v>3.3</v>
      </c>
      <c r="J32" s="165">
        <v>1591</v>
      </c>
      <c r="K32" s="166" t="s">
        <v>514</v>
      </c>
      <c r="L32" s="165">
        <v>2024</v>
      </c>
      <c r="M32" s="165" t="s">
        <v>171</v>
      </c>
      <c r="N32" s="165">
        <v>11</v>
      </c>
      <c r="O32" s="165">
        <v>42</v>
      </c>
      <c r="P32" s="165" t="s">
        <v>546</v>
      </c>
      <c r="Q32" s="165">
        <v>-70.902000000000001</v>
      </c>
      <c r="R32" s="165">
        <v>39.755000000000003</v>
      </c>
      <c r="S32" s="165" t="s">
        <v>172</v>
      </c>
      <c r="T32" s="165">
        <v>25</v>
      </c>
      <c r="U32" s="166" t="s">
        <v>516</v>
      </c>
      <c r="V32" s="167"/>
    </row>
    <row r="33" spans="1:22">
      <c r="A33" s="180" t="s">
        <v>286</v>
      </c>
      <c r="B33" s="165" t="s">
        <v>511</v>
      </c>
      <c r="C33" s="165" t="s">
        <v>547</v>
      </c>
      <c r="D33" s="165" t="s">
        <v>513</v>
      </c>
      <c r="E33" s="165" t="s">
        <v>170</v>
      </c>
      <c r="F33" s="165">
        <v>547</v>
      </c>
      <c r="G33" s="165">
        <v>11</v>
      </c>
      <c r="H33" s="165">
        <v>19</v>
      </c>
      <c r="I33" s="165">
        <v>20.5</v>
      </c>
      <c r="J33" s="165">
        <v>210</v>
      </c>
      <c r="K33" s="166" t="s">
        <v>514</v>
      </c>
      <c r="L33" s="165">
        <v>2024</v>
      </c>
      <c r="M33" s="165" t="s">
        <v>171</v>
      </c>
      <c r="N33" s="165">
        <v>11</v>
      </c>
      <c r="O33" s="165">
        <v>42</v>
      </c>
      <c r="P33" s="165" t="s">
        <v>548</v>
      </c>
      <c r="Q33" s="165">
        <v>-70.896000000000001</v>
      </c>
      <c r="R33" s="165">
        <v>40.043999999999997</v>
      </c>
      <c r="S33" s="165" t="s">
        <v>172</v>
      </c>
      <c r="T33" s="165">
        <v>25</v>
      </c>
      <c r="U33" s="166" t="s">
        <v>516</v>
      </c>
      <c r="V33" s="167"/>
    </row>
    <row r="34" spans="1:22">
      <c r="A34" s="180" t="s">
        <v>287</v>
      </c>
      <c r="B34" s="165" t="s">
        <v>511</v>
      </c>
      <c r="C34" s="165" t="s">
        <v>549</v>
      </c>
      <c r="D34" s="165" t="s">
        <v>513</v>
      </c>
      <c r="E34" s="165" t="s">
        <v>170</v>
      </c>
      <c r="F34" s="165">
        <v>548</v>
      </c>
      <c r="G34" s="165">
        <v>11</v>
      </c>
      <c r="H34" s="165">
        <v>22</v>
      </c>
      <c r="I34" s="165">
        <v>3.4</v>
      </c>
      <c r="J34" s="165">
        <v>210</v>
      </c>
      <c r="K34" s="166" t="s">
        <v>514</v>
      </c>
      <c r="L34" s="165">
        <v>2024</v>
      </c>
      <c r="M34" s="165" t="s">
        <v>171</v>
      </c>
      <c r="N34" s="165">
        <v>11</v>
      </c>
      <c r="O34" s="165">
        <v>42</v>
      </c>
      <c r="P34" s="165" t="s">
        <v>550</v>
      </c>
      <c r="Q34" s="165">
        <v>-70.897000000000006</v>
      </c>
      <c r="R34" s="165">
        <v>40.042999999999999</v>
      </c>
      <c r="S34" s="165" t="s">
        <v>172</v>
      </c>
      <c r="T34" s="165">
        <v>25</v>
      </c>
      <c r="U34" s="166" t="s">
        <v>516</v>
      </c>
      <c r="V34" s="167"/>
    </row>
    <row r="35" spans="1:22">
      <c r="A35" s="180" t="s">
        <v>288</v>
      </c>
      <c r="B35" s="165" t="s">
        <v>511</v>
      </c>
      <c r="C35" s="165" t="s">
        <v>551</v>
      </c>
      <c r="D35" s="165" t="s">
        <v>513</v>
      </c>
      <c r="E35" s="165" t="s">
        <v>170</v>
      </c>
      <c r="F35" s="165">
        <v>549</v>
      </c>
      <c r="G35" s="165">
        <v>12</v>
      </c>
      <c r="H35" s="165">
        <v>5</v>
      </c>
      <c r="I35" s="165">
        <v>54</v>
      </c>
      <c r="J35" s="165">
        <v>140</v>
      </c>
      <c r="K35" s="166" t="s">
        <v>514</v>
      </c>
      <c r="L35" s="165">
        <v>2024</v>
      </c>
      <c r="M35" s="165" t="s">
        <v>171</v>
      </c>
      <c r="N35" s="165">
        <v>12</v>
      </c>
      <c r="O35" s="165">
        <v>43</v>
      </c>
      <c r="P35" s="165" t="s">
        <v>552</v>
      </c>
      <c r="Q35" s="165">
        <v>-70.896000000000001</v>
      </c>
      <c r="R35" s="165">
        <v>40.156999999999996</v>
      </c>
      <c r="S35" s="165" t="s">
        <v>172</v>
      </c>
      <c r="T35" s="165">
        <v>25</v>
      </c>
      <c r="U35" s="166" t="s">
        <v>516</v>
      </c>
      <c r="V35" s="167"/>
    </row>
    <row r="36" spans="1:22">
      <c r="A36" s="180" t="s">
        <v>289</v>
      </c>
      <c r="B36" s="165" t="s">
        <v>511</v>
      </c>
      <c r="C36" s="165" t="s">
        <v>553</v>
      </c>
      <c r="D36" s="165" t="s">
        <v>513</v>
      </c>
      <c r="E36" s="165" t="s">
        <v>170</v>
      </c>
      <c r="F36" s="165">
        <v>547</v>
      </c>
      <c r="G36" s="165">
        <v>12</v>
      </c>
      <c r="H36" s="165">
        <v>10</v>
      </c>
      <c r="I36" s="165">
        <v>36.6</v>
      </c>
      <c r="J36" s="165">
        <v>140</v>
      </c>
      <c r="K36" s="166" t="s">
        <v>514</v>
      </c>
      <c r="L36" s="165">
        <v>2024</v>
      </c>
      <c r="M36" s="165" t="s">
        <v>171</v>
      </c>
      <c r="N36" s="165">
        <v>12</v>
      </c>
      <c r="O36" s="165">
        <v>43</v>
      </c>
      <c r="P36" s="165" t="s">
        <v>554</v>
      </c>
      <c r="Q36" s="165">
        <v>-70.897000000000006</v>
      </c>
      <c r="R36" s="165">
        <v>40.156999999999996</v>
      </c>
      <c r="S36" s="165" t="s">
        <v>172</v>
      </c>
      <c r="T36" s="165">
        <v>25</v>
      </c>
      <c r="U36" s="166" t="s">
        <v>516</v>
      </c>
      <c r="V36" s="167"/>
    </row>
    <row r="37" spans="1:22">
      <c r="A37" s="180" t="s">
        <v>290</v>
      </c>
      <c r="B37" s="165" t="s">
        <v>511</v>
      </c>
      <c r="C37" s="165" t="s">
        <v>555</v>
      </c>
      <c r="D37" s="165" t="s">
        <v>513</v>
      </c>
      <c r="E37" s="165" t="s">
        <v>173</v>
      </c>
      <c r="F37" s="165">
        <v>548</v>
      </c>
      <c r="G37" s="165">
        <v>12</v>
      </c>
      <c r="H37" s="165">
        <v>19</v>
      </c>
      <c r="I37" s="165">
        <v>3.1</v>
      </c>
      <c r="J37" s="165">
        <v>140</v>
      </c>
      <c r="K37" s="166" t="s">
        <v>514</v>
      </c>
      <c r="L37" s="165">
        <v>2024</v>
      </c>
      <c r="M37" s="165" t="s">
        <v>171</v>
      </c>
      <c r="N37" s="165">
        <v>12</v>
      </c>
      <c r="O37" s="165">
        <v>43</v>
      </c>
      <c r="P37" s="165" t="s">
        <v>556</v>
      </c>
      <c r="Q37" s="165">
        <v>-70.899000000000001</v>
      </c>
      <c r="R37" s="165">
        <v>40.158000000000001</v>
      </c>
      <c r="S37" s="165" t="s">
        <v>172</v>
      </c>
      <c r="T37" s="165">
        <v>25</v>
      </c>
      <c r="U37" s="166" t="s">
        <v>516</v>
      </c>
      <c r="V37" s="167"/>
    </row>
    <row r="38" spans="1:22">
      <c r="A38" s="180" t="s">
        <v>291</v>
      </c>
      <c r="B38" s="165" t="s">
        <v>511</v>
      </c>
      <c r="C38" s="165" t="s">
        <v>557</v>
      </c>
      <c r="D38" s="165" t="s">
        <v>513</v>
      </c>
      <c r="E38" s="165" t="s">
        <v>173</v>
      </c>
      <c r="F38" s="165">
        <v>548</v>
      </c>
      <c r="G38" s="165">
        <v>12</v>
      </c>
      <c r="H38" s="165">
        <v>19</v>
      </c>
      <c r="I38" s="165">
        <v>3.1</v>
      </c>
      <c r="J38" s="165">
        <v>140</v>
      </c>
      <c r="K38" s="166" t="s">
        <v>514</v>
      </c>
      <c r="L38" s="165">
        <v>2024</v>
      </c>
      <c r="M38" s="165" t="s">
        <v>171</v>
      </c>
      <c r="N38" s="165">
        <v>12</v>
      </c>
      <c r="O38" s="165">
        <v>43</v>
      </c>
      <c r="P38" s="165" t="s">
        <v>556</v>
      </c>
      <c r="Q38" s="165">
        <v>-70.899000000000001</v>
      </c>
      <c r="R38" s="165">
        <v>40.158000000000001</v>
      </c>
      <c r="S38" s="165" t="s">
        <v>172</v>
      </c>
      <c r="T38" s="165">
        <v>25</v>
      </c>
      <c r="U38" s="166" t="s">
        <v>516</v>
      </c>
      <c r="V38" s="167"/>
    </row>
    <row r="39" spans="1:22">
      <c r="A39" s="180" t="s">
        <v>292</v>
      </c>
      <c r="B39" s="165" t="s">
        <v>511</v>
      </c>
      <c r="C39" s="165" t="s">
        <v>558</v>
      </c>
      <c r="D39" s="165" t="s">
        <v>513</v>
      </c>
      <c r="E39" s="165" t="s">
        <v>170</v>
      </c>
      <c r="F39" s="165">
        <v>549</v>
      </c>
      <c r="G39" s="165">
        <v>15</v>
      </c>
      <c r="H39" s="165">
        <v>4</v>
      </c>
      <c r="I39" s="165">
        <v>40.4</v>
      </c>
      <c r="J39" s="165">
        <v>65</v>
      </c>
      <c r="K39" s="166" t="s">
        <v>514</v>
      </c>
      <c r="L39" s="165">
        <v>2024</v>
      </c>
      <c r="M39" s="165" t="s">
        <v>171</v>
      </c>
      <c r="N39" s="165">
        <v>12</v>
      </c>
      <c r="O39" s="165">
        <v>43</v>
      </c>
      <c r="P39" s="165" t="s">
        <v>559</v>
      </c>
      <c r="Q39" s="165">
        <v>-70.893000000000001</v>
      </c>
      <c r="R39" s="165">
        <v>40.697000000000003</v>
      </c>
      <c r="S39" s="165" t="s">
        <v>172</v>
      </c>
      <c r="T39" s="165">
        <v>25</v>
      </c>
      <c r="U39" s="166" t="s">
        <v>516</v>
      </c>
      <c r="V39" s="167"/>
    </row>
    <row r="40" spans="1:22">
      <c r="A40" s="180" t="s">
        <v>293</v>
      </c>
      <c r="B40" s="165" t="s">
        <v>511</v>
      </c>
      <c r="C40" s="165" t="s">
        <v>560</v>
      </c>
      <c r="D40" s="165" t="s">
        <v>513</v>
      </c>
      <c r="E40" s="165" t="s">
        <v>170</v>
      </c>
      <c r="F40" s="165">
        <v>547</v>
      </c>
      <c r="G40" s="165">
        <v>15</v>
      </c>
      <c r="H40" s="165">
        <v>6</v>
      </c>
      <c r="I40" s="165">
        <v>27.8</v>
      </c>
      <c r="J40" s="165">
        <v>65</v>
      </c>
      <c r="K40" s="166" t="s">
        <v>514</v>
      </c>
      <c r="L40" s="165">
        <v>2024</v>
      </c>
      <c r="M40" s="165" t="s">
        <v>171</v>
      </c>
      <c r="N40" s="165">
        <v>12</v>
      </c>
      <c r="O40" s="165">
        <v>43</v>
      </c>
      <c r="P40" s="165" t="s">
        <v>561</v>
      </c>
      <c r="Q40" s="165">
        <v>-70.894000000000005</v>
      </c>
      <c r="R40" s="165">
        <v>40.697000000000003</v>
      </c>
      <c r="S40" s="165" t="s">
        <v>172</v>
      </c>
      <c r="T40" s="165">
        <v>25</v>
      </c>
      <c r="U40" s="166" t="s">
        <v>516</v>
      </c>
      <c r="V40" s="167"/>
    </row>
    <row r="41" spans="1:22">
      <c r="A41" s="180" t="s">
        <v>294</v>
      </c>
      <c r="B41" s="165" t="s">
        <v>511</v>
      </c>
      <c r="C41" s="165" t="s">
        <v>562</v>
      </c>
      <c r="D41" s="165" t="s">
        <v>513</v>
      </c>
      <c r="E41" s="165" t="s">
        <v>170</v>
      </c>
      <c r="F41" s="165">
        <v>548</v>
      </c>
      <c r="G41" s="165">
        <v>15</v>
      </c>
      <c r="H41" s="165">
        <v>18</v>
      </c>
      <c r="I41" s="165">
        <v>3.4</v>
      </c>
      <c r="J41" s="165">
        <v>65</v>
      </c>
      <c r="K41" s="166" t="s">
        <v>514</v>
      </c>
      <c r="L41" s="165">
        <v>2024</v>
      </c>
      <c r="M41" s="165" t="s">
        <v>171</v>
      </c>
      <c r="N41" s="165">
        <v>12</v>
      </c>
      <c r="O41" s="165">
        <v>43</v>
      </c>
      <c r="P41" s="165" t="s">
        <v>563</v>
      </c>
      <c r="Q41" s="165">
        <v>-70.897999999999996</v>
      </c>
      <c r="R41" s="165">
        <v>40.697000000000003</v>
      </c>
      <c r="S41" s="165" t="s">
        <v>172</v>
      </c>
      <c r="T41" s="165">
        <v>25</v>
      </c>
      <c r="U41" s="166" t="s">
        <v>516</v>
      </c>
      <c r="V41" s="167"/>
    </row>
    <row r="42" spans="1:22">
      <c r="A42" s="180" t="s">
        <v>295</v>
      </c>
      <c r="B42" s="165" t="s">
        <v>511</v>
      </c>
      <c r="C42" s="165" t="s">
        <v>564</v>
      </c>
      <c r="D42" s="165" t="s">
        <v>513</v>
      </c>
      <c r="E42" s="165" t="s">
        <v>170</v>
      </c>
      <c r="F42" s="165">
        <v>547</v>
      </c>
      <c r="G42" s="165">
        <v>16</v>
      </c>
      <c r="H42" s="165">
        <v>7</v>
      </c>
      <c r="I42" s="165">
        <v>15.1</v>
      </c>
      <c r="J42" s="165">
        <v>55</v>
      </c>
      <c r="K42" s="166" t="s">
        <v>514</v>
      </c>
      <c r="L42" s="165">
        <v>2024</v>
      </c>
      <c r="M42" s="165" t="s">
        <v>171</v>
      </c>
      <c r="N42" s="165">
        <v>13</v>
      </c>
      <c r="O42" s="165">
        <v>44</v>
      </c>
      <c r="P42" s="165" t="s">
        <v>565</v>
      </c>
      <c r="Q42" s="165">
        <v>-70.888000000000005</v>
      </c>
      <c r="R42" s="165">
        <v>40.863999999999997</v>
      </c>
      <c r="S42" s="165" t="s">
        <v>172</v>
      </c>
      <c r="T42" s="165">
        <v>25</v>
      </c>
      <c r="U42" s="166" t="s">
        <v>516</v>
      </c>
      <c r="V42" s="167"/>
    </row>
    <row r="43" spans="1:22">
      <c r="A43" s="180" t="s">
        <v>296</v>
      </c>
      <c r="B43" s="165" t="s">
        <v>511</v>
      </c>
      <c r="C43" s="165" t="s">
        <v>566</v>
      </c>
      <c r="D43" s="165" t="s">
        <v>513</v>
      </c>
      <c r="E43" s="165" t="s">
        <v>170</v>
      </c>
      <c r="F43" s="165">
        <v>548</v>
      </c>
      <c r="G43" s="165">
        <v>16</v>
      </c>
      <c r="H43" s="165">
        <v>17</v>
      </c>
      <c r="I43" s="165">
        <v>3.5</v>
      </c>
      <c r="J43" s="165">
        <v>55</v>
      </c>
      <c r="K43" s="166" t="s">
        <v>514</v>
      </c>
      <c r="L43" s="165">
        <v>2024</v>
      </c>
      <c r="M43" s="165" t="s">
        <v>171</v>
      </c>
      <c r="N43" s="165">
        <v>13</v>
      </c>
      <c r="O43" s="165">
        <v>44</v>
      </c>
      <c r="P43" s="165" t="s">
        <v>567</v>
      </c>
      <c r="Q43" s="165">
        <v>-70.888999999999996</v>
      </c>
      <c r="R43" s="165">
        <v>40.863999999999997</v>
      </c>
      <c r="S43" s="165" t="s">
        <v>172</v>
      </c>
      <c r="T43" s="165">
        <v>25</v>
      </c>
      <c r="U43" s="166" t="s">
        <v>516</v>
      </c>
      <c r="V43" s="167"/>
    </row>
    <row r="44" spans="1:22">
      <c r="A44" s="180" t="s">
        <v>297</v>
      </c>
      <c r="B44" s="165" t="s">
        <v>511</v>
      </c>
      <c r="C44" s="165" t="s">
        <v>568</v>
      </c>
      <c r="D44" s="165" t="s">
        <v>513</v>
      </c>
      <c r="E44" s="165" t="s">
        <v>170</v>
      </c>
      <c r="F44" s="165">
        <v>547</v>
      </c>
      <c r="G44" s="165">
        <v>17</v>
      </c>
      <c r="H44" s="165">
        <v>4</v>
      </c>
      <c r="I44" s="165">
        <v>20.100000000000001</v>
      </c>
      <c r="J44" s="165">
        <v>41</v>
      </c>
      <c r="K44" s="166" t="s">
        <v>514</v>
      </c>
      <c r="L44" s="165">
        <v>2024</v>
      </c>
      <c r="M44" s="165" t="s">
        <v>171</v>
      </c>
      <c r="N44" s="165">
        <v>13</v>
      </c>
      <c r="O44" s="165">
        <v>44</v>
      </c>
      <c r="P44" s="165" t="s">
        <v>569</v>
      </c>
      <c r="Q44" s="165">
        <v>-70.887</v>
      </c>
      <c r="R44" s="165">
        <v>41.029000000000003</v>
      </c>
      <c r="S44" s="165" t="s">
        <v>172</v>
      </c>
      <c r="T44" s="165">
        <v>25</v>
      </c>
      <c r="U44" s="166" t="s">
        <v>516</v>
      </c>
      <c r="V44" s="167"/>
    </row>
    <row r="45" spans="1:22">
      <c r="A45" s="180" t="s">
        <v>298</v>
      </c>
      <c r="B45" s="165" t="s">
        <v>511</v>
      </c>
      <c r="C45" s="165" t="s">
        <v>570</v>
      </c>
      <c r="D45" s="165" t="s">
        <v>513</v>
      </c>
      <c r="E45" s="165" t="s">
        <v>173</v>
      </c>
      <c r="F45" s="165">
        <v>548</v>
      </c>
      <c r="G45" s="165">
        <v>17</v>
      </c>
      <c r="H45" s="165">
        <v>13</v>
      </c>
      <c r="I45" s="165">
        <v>3.1</v>
      </c>
      <c r="J45" s="165">
        <v>41</v>
      </c>
      <c r="K45" s="166" t="s">
        <v>514</v>
      </c>
      <c r="L45" s="165">
        <v>2024</v>
      </c>
      <c r="M45" s="165" t="s">
        <v>171</v>
      </c>
      <c r="N45" s="165">
        <v>13</v>
      </c>
      <c r="O45" s="165">
        <v>44</v>
      </c>
      <c r="P45" s="165" t="s">
        <v>571</v>
      </c>
      <c r="Q45" s="165">
        <v>-70.887</v>
      </c>
      <c r="R45" s="165">
        <v>41.027999999999999</v>
      </c>
      <c r="S45" s="165" t="s">
        <v>172</v>
      </c>
      <c r="T45" s="165">
        <v>25</v>
      </c>
      <c r="U45" s="166" t="s">
        <v>516</v>
      </c>
      <c r="V45" s="167"/>
    </row>
    <row r="46" spans="1:22">
      <c r="A46" s="180" t="s">
        <v>299</v>
      </c>
      <c r="B46" s="165" t="s">
        <v>511</v>
      </c>
      <c r="C46" s="165" t="s">
        <v>572</v>
      </c>
      <c r="D46" s="165" t="s">
        <v>513</v>
      </c>
      <c r="E46" s="165" t="s">
        <v>173</v>
      </c>
      <c r="F46" s="165">
        <v>548</v>
      </c>
      <c r="G46" s="165">
        <v>17</v>
      </c>
      <c r="H46" s="165">
        <v>13</v>
      </c>
      <c r="I46" s="165">
        <v>3.1</v>
      </c>
      <c r="J46" s="165">
        <v>41</v>
      </c>
      <c r="K46" s="166" t="s">
        <v>514</v>
      </c>
      <c r="L46" s="165">
        <v>2024</v>
      </c>
      <c r="M46" s="165" t="s">
        <v>171</v>
      </c>
      <c r="N46" s="165">
        <v>13</v>
      </c>
      <c r="O46" s="165">
        <v>44</v>
      </c>
      <c r="P46" s="165" t="s">
        <v>571</v>
      </c>
      <c r="Q46" s="165">
        <v>-70.887</v>
      </c>
      <c r="R46" s="165">
        <v>41.027999999999999</v>
      </c>
      <c r="S46" s="165" t="s">
        <v>172</v>
      </c>
      <c r="T46" s="165">
        <v>25</v>
      </c>
      <c r="U46" s="166" t="s">
        <v>516</v>
      </c>
      <c r="V46" s="167"/>
    </row>
    <row r="47" spans="1:22">
      <c r="A47" s="180" t="s">
        <v>300</v>
      </c>
      <c r="B47" s="165" t="s">
        <v>511</v>
      </c>
      <c r="C47" s="165" t="s">
        <v>573</v>
      </c>
      <c r="D47" s="165" t="s">
        <v>513</v>
      </c>
      <c r="E47" s="165" t="s">
        <v>170</v>
      </c>
      <c r="F47" s="165">
        <v>547</v>
      </c>
      <c r="G47" s="165">
        <v>20</v>
      </c>
      <c r="H47" s="165">
        <v>1</v>
      </c>
      <c r="I47" s="165">
        <v>16.100000000000001</v>
      </c>
      <c r="J47" s="165">
        <v>20</v>
      </c>
      <c r="K47" s="166" t="s">
        <v>514</v>
      </c>
      <c r="L47" s="165">
        <v>2024</v>
      </c>
      <c r="M47" s="165" t="s">
        <v>171</v>
      </c>
      <c r="N47" s="165">
        <v>13</v>
      </c>
      <c r="O47" s="165">
        <v>44</v>
      </c>
      <c r="P47" s="165" t="s">
        <v>574</v>
      </c>
      <c r="Q47" s="165">
        <v>-70.581999999999994</v>
      </c>
      <c r="R47" s="165">
        <v>41.314</v>
      </c>
      <c r="S47" s="165" t="s">
        <v>172</v>
      </c>
      <c r="T47" s="165">
        <v>25</v>
      </c>
      <c r="U47" s="166" t="s">
        <v>516</v>
      </c>
      <c r="V47" s="167"/>
    </row>
    <row r="48" spans="1:22">
      <c r="A48" s="180" t="s">
        <v>301</v>
      </c>
      <c r="B48" s="165" t="s">
        <v>511</v>
      </c>
      <c r="C48" s="165" t="s">
        <v>575</v>
      </c>
      <c r="D48" s="165" t="s">
        <v>513</v>
      </c>
      <c r="E48" s="165" t="s">
        <v>170</v>
      </c>
      <c r="F48" s="165">
        <v>548</v>
      </c>
      <c r="G48" s="165">
        <v>20</v>
      </c>
      <c r="H48" s="165">
        <v>4</v>
      </c>
      <c r="I48" s="165">
        <v>3.1</v>
      </c>
      <c r="J48" s="165">
        <v>20</v>
      </c>
      <c r="K48" s="166" t="s">
        <v>514</v>
      </c>
      <c r="L48" s="165">
        <v>2024</v>
      </c>
      <c r="M48" s="165" t="s">
        <v>171</v>
      </c>
      <c r="N48" s="165">
        <v>13</v>
      </c>
      <c r="O48" s="165">
        <v>44</v>
      </c>
      <c r="P48" s="165" t="s">
        <v>576</v>
      </c>
      <c r="Q48" s="165">
        <v>-70.582999999999998</v>
      </c>
      <c r="R48" s="165">
        <v>41.314999999999998</v>
      </c>
      <c r="S48" s="165" t="s">
        <v>172</v>
      </c>
      <c r="T48" s="165">
        <v>25</v>
      </c>
      <c r="U48" s="166" t="s">
        <v>516</v>
      </c>
      <c r="V48" s="167"/>
    </row>
    <row r="49" spans="1:23" s="143" customFormat="1">
      <c r="A49" s="180" t="s">
        <v>302</v>
      </c>
      <c r="B49" s="165" t="s">
        <v>511</v>
      </c>
      <c r="C49" s="165" t="s">
        <v>512</v>
      </c>
      <c r="D49" s="165" t="s">
        <v>513</v>
      </c>
      <c r="E49" s="165" t="s">
        <v>170</v>
      </c>
      <c r="F49" s="165">
        <v>549</v>
      </c>
      <c r="G49" s="165">
        <v>1</v>
      </c>
      <c r="H49" s="165">
        <v>4</v>
      </c>
      <c r="I49" s="165">
        <v>16.7</v>
      </c>
      <c r="J49" s="165">
        <v>22</v>
      </c>
      <c r="K49" s="166" t="s">
        <v>514</v>
      </c>
      <c r="L49" s="165">
        <v>2024</v>
      </c>
      <c r="M49" s="165" t="s">
        <v>171</v>
      </c>
      <c r="N49" s="165">
        <v>9</v>
      </c>
      <c r="O49" s="165">
        <v>40</v>
      </c>
      <c r="P49" s="165" t="s">
        <v>515</v>
      </c>
      <c r="Q49" s="165">
        <v>-70.885000000000005</v>
      </c>
      <c r="R49" s="165">
        <v>41.192999999999998</v>
      </c>
      <c r="S49" s="165" t="s">
        <v>172</v>
      </c>
      <c r="T49" s="165">
        <v>25</v>
      </c>
      <c r="U49" s="166" t="s">
        <v>516</v>
      </c>
      <c r="V49" s="167"/>
    </row>
    <row r="50" spans="1:23" s="149" customFormat="1">
      <c r="A50" s="180" t="s">
        <v>303</v>
      </c>
      <c r="B50" s="165" t="s">
        <v>511</v>
      </c>
      <c r="C50" s="165" t="s">
        <v>517</v>
      </c>
      <c r="D50" s="165" t="s">
        <v>513</v>
      </c>
      <c r="E50" s="165" t="s">
        <v>170</v>
      </c>
      <c r="F50" s="165">
        <v>548</v>
      </c>
      <c r="G50" s="165">
        <v>1</v>
      </c>
      <c r="H50" s="165">
        <v>17</v>
      </c>
      <c r="I50" s="165">
        <v>3.2</v>
      </c>
      <c r="J50" s="165">
        <v>22</v>
      </c>
      <c r="K50" s="166" t="s">
        <v>514</v>
      </c>
      <c r="L50" s="165">
        <v>2024</v>
      </c>
      <c r="M50" s="165" t="s">
        <v>171</v>
      </c>
      <c r="N50" s="165">
        <v>9</v>
      </c>
      <c r="O50" s="165">
        <v>40</v>
      </c>
      <c r="P50" s="165" t="s">
        <v>518</v>
      </c>
      <c r="Q50" s="165">
        <v>-70.885000000000005</v>
      </c>
      <c r="R50" s="165">
        <v>41.192999999999998</v>
      </c>
      <c r="S50" s="165" t="s">
        <v>172</v>
      </c>
      <c r="T50" s="165">
        <v>25</v>
      </c>
      <c r="U50" s="166" t="s">
        <v>516</v>
      </c>
      <c r="V50" s="167"/>
      <c r="W50" s="148"/>
    </row>
    <row r="51" spans="1:23">
      <c r="A51" s="180" t="s">
        <v>304</v>
      </c>
      <c r="B51" s="169" t="s">
        <v>511</v>
      </c>
      <c r="C51" s="169" t="s">
        <v>577</v>
      </c>
      <c r="D51" s="169" t="s">
        <v>578</v>
      </c>
      <c r="E51" s="169" t="s">
        <v>170</v>
      </c>
      <c r="F51" s="169">
        <v>532</v>
      </c>
      <c r="G51" s="169">
        <v>1</v>
      </c>
      <c r="H51" s="169">
        <v>2</v>
      </c>
      <c r="I51" s="165">
        <v>17.7</v>
      </c>
      <c r="J51" s="165">
        <v>21</v>
      </c>
      <c r="K51" s="166" t="s">
        <v>514</v>
      </c>
      <c r="L51" s="165">
        <v>2024</v>
      </c>
      <c r="M51" s="165" t="s">
        <v>579</v>
      </c>
      <c r="N51" s="165">
        <v>3</v>
      </c>
      <c r="O51" s="165">
        <v>124</v>
      </c>
      <c r="P51" s="165" t="s">
        <v>580</v>
      </c>
      <c r="Q51" s="165">
        <v>-70.891000000000005</v>
      </c>
      <c r="R51" s="165">
        <v>41.198999999999998</v>
      </c>
      <c r="S51" s="165" t="s">
        <v>172</v>
      </c>
      <c r="T51" s="165">
        <v>25</v>
      </c>
      <c r="U51" s="166" t="s">
        <v>516</v>
      </c>
      <c r="V51" s="167"/>
    </row>
    <row r="52" spans="1:23">
      <c r="A52" s="180" t="s">
        <v>305</v>
      </c>
      <c r="B52" s="169" t="s">
        <v>511</v>
      </c>
      <c r="C52" s="169" t="s">
        <v>581</v>
      </c>
      <c r="D52" s="169" t="s">
        <v>578</v>
      </c>
      <c r="E52" s="169" t="s">
        <v>170</v>
      </c>
      <c r="F52" s="169">
        <v>539</v>
      </c>
      <c r="G52" s="169">
        <v>1</v>
      </c>
      <c r="H52" s="169">
        <v>7</v>
      </c>
      <c r="I52" s="165">
        <v>11.3</v>
      </c>
      <c r="J52" s="165">
        <v>21</v>
      </c>
      <c r="K52" s="166" t="s">
        <v>514</v>
      </c>
      <c r="L52" s="165">
        <v>2024</v>
      </c>
      <c r="M52" s="165" t="s">
        <v>579</v>
      </c>
      <c r="N52" s="165">
        <v>3</v>
      </c>
      <c r="O52" s="165">
        <v>124</v>
      </c>
      <c r="P52" s="165" t="s">
        <v>582</v>
      </c>
      <c r="Q52" s="165">
        <v>-70.893000000000001</v>
      </c>
      <c r="R52" s="165">
        <v>41.198999999999998</v>
      </c>
      <c r="S52" s="165" t="s">
        <v>172</v>
      </c>
      <c r="T52" s="165">
        <v>25</v>
      </c>
      <c r="U52" s="166" t="s">
        <v>516</v>
      </c>
      <c r="V52" s="167"/>
    </row>
    <row r="53" spans="1:23">
      <c r="A53" s="180" t="s">
        <v>306</v>
      </c>
      <c r="B53" s="169" t="s">
        <v>511</v>
      </c>
      <c r="C53" s="169" t="s">
        <v>583</v>
      </c>
      <c r="D53" s="169" t="s">
        <v>578</v>
      </c>
      <c r="E53" s="169" t="s">
        <v>170</v>
      </c>
      <c r="F53" s="169">
        <v>548</v>
      </c>
      <c r="G53" s="169">
        <v>1</v>
      </c>
      <c r="H53" s="169">
        <v>14</v>
      </c>
      <c r="I53" s="165">
        <v>3.9</v>
      </c>
      <c r="J53" s="165">
        <v>21</v>
      </c>
      <c r="K53" s="166" t="s">
        <v>514</v>
      </c>
      <c r="L53" s="165">
        <v>2024</v>
      </c>
      <c r="M53" s="165" t="s">
        <v>579</v>
      </c>
      <c r="N53" s="165">
        <v>3</v>
      </c>
      <c r="O53" s="165">
        <v>124</v>
      </c>
      <c r="P53" s="165" t="s">
        <v>584</v>
      </c>
      <c r="Q53" s="165">
        <v>-70.894999999999996</v>
      </c>
      <c r="R53" s="165">
        <v>41.2</v>
      </c>
      <c r="S53" s="165" t="s">
        <v>172</v>
      </c>
      <c r="T53" s="165">
        <v>25</v>
      </c>
      <c r="U53" s="166" t="s">
        <v>516</v>
      </c>
      <c r="V53" s="167"/>
    </row>
    <row r="54" spans="1:23">
      <c r="A54" s="180" t="s">
        <v>307</v>
      </c>
      <c r="B54" s="169" t="s">
        <v>511</v>
      </c>
      <c r="C54" s="169" t="s">
        <v>585</v>
      </c>
      <c r="D54" s="169" t="s">
        <v>578</v>
      </c>
      <c r="E54" s="169" t="s">
        <v>170</v>
      </c>
      <c r="F54" s="169">
        <v>532</v>
      </c>
      <c r="G54" s="169">
        <v>2</v>
      </c>
      <c r="H54" s="169">
        <v>1</v>
      </c>
      <c r="I54" s="165">
        <v>42.9</v>
      </c>
      <c r="J54" s="165">
        <v>46</v>
      </c>
      <c r="K54" s="166" t="s">
        <v>514</v>
      </c>
      <c r="L54" s="165">
        <v>2024</v>
      </c>
      <c r="M54" s="165" t="s">
        <v>579</v>
      </c>
      <c r="N54" s="165">
        <v>4</v>
      </c>
      <c r="O54" s="165">
        <v>125</v>
      </c>
      <c r="P54" s="165" t="s">
        <v>586</v>
      </c>
      <c r="Q54" s="165">
        <v>-70.885000000000005</v>
      </c>
      <c r="R54" s="165">
        <v>41.033000000000001</v>
      </c>
      <c r="S54" s="165" t="s">
        <v>172</v>
      </c>
      <c r="T54" s="165">
        <v>25</v>
      </c>
      <c r="U54" s="166" t="s">
        <v>516</v>
      </c>
      <c r="V54" s="167"/>
    </row>
    <row r="55" spans="1:23">
      <c r="A55" s="180" t="s">
        <v>308</v>
      </c>
      <c r="B55" s="169" t="s">
        <v>511</v>
      </c>
      <c r="C55" s="169" t="s">
        <v>587</v>
      </c>
      <c r="D55" s="169" t="s">
        <v>578</v>
      </c>
      <c r="E55" s="169" t="s">
        <v>170</v>
      </c>
      <c r="F55" s="169">
        <v>539</v>
      </c>
      <c r="G55" s="169">
        <v>2</v>
      </c>
      <c r="H55" s="169">
        <v>8</v>
      </c>
      <c r="I55" s="165">
        <v>23.2</v>
      </c>
      <c r="J55" s="165">
        <v>46</v>
      </c>
      <c r="K55" s="166" t="s">
        <v>514</v>
      </c>
      <c r="L55" s="165">
        <v>2024</v>
      </c>
      <c r="M55" s="165" t="s">
        <v>579</v>
      </c>
      <c r="N55" s="165">
        <v>4</v>
      </c>
      <c r="O55" s="165">
        <v>125</v>
      </c>
      <c r="P55" s="165" t="s">
        <v>588</v>
      </c>
      <c r="Q55" s="165">
        <v>-70.885000000000005</v>
      </c>
      <c r="R55" s="165">
        <v>41.033000000000001</v>
      </c>
      <c r="S55" s="165" t="s">
        <v>172</v>
      </c>
      <c r="T55" s="165">
        <v>25</v>
      </c>
      <c r="U55" s="166" t="s">
        <v>516</v>
      </c>
      <c r="V55" s="167"/>
    </row>
    <row r="56" spans="1:23">
      <c r="A56" s="180" t="s">
        <v>309</v>
      </c>
      <c r="B56" s="169" t="s">
        <v>511</v>
      </c>
      <c r="C56" s="169" t="s">
        <v>589</v>
      </c>
      <c r="D56" s="169" t="s">
        <v>578</v>
      </c>
      <c r="E56" s="169" t="s">
        <v>170</v>
      </c>
      <c r="F56" s="169">
        <v>541</v>
      </c>
      <c r="G56" s="169">
        <v>2</v>
      </c>
      <c r="H56" s="169">
        <v>18</v>
      </c>
      <c r="I56" s="165">
        <v>3.5</v>
      </c>
      <c r="J56" s="165">
        <v>46</v>
      </c>
      <c r="K56" s="166" t="s">
        <v>514</v>
      </c>
      <c r="L56" s="165">
        <v>2024</v>
      </c>
      <c r="M56" s="165" t="s">
        <v>579</v>
      </c>
      <c r="N56" s="165">
        <v>4</v>
      </c>
      <c r="O56" s="165">
        <v>125</v>
      </c>
      <c r="P56" s="165" t="s">
        <v>590</v>
      </c>
      <c r="Q56" s="165">
        <v>-70.884</v>
      </c>
      <c r="R56" s="165">
        <v>41.033000000000001</v>
      </c>
      <c r="S56" s="165" t="s">
        <v>172</v>
      </c>
      <c r="T56" s="165">
        <v>25</v>
      </c>
      <c r="U56" s="166" t="s">
        <v>516</v>
      </c>
      <c r="V56" s="167"/>
    </row>
    <row r="57" spans="1:23">
      <c r="A57" s="180" t="s">
        <v>310</v>
      </c>
      <c r="B57" s="169" t="s">
        <v>511</v>
      </c>
      <c r="C57" s="169" t="s">
        <v>591</v>
      </c>
      <c r="D57" s="169" t="s">
        <v>578</v>
      </c>
      <c r="E57" s="169" t="s">
        <v>170</v>
      </c>
      <c r="F57" s="169">
        <v>532</v>
      </c>
      <c r="G57" s="169">
        <v>5</v>
      </c>
      <c r="H57" s="169">
        <v>7</v>
      </c>
      <c r="I57" s="165">
        <v>33.799999999999997</v>
      </c>
      <c r="J57" s="165">
        <v>67</v>
      </c>
      <c r="K57" s="166" t="s">
        <v>514</v>
      </c>
      <c r="L57" s="165">
        <v>2024</v>
      </c>
      <c r="M57" s="165" t="s">
        <v>579</v>
      </c>
      <c r="N57" s="165">
        <v>4</v>
      </c>
      <c r="O57" s="165">
        <v>125</v>
      </c>
      <c r="P57" s="165" t="s">
        <v>592</v>
      </c>
      <c r="Q57" s="165">
        <v>-70.882999999999996</v>
      </c>
      <c r="R57" s="165">
        <v>40.695999999999998</v>
      </c>
      <c r="S57" s="165" t="s">
        <v>172</v>
      </c>
      <c r="T57" s="165">
        <v>25</v>
      </c>
      <c r="U57" s="166" t="s">
        <v>516</v>
      </c>
      <c r="V57" s="167"/>
    </row>
    <row r="58" spans="1:23">
      <c r="A58" s="180" t="s">
        <v>312</v>
      </c>
      <c r="B58" s="169" t="s">
        <v>511</v>
      </c>
      <c r="C58" s="169" t="s">
        <v>593</v>
      </c>
      <c r="D58" s="169" t="s">
        <v>578</v>
      </c>
      <c r="E58" s="169" t="s">
        <v>170</v>
      </c>
      <c r="F58" s="169">
        <v>539</v>
      </c>
      <c r="G58" s="169">
        <v>5</v>
      </c>
      <c r="H58" s="169">
        <v>13</v>
      </c>
      <c r="I58" s="165">
        <v>10.1</v>
      </c>
      <c r="J58" s="165">
        <v>67</v>
      </c>
      <c r="K58" s="166" t="s">
        <v>514</v>
      </c>
      <c r="L58" s="165">
        <v>2024</v>
      </c>
      <c r="M58" s="165" t="s">
        <v>579</v>
      </c>
      <c r="N58" s="165">
        <v>4</v>
      </c>
      <c r="O58" s="165">
        <v>125</v>
      </c>
      <c r="P58" s="165" t="s">
        <v>594</v>
      </c>
      <c r="Q58" s="165">
        <v>-70.882999999999996</v>
      </c>
      <c r="R58" s="165">
        <v>40.695999999999998</v>
      </c>
      <c r="S58" s="165" t="s">
        <v>172</v>
      </c>
      <c r="T58" s="165">
        <v>25</v>
      </c>
      <c r="U58" s="166" t="s">
        <v>516</v>
      </c>
      <c r="V58" s="167"/>
    </row>
    <row r="59" spans="1:23">
      <c r="A59" s="180" t="s">
        <v>313</v>
      </c>
      <c r="B59" s="169" t="s">
        <v>511</v>
      </c>
      <c r="C59" s="169" t="s">
        <v>595</v>
      </c>
      <c r="D59" s="169" t="s">
        <v>578</v>
      </c>
      <c r="E59" s="169" t="s">
        <v>170</v>
      </c>
      <c r="F59" s="169">
        <v>548</v>
      </c>
      <c r="G59" s="169">
        <v>5</v>
      </c>
      <c r="H59" s="169">
        <v>18</v>
      </c>
      <c r="I59" s="165">
        <v>3.1</v>
      </c>
      <c r="J59" s="165">
        <v>67</v>
      </c>
      <c r="K59" s="166" t="s">
        <v>514</v>
      </c>
      <c r="L59" s="165">
        <v>2024</v>
      </c>
      <c r="M59" s="165" t="s">
        <v>579</v>
      </c>
      <c r="N59" s="165">
        <v>4</v>
      </c>
      <c r="O59" s="165">
        <v>125</v>
      </c>
      <c r="P59" s="165" t="s">
        <v>596</v>
      </c>
      <c r="Q59" s="165">
        <v>-70.884</v>
      </c>
      <c r="R59" s="165">
        <v>40.695999999999998</v>
      </c>
      <c r="S59" s="165" t="s">
        <v>172</v>
      </c>
      <c r="T59" s="165">
        <v>25</v>
      </c>
      <c r="U59" s="166" t="s">
        <v>516</v>
      </c>
      <c r="V59" s="167"/>
    </row>
    <row r="60" spans="1:23">
      <c r="A60" s="180" t="s">
        <v>314</v>
      </c>
      <c r="B60" s="169" t="s">
        <v>511</v>
      </c>
      <c r="C60" s="169" t="s">
        <v>597</v>
      </c>
      <c r="D60" s="169" t="s">
        <v>578</v>
      </c>
      <c r="E60" s="169" t="s">
        <v>170</v>
      </c>
      <c r="F60" s="169">
        <v>539</v>
      </c>
      <c r="G60" s="169">
        <v>6</v>
      </c>
      <c r="H60" s="169">
        <v>12</v>
      </c>
      <c r="I60" s="165">
        <v>23.2</v>
      </c>
      <c r="J60" s="165">
        <v>76</v>
      </c>
      <c r="K60" s="166" t="s">
        <v>514</v>
      </c>
      <c r="L60" s="165">
        <v>2024</v>
      </c>
      <c r="M60" s="165" t="s">
        <v>579</v>
      </c>
      <c r="N60" s="165">
        <v>4</v>
      </c>
      <c r="O60" s="165">
        <v>125</v>
      </c>
      <c r="P60" s="165" t="s">
        <v>598</v>
      </c>
      <c r="Q60" s="165">
        <v>-70.884</v>
      </c>
      <c r="R60" s="165">
        <v>40.515999999999998</v>
      </c>
      <c r="S60" s="165" t="s">
        <v>172</v>
      </c>
      <c r="T60" s="165">
        <v>25</v>
      </c>
      <c r="U60" s="166" t="s">
        <v>516</v>
      </c>
      <c r="V60" s="167"/>
    </row>
    <row r="61" spans="1:23">
      <c r="A61" s="180" t="s">
        <v>315</v>
      </c>
      <c r="B61" s="169" t="s">
        <v>511</v>
      </c>
      <c r="C61" s="169" t="s">
        <v>599</v>
      </c>
      <c r="D61" s="169" t="s">
        <v>578</v>
      </c>
      <c r="E61" s="169" t="s">
        <v>173</v>
      </c>
      <c r="F61" s="169">
        <v>548</v>
      </c>
      <c r="G61" s="169">
        <v>6</v>
      </c>
      <c r="H61" s="169">
        <v>18</v>
      </c>
      <c r="I61" s="165">
        <v>3.4</v>
      </c>
      <c r="J61" s="165">
        <v>76</v>
      </c>
      <c r="K61" s="166" t="s">
        <v>514</v>
      </c>
      <c r="L61" s="165">
        <v>2024</v>
      </c>
      <c r="M61" s="165" t="s">
        <v>579</v>
      </c>
      <c r="N61" s="165">
        <v>4</v>
      </c>
      <c r="O61" s="165">
        <v>125</v>
      </c>
      <c r="P61" s="165" t="s">
        <v>600</v>
      </c>
      <c r="Q61" s="165">
        <v>-70.884</v>
      </c>
      <c r="R61" s="165">
        <v>40.515999999999998</v>
      </c>
      <c r="S61" s="165" t="s">
        <v>172</v>
      </c>
      <c r="T61" s="165">
        <v>25</v>
      </c>
      <c r="U61" s="166" t="s">
        <v>516</v>
      </c>
      <c r="V61" s="167"/>
    </row>
    <row r="62" spans="1:23">
      <c r="A62" s="180" t="s">
        <v>316</v>
      </c>
      <c r="B62" s="169" t="s">
        <v>511</v>
      </c>
      <c r="C62" s="169" t="s">
        <v>601</v>
      </c>
      <c r="D62" s="169" t="s">
        <v>578</v>
      </c>
      <c r="E62" s="169" t="s">
        <v>173</v>
      </c>
      <c r="F62" s="169">
        <v>548</v>
      </c>
      <c r="G62" s="169">
        <v>6</v>
      </c>
      <c r="H62" s="169">
        <v>18</v>
      </c>
      <c r="I62" s="165">
        <v>3.4</v>
      </c>
      <c r="J62" s="165">
        <v>76</v>
      </c>
      <c r="K62" s="166" t="s">
        <v>514</v>
      </c>
      <c r="L62" s="165">
        <v>2024</v>
      </c>
      <c r="M62" s="165" t="s">
        <v>579</v>
      </c>
      <c r="N62" s="165">
        <v>4</v>
      </c>
      <c r="O62" s="165">
        <v>125</v>
      </c>
      <c r="P62" s="165" t="s">
        <v>600</v>
      </c>
      <c r="Q62" s="165">
        <v>-70.884</v>
      </c>
      <c r="R62" s="165">
        <v>40.515999999999998</v>
      </c>
      <c r="S62" s="165" t="s">
        <v>172</v>
      </c>
      <c r="T62" s="165">
        <v>25</v>
      </c>
      <c r="U62" s="166" t="s">
        <v>516</v>
      </c>
      <c r="V62" s="167"/>
    </row>
    <row r="63" spans="1:23">
      <c r="A63" s="180" t="s">
        <v>317</v>
      </c>
      <c r="B63" s="169" t="s">
        <v>511</v>
      </c>
      <c r="C63" s="169" t="s">
        <v>602</v>
      </c>
      <c r="D63" s="169" t="s">
        <v>578</v>
      </c>
      <c r="E63" s="169" t="s">
        <v>170</v>
      </c>
      <c r="F63" s="169">
        <v>532</v>
      </c>
      <c r="G63" s="169">
        <v>7</v>
      </c>
      <c r="H63" s="169">
        <v>7</v>
      </c>
      <c r="I63" s="165">
        <v>36.299999999999997</v>
      </c>
      <c r="J63" s="165">
        <v>440</v>
      </c>
      <c r="K63" s="166" t="s">
        <v>514</v>
      </c>
      <c r="L63" s="165">
        <v>2024</v>
      </c>
      <c r="M63" s="165" t="s">
        <v>579</v>
      </c>
      <c r="N63" s="165">
        <v>5</v>
      </c>
      <c r="O63" s="165">
        <v>126</v>
      </c>
      <c r="P63" s="165" t="s">
        <v>603</v>
      </c>
      <c r="Q63" s="165">
        <v>-70.878</v>
      </c>
      <c r="R63" s="165">
        <v>39.950000000000003</v>
      </c>
      <c r="S63" s="165" t="s">
        <v>172</v>
      </c>
      <c r="T63" s="165">
        <v>25</v>
      </c>
      <c r="U63" s="166" t="s">
        <v>516</v>
      </c>
      <c r="V63" s="167"/>
    </row>
    <row r="64" spans="1:23">
      <c r="A64" s="180" t="s">
        <v>318</v>
      </c>
      <c r="B64" s="169" t="s">
        <v>511</v>
      </c>
      <c r="C64" s="169" t="s">
        <v>604</v>
      </c>
      <c r="D64" s="169" t="s">
        <v>578</v>
      </c>
      <c r="E64" s="169" t="s">
        <v>170</v>
      </c>
      <c r="F64" s="169">
        <v>539</v>
      </c>
      <c r="G64" s="169">
        <v>7</v>
      </c>
      <c r="H64" s="169">
        <v>12</v>
      </c>
      <c r="I64" s="165">
        <v>27.3</v>
      </c>
      <c r="J64" s="165">
        <v>440</v>
      </c>
      <c r="K64" s="166" t="s">
        <v>514</v>
      </c>
      <c r="L64" s="165">
        <v>2024</v>
      </c>
      <c r="M64" s="165" t="s">
        <v>579</v>
      </c>
      <c r="N64" s="165">
        <v>5</v>
      </c>
      <c r="O64" s="165">
        <v>126</v>
      </c>
      <c r="P64" s="165" t="s">
        <v>605</v>
      </c>
      <c r="Q64" s="165">
        <v>-70.878</v>
      </c>
      <c r="R64" s="165">
        <v>39.950000000000003</v>
      </c>
      <c r="S64" s="165" t="s">
        <v>172</v>
      </c>
      <c r="T64" s="165">
        <v>25</v>
      </c>
      <c r="U64" s="166" t="s">
        <v>516</v>
      </c>
      <c r="V64" s="167"/>
    </row>
    <row r="65" spans="1:22">
      <c r="A65" s="180" t="s">
        <v>319</v>
      </c>
      <c r="B65" s="169" t="s">
        <v>511</v>
      </c>
      <c r="C65" s="169" t="s">
        <v>606</v>
      </c>
      <c r="D65" s="169" t="s">
        <v>578</v>
      </c>
      <c r="E65" s="169" t="s">
        <v>170</v>
      </c>
      <c r="F65" s="169">
        <v>548</v>
      </c>
      <c r="G65" s="169">
        <v>7</v>
      </c>
      <c r="H65" s="169">
        <v>20</v>
      </c>
      <c r="I65" s="165">
        <v>3.2</v>
      </c>
      <c r="J65" s="165">
        <v>440</v>
      </c>
      <c r="K65" s="166" t="s">
        <v>514</v>
      </c>
      <c r="L65" s="165">
        <v>2024</v>
      </c>
      <c r="M65" s="165" t="s">
        <v>579</v>
      </c>
      <c r="N65" s="165">
        <v>5</v>
      </c>
      <c r="O65" s="165">
        <v>126</v>
      </c>
      <c r="P65" s="165" t="s">
        <v>607</v>
      </c>
      <c r="Q65" s="165">
        <v>-70.878</v>
      </c>
      <c r="R65" s="165">
        <v>39.951000000000001</v>
      </c>
      <c r="S65" s="165" t="s">
        <v>172</v>
      </c>
      <c r="T65" s="165">
        <v>25</v>
      </c>
      <c r="U65" s="166" t="s">
        <v>516</v>
      </c>
      <c r="V65" s="167"/>
    </row>
    <row r="66" spans="1:22">
      <c r="A66" s="180" t="s">
        <v>320</v>
      </c>
      <c r="B66" s="169" t="s">
        <v>511</v>
      </c>
      <c r="C66" s="169" t="s">
        <v>608</v>
      </c>
      <c r="D66" s="169" t="s">
        <v>578</v>
      </c>
      <c r="E66" s="169" t="s">
        <v>170</v>
      </c>
      <c r="F66" s="169">
        <v>532</v>
      </c>
      <c r="G66" s="169">
        <v>10</v>
      </c>
      <c r="H66" s="169">
        <v>6</v>
      </c>
      <c r="I66" s="165">
        <v>79.900000000000006</v>
      </c>
      <c r="J66" s="165">
        <v>1601</v>
      </c>
      <c r="K66" s="166" t="s">
        <v>514</v>
      </c>
      <c r="L66" s="165">
        <v>2024</v>
      </c>
      <c r="M66" s="165" t="s">
        <v>579</v>
      </c>
      <c r="N66" s="165">
        <v>5</v>
      </c>
      <c r="O66" s="165">
        <v>126</v>
      </c>
      <c r="P66" s="165" t="s">
        <v>609</v>
      </c>
      <c r="Q66" s="165">
        <v>-70.887</v>
      </c>
      <c r="R66" s="165">
        <v>39.776000000000003</v>
      </c>
      <c r="S66" s="165" t="s">
        <v>172</v>
      </c>
      <c r="T66" s="165">
        <v>25</v>
      </c>
      <c r="U66" s="166" t="s">
        <v>516</v>
      </c>
      <c r="V66" s="167"/>
    </row>
    <row r="67" spans="1:22">
      <c r="A67" s="180" t="s">
        <v>321</v>
      </c>
      <c r="B67" s="169" t="s">
        <v>511</v>
      </c>
      <c r="C67" s="169" t="s">
        <v>610</v>
      </c>
      <c r="D67" s="169" t="s">
        <v>578</v>
      </c>
      <c r="E67" s="169" t="s">
        <v>173</v>
      </c>
      <c r="F67" s="169">
        <v>539</v>
      </c>
      <c r="G67" s="169">
        <v>10</v>
      </c>
      <c r="H67" s="169">
        <v>10</v>
      </c>
      <c r="I67" s="165">
        <v>38.4</v>
      </c>
      <c r="J67" s="165">
        <v>1601</v>
      </c>
      <c r="K67" s="166" t="s">
        <v>514</v>
      </c>
      <c r="L67" s="165">
        <v>2024</v>
      </c>
      <c r="M67" s="165" t="s">
        <v>579</v>
      </c>
      <c r="N67" s="165">
        <v>5</v>
      </c>
      <c r="O67" s="165">
        <v>126</v>
      </c>
      <c r="P67" s="165" t="s">
        <v>611</v>
      </c>
      <c r="Q67" s="165">
        <v>-70.888000000000005</v>
      </c>
      <c r="R67" s="165">
        <v>39.776000000000003</v>
      </c>
      <c r="S67" s="165" t="s">
        <v>172</v>
      </c>
      <c r="T67" s="165">
        <v>25</v>
      </c>
      <c r="U67" s="166" t="s">
        <v>516</v>
      </c>
      <c r="V67" s="167"/>
    </row>
    <row r="68" spans="1:22">
      <c r="A68" s="180" t="s">
        <v>322</v>
      </c>
      <c r="B68" s="169" t="s">
        <v>511</v>
      </c>
      <c r="C68" s="169" t="s">
        <v>612</v>
      </c>
      <c r="D68" s="169" t="s">
        <v>578</v>
      </c>
      <c r="E68" s="169" t="s">
        <v>173</v>
      </c>
      <c r="F68" s="169">
        <v>539</v>
      </c>
      <c r="G68" s="169">
        <v>10</v>
      </c>
      <c r="H68" s="169">
        <v>10</v>
      </c>
      <c r="I68" s="165">
        <v>38.4</v>
      </c>
      <c r="J68" s="165">
        <v>1601</v>
      </c>
      <c r="K68" s="166" t="s">
        <v>514</v>
      </c>
      <c r="L68" s="165">
        <v>2024</v>
      </c>
      <c r="M68" s="165" t="s">
        <v>579</v>
      </c>
      <c r="N68" s="165">
        <v>5</v>
      </c>
      <c r="O68" s="165">
        <v>126</v>
      </c>
      <c r="P68" s="165" t="s">
        <v>611</v>
      </c>
      <c r="Q68" s="165">
        <v>-70.888000000000005</v>
      </c>
      <c r="R68" s="165">
        <v>39.776000000000003</v>
      </c>
      <c r="S68" s="165" t="s">
        <v>172</v>
      </c>
      <c r="T68" s="165">
        <v>25</v>
      </c>
      <c r="U68" s="166" t="s">
        <v>516</v>
      </c>
      <c r="V68" s="167"/>
    </row>
    <row r="69" spans="1:22">
      <c r="A69" s="180" t="s">
        <v>323</v>
      </c>
      <c r="B69" s="169" t="s">
        <v>511</v>
      </c>
      <c r="C69" s="169" t="s">
        <v>613</v>
      </c>
      <c r="D69" s="169" t="s">
        <v>578</v>
      </c>
      <c r="E69" s="169" t="s">
        <v>170</v>
      </c>
      <c r="F69" s="169">
        <v>548</v>
      </c>
      <c r="G69" s="169">
        <v>10</v>
      </c>
      <c r="H69" s="169">
        <v>19</v>
      </c>
      <c r="I69" s="165">
        <v>3.5</v>
      </c>
      <c r="J69" s="165">
        <v>1601</v>
      </c>
      <c r="K69" s="166" t="s">
        <v>514</v>
      </c>
      <c r="L69" s="165">
        <v>2024</v>
      </c>
      <c r="M69" s="165" t="s">
        <v>579</v>
      </c>
      <c r="N69" s="165">
        <v>5</v>
      </c>
      <c r="O69" s="165">
        <v>126</v>
      </c>
      <c r="P69" s="165" t="s">
        <v>614</v>
      </c>
      <c r="Q69" s="165">
        <v>-70.888000000000005</v>
      </c>
      <c r="R69" s="165">
        <v>39.777000000000001</v>
      </c>
      <c r="S69" s="165" t="s">
        <v>172</v>
      </c>
      <c r="T69" s="165">
        <v>25</v>
      </c>
      <c r="U69" s="166" t="s">
        <v>516</v>
      </c>
      <c r="V69" s="167"/>
    </row>
    <row r="70" spans="1:22">
      <c r="A70" s="180" t="s">
        <v>324</v>
      </c>
      <c r="B70" s="169" t="s">
        <v>511</v>
      </c>
      <c r="C70" s="169" t="s">
        <v>615</v>
      </c>
      <c r="D70" s="169" t="s">
        <v>578</v>
      </c>
      <c r="E70" s="169" t="s">
        <v>170</v>
      </c>
      <c r="F70" s="169">
        <v>547</v>
      </c>
      <c r="G70" s="169">
        <v>13</v>
      </c>
      <c r="H70" s="169">
        <v>5</v>
      </c>
      <c r="I70" s="165">
        <v>59.8</v>
      </c>
      <c r="J70" s="165">
        <v>94</v>
      </c>
      <c r="K70" s="166" t="s">
        <v>514</v>
      </c>
      <c r="L70" s="165">
        <v>2024</v>
      </c>
      <c r="M70" s="165" t="s">
        <v>579</v>
      </c>
      <c r="N70" s="165">
        <v>6</v>
      </c>
      <c r="O70" s="165">
        <v>127</v>
      </c>
      <c r="P70" s="165" t="s">
        <v>616</v>
      </c>
      <c r="Q70" s="165">
        <v>-70.884</v>
      </c>
      <c r="R70" s="165">
        <v>40.363</v>
      </c>
      <c r="S70" s="165" t="s">
        <v>172</v>
      </c>
      <c r="T70" s="165">
        <v>25</v>
      </c>
      <c r="U70" s="166" t="s">
        <v>516</v>
      </c>
      <c r="V70" s="167"/>
    </row>
    <row r="71" spans="1:22">
      <c r="A71" s="180" t="s">
        <v>325</v>
      </c>
      <c r="B71" s="169" t="s">
        <v>511</v>
      </c>
      <c r="C71" s="169" t="s">
        <v>617</v>
      </c>
      <c r="D71" s="169" t="s">
        <v>578</v>
      </c>
      <c r="E71" s="169" t="s">
        <v>170</v>
      </c>
      <c r="F71" s="169">
        <v>532</v>
      </c>
      <c r="G71" s="169">
        <v>13</v>
      </c>
      <c r="H71" s="169">
        <v>12</v>
      </c>
      <c r="I71" s="165">
        <v>30.2</v>
      </c>
      <c r="J71" s="165">
        <v>94</v>
      </c>
      <c r="K71" s="166" t="s">
        <v>514</v>
      </c>
      <c r="L71" s="165">
        <v>2024</v>
      </c>
      <c r="M71" s="165" t="s">
        <v>579</v>
      </c>
      <c r="N71" s="165">
        <v>6</v>
      </c>
      <c r="O71" s="165">
        <v>127</v>
      </c>
      <c r="P71" s="165" t="s">
        <v>618</v>
      </c>
      <c r="Q71" s="165">
        <v>-70.884</v>
      </c>
      <c r="R71" s="165">
        <v>40.363</v>
      </c>
      <c r="S71" s="165" t="s">
        <v>172</v>
      </c>
      <c r="T71" s="165">
        <v>25</v>
      </c>
      <c r="U71" s="166" t="s">
        <v>516</v>
      </c>
      <c r="V71" s="167"/>
    </row>
    <row r="72" spans="1:22">
      <c r="A72" s="180" t="s">
        <v>326</v>
      </c>
      <c r="B72" s="169" t="s">
        <v>511</v>
      </c>
      <c r="C72" s="169" t="s">
        <v>619</v>
      </c>
      <c r="D72" s="169" t="s">
        <v>578</v>
      </c>
      <c r="E72" s="169" t="s">
        <v>170</v>
      </c>
      <c r="F72" s="169">
        <v>548</v>
      </c>
      <c r="G72" s="169">
        <v>13</v>
      </c>
      <c r="H72" s="169">
        <v>19</v>
      </c>
      <c r="I72" s="165">
        <v>4.5</v>
      </c>
      <c r="J72" s="165">
        <v>94</v>
      </c>
      <c r="K72" s="166" t="s">
        <v>514</v>
      </c>
      <c r="L72" s="165">
        <v>2024</v>
      </c>
      <c r="M72" s="165" t="s">
        <v>579</v>
      </c>
      <c r="N72" s="165">
        <v>6</v>
      </c>
      <c r="O72" s="165">
        <v>127</v>
      </c>
      <c r="P72" s="165" t="s">
        <v>620</v>
      </c>
      <c r="Q72" s="165">
        <v>-70.885000000000005</v>
      </c>
      <c r="R72" s="165">
        <v>40.363999999999997</v>
      </c>
      <c r="S72" s="165" t="s">
        <v>172</v>
      </c>
      <c r="T72" s="165">
        <v>25</v>
      </c>
      <c r="U72" s="166" t="s">
        <v>516</v>
      </c>
      <c r="V72" s="167"/>
    </row>
    <row r="73" spans="1:22">
      <c r="A73" s="180" t="s">
        <v>327</v>
      </c>
      <c r="B73" s="169" t="s">
        <v>511</v>
      </c>
      <c r="C73" s="169" t="s">
        <v>621</v>
      </c>
      <c r="D73" s="169" t="s">
        <v>578</v>
      </c>
      <c r="E73" s="169" t="s">
        <v>173</v>
      </c>
      <c r="F73" s="169">
        <v>547</v>
      </c>
      <c r="G73" s="169">
        <v>14</v>
      </c>
      <c r="H73" s="169">
        <v>6</v>
      </c>
      <c r="I73" s="165">
        <v>46.2</v>
      </c>
      <c r="J73" s="165">
        <v>140</v>
      </c>
      <c r="K73" s="166" t="s">
        <v>514</v>
      </c>
      <c r="L73" s="165">
        <v>2024</v>
      </c>
      <c r="M73" s="165" t="s">
        <v>579</v>
      </c>
      <c r="N73" s="165">
        <v>6</v>
      </c>
      <c r="O73" s="165">
        <v>127</v>
      </c>
      <c r="P73" s="165" t="s">
        <v>622</v>
      </c>
      <c r="Q73" s="165">
        <v>-70.881</v>
      </c>
      <c r="R73" s="165">
        <v>40.151000000000003</v>
      </c>
      <c r="S73" s="165" t="s">
        <v>172</v>
      </c>
      <c r="T73" s="165">
        <v>25</v>
      </c>
      <c r="U73" s="166" t="s">
        <v>516</v>
      </c>
      <c r="V73" s="167"/>
    </row>
    <row r="74" spans="1:22">
      <c r="A74" s="180" t="s">
        <v>328</v>
      </c>
      <c r="B74" s="169" t="s">
        <v>511</v>
      </c>
      <c r="C74" s="169" t="s">
        <v>623</v>
      </c>
      <c r="D74" s="169" t="s">
        <v>578</v>
      </c>
      <c r="E74" s="169" t="s">
        <v>173</v>
      </c>
      <c r="F74" s="169">
        <v>539</v>
      </c>
      <c r="G74" s="169">
        <v>14</v>
      </c>
      <c r="H74" s="169">
        <v>6</v>
      </c>
      <c r="I74" s="165">
        <v>46.2</v>
      </c>
      <c r="J74" s="165">
        <v>140</v>
      </c>
      <c r="K74" s="166" t="s">
        <v>514</v>
      </c>
      <c r="L74" s="165">
        <v>2024</v>
      </c>
      <c r="M74" s="165" t="s">
        <v>579</v>
      </c>
      <c r="N74" s="165">
        <v>6</v>
      </c>
      <c r="O74" s="165">
        <v>127</v>
      </c>
      <c r="P74" s="165" t="s">
        <v>622</v>
      </c>
      <c r="Q74" s="165">
        <v>-70.881</v>
      </c>
      <c r="R74" s="165">
        <v>40.151000000000003</v>
      </c>
      <c r="S74" s="165" t="s">
        <v>172</v>
      </c>
      <c r="T74" s="165">
        <v>25</v>
      </c>
      <c r="U74" s="166" t="s">
        <v>516</v>
      </c>
      <c r="V74" s="167"/>
    </row>
    <row r="75" spans="1:22">
      <c r="A75" s="180" t="s">
        <v>329</v>
      </c>
      <c r="B75" s="169" t="s">
        <v>511</v>
      </c>
      <c r="C75" s="169" t="s">
        <v>624</v>
      </c>
      <c r="D75" s="169" t="s">
        <v>578</v>
      </c>
      <c r="E75" s="169" t="s">
        <v>170</v>
      </c>
      <c r="F75" s="169">
        <v>532</v>
      </c>
      <c r="G75" s="169">
        <v>14</v>
      </c>
      <c r="H75" s="169">
        <v>14</v>
      </c>
      <c r="I75" s="165">
        <v>28</v>
      </c>
      <c r="J75" s="165">
        <v>140</v>
      </c>
      <c r="K75" s="166" t="s">
        <v>514</v>
      </c>
      <c r="L75" s="165">
        <v>2024</v>
      </c>
      <c r="M75" s="165" t="s">
        <v>579</v>
      </c>
      <c r="N75" s="165">
        <v>6</v>
      </c>
      <c r="O75" s="165">
        <v>127</v>
      </c>
      <c r="P75" s="165" t="s">
        <v>625</v>
      </c>
      <c r="Q75" s="165">
        <v>-70.881</v>
      </c>
      <c r="R75" s="165">
        <v>40.151000000000003</v>
      </c>
      <c r="S75" s="165" t="s">
        <v>172</v>
      </c>
      <c r="T75" s="165">
        <v>25</v>
      </c>
      <c r="U75" s="166" t="s">
        <v>516</v>
      </c>
      <c r="V75" s="167"/>
    </row>
    <row r="76" spans="1:22">
      <c r="A76" s="180" t="s">
        <v>330</v>
      </c>
      <c r="B76" s="169" t="s">
        <v>511</v>
      </c>
      <c r="C76" s="169" t="s">
        <v>626</v>
      </c>
      <c r="D76" s="169" t="s">
        <v>578</v>
      </c>
      <c r="E76" s="169" t="s">
        <v>170</v>
      </c>
      <c r="F76" s="169">
        <v>548</v>
      </c>
      <c r="G76" s="169">
        <v>14</v>
      </c>
      <c r="H76" s="169">
        <v>18</v>
      </c>
      <c r="I76" s="165">
        <v>4</v>
      </c>
      <c r="J76" s="165">
        <v>140</v>
      </c>
      <c r="K76" s="166" t="s">
        <v>514</v>
      </c>
      <c r="L76" s="165">
        <v>2024</v>
      </c>
      <c r="M76" s="165" t="s">
        <v>579</v>
      </c>
      <c r="N76" s="165">
        <v>6</v>
      </c>
      <c r="O76" s="165">
        <v>127</v>
      </c>
      <c r="P76" s="165" t="s">
        <v>627</v>
      </c>
      <c r="Q76" s="165">
        <v>-70.881</v>
      </c>
      <c r="R76" s="165">
        <v>40.15</v>
      </c>
      <c r="S76" s="165" t="s">
        <v>172</v>
      </c>
      <c r="T76" s="165">
        <v>25</v>
      </c>
      <c r="U76" s="166" t="s">
        <v>516</v>
      </c>
      <c r="V76" s="167"/>
    </row>
    <row r="77" spans="1:22">
      <c r="A77" s="180" t="s">
        <v>331</v>
      </c>
      <c r="B77" s="169" t="s">
        <v>511</v>
      </c>
      <c r="C77" s="169" t="s">
        <v>628</v>
      </c>
      <c r="D77" s="169" t="s">
        <v>578</v>
      </c>
      <c r="E77" s="169" t="s">
        <v>170</v>
      </c>
      <c r="F77" s="169">
        <v>547</v>
      </c>
      <c r="G77" s="169">
        <v>15</v>
      </c>
      <c r="H77" s="169">
        <v>12</v>
      </c>
      <c r="I77" s="165">
        <v>17.899999999999999</v>
      </c>
      <c r="J77" s="165">
        <v>55</v>
      </c>
      <c r="K77" s="166" t="s">
        <v>514</v>
      </c>
      <c r="L77" s="165">
        <v>2024</v>
      </c>
      <c r="M77" s="165" t="s">
        <v>579</v>
      </c>
      <c r="N77" s="165">
        <v>6</v>
      </c>
      <c r="O77" s="165">
        <v>127</v>
      </c>
      <c r="P77" s="165" t="s">
        <v>629</v>
      </c>
      <c r="Q77" s="165">
        <v>-70.887</v>
      </c>
      <c r="R77" s="165">
        <v>40.871000000000002</v>
      </c>
      <c r="S77" s="165" t="s">
        <v>172</v>
      </c>
      <c r="T77" s="165">
        <v>25</v>
      </c>
      <c r="U77" s="166" t="s">
        <v>516</v>
      </c>
      <c r="V77" s="167"/>
    </row>
    <row r="78" spans="1:22">
      <c r="A78" s="180" t="s">
        <v>332</v>
      </c>
      <c r="B78" s="169" t="s">
        <v>511</v>
      </c>
      <c r="C78" s="169" t="s">
        <v>630</v>
      </c>
      <c r="D78" s="169" t="s">
        <v>578</v>
      </c>
      <c r="E78" s="169" t="s">
        <v>170</v>
      </c>
      <c r="F78" s="169">
        <v>548</v>
      </c>
      <c r="G78" s="169">
        <v>15</v>
      </c>
      <c r="H78" s="169">
        <v>20</v>
      </c>
      <c r="I78" s="165">
        <v>4.3</v>
      </c>
      <c r="J78" s="165">
        <v>55</v>
      </c>
      <c r="K78" s="166" t="s">
        <v>514</v>
      </c>
      <c r="L78" s="165">
        <v>2024</v>
      </c>
      <c r="M78" s="165" t="s">
        <v>579</v>
      </c>
      <c r="N78" s="165">
        <v>6</v>
      </c>
      <c r="O78" s="165">
        <v>127</v>
      </c>
      <c r="P78" s="165" t="s">
        <v>631</v>
      </c>
      <c r="Q78" s="165">
        <v>-70.885999999999996</v>
      </c>
      <c r="R78" s="165">
        <v>40.871000000000002</v>
      </c>
      <c r="S78" s="165" t="s">
        <v>172</v>
      </c>
      <c r="T78" s="165">
        <v>25</v>
      </c>
      <c r="U78" s="166" t="s">
        <v>516</v>
      </c>
      <c r="V78" s="167"/>
    </row>
    <row r="79" spans="1:22">
      <c r="A79" s="180" t="s">
        <v>333</v>
      </c>
      <c r="B79" s="169" t="s">
        <v>511</v>
      </c>
      <c r="C79" s="169" t="s">
        <v>632</v>
      </c>
      <c r="D79" s="169" t="s">
        <v>578</v>
      </c>
      <c r="E79" s="169" t="s">
        <v>170</v>
      </c>
      <c r="F79" s="169">
        <v>547</v>
      </c>
      <c r="G79" s="169">
        <v>18</v>
      </c>
      <c r="H79" s="169">
        <v>9</v>
      </c>
      <c r="I79" s="165">
        <v>38.200000000000003</v>
      </c>
      <c r="J79" s="165">
        <v>214</v>
      </c>
      <c r="K79" s="166" t="s">
        <v>514</v>
      </c>
      <c r="L79" s="165">
        <v>2024</v>
      </c>
      <c r="M79" s="165" t="s">
        <v>579</v>
      </c>
      <c r="N79" s="165">
        <v>7</v>
      </c>
      <c r="O79" s="165">
        <v>128</v>
      </c>
      <c r="P79" s="165" t="s">
        <v>633</v>
      </c>
      <c r="Q79" s="165">
        <v>-70.888999999999996</v>
      </c>
      <c r="R79" s="165">
        <v>40.046999999999997</v>
      </c>
      <c r="S79" s="165" t="s">
        <v>172</v>
      </c>
      <c r="T79" s="165">
        <v>25</v>
      </c>
      <c r="U79" s="166" t="s">
        <v>516</v>
      </c>
      <c r="V79" s="167"/>
    </row>
    <row r="80" spans="1:22">
      <c r="A80" s="180" t="s">
        <v>334</v>
      </c>
      <c r="B80" s="169" t="s">
        <v>511</v>
      </c>
      <c r="C80" s="169" t="s">
        <v>634</v>
      </c>
      <c r="D80" s="169" t="s">
        <v>578</v>
      </c>
      <c r="E80" s="169" t="s">
        <v>170</v>
      </c>
      <c r="F80" s="169">
        <v>548</v>
      </c>
      <c r="G80" s="169">
        <v>18</v>
      </c>
      <c r="H80" s="169">
        <v>22</v>
      </c>
      <c r="I80" s="165">
        <v>3.4</v>
      </c>
      <c r="J80" s="165">
        <v>214</v>
      </c>
      <c r="K80" s="166" t="s">
        <v>514</v>
      </c>
      <c r="L80" s="165">
        <v>2024</v>
      </c>
      <c r="M80" s="165" t="s">
        <v>579</v>
      </c>
      <c r="N80" s="165">
        <v>7</v>
      </c>
      <c r="O80" s="165">
        <v>128</v>
      </c>
      <c r="P80" s="165" t="s">
        <v>635</v>
      </c>
      <c r="Q80" s="165">
        <v>-70.89</v>
      </c>
      <c r="R80" s="165">
        <v>40.048999999999999</v>
      </c>
      <c r="S80" s="165" t="s">
        <v>172</v>
      </c>
      <c r="T80" s="165">
        <v>25</v>
      </c>
      <c r="U80" s="166" t="s">
        <v>516</v>
      </c>
      <c r="V80" s="167"/>
    </row>
    <row r="81" spans="1:22">
      <c r="A81" s="180" t="s">
        <v>335</v>
      </c>
      <c r="B81" s="169" t="s">
        <v>511</v>
      </c>
      <c r="C81" s="169" t="s">
        <v>636</v>
      </c>
      <c r="D81" s="169" t="s">
        <v>578</v>
      </c>
      <c r="E81" s="169" t="s">
        <v>170</v>
      </c>
      <c r="F81" s="169">
        <v>547</v>
      </c>
      <c r="G81" s="169">
        <v>19</v>
      </c>
      <c r="H81" s="169">
        <v>9</v>
      </c>
      <c r="I81" s="165">
        <v>49.9</v>
      </c>
      <c r="J81" s="165">
        <v>123</v>
      </c>
      <c r="K81" s="166" t="s">
        <v>514</v>
      </c>
      <c r="L81" s="165">
        <v>2024</v>
      </c>
      <c r="M81" s="165" t="s">
        <v>579</v>
      </c>
      <c r="N81" s="165">
        <v>7</v>
      </c>
      <c r="O81" s="165">
        <v>128</v>
      </c>
      <c r="P81" s="165" t="s">
        <v>637</v>
      </c>
      <c r="Q81" s="165">
        <v>-70.885000000000005</v>
      </c>
      <c r="R81" s="165">
        <v>40.259</v>
      </c>
      <c r="S81" s="165" t="s">
        <v>172</v>
      </c>
      <c r="T81" s="165">
        <v>25</v>
      </c>
      <c r="U81" s="166" t="s">
        <v>516</v>
      </c>
      <c r="V81" s="167"/>
    </row>
    <row r="82" spans="1:22">
      <c r="A82" s="180" t="s">
        <v>336</v>
      </c>
      <c r="B82" s="169" t="s">
        <v>511</v>
      </c>
      <c r="C82" s="169" t="s">
        <v>638</v>
      </c>
      <c r="D82" s="169" t="s">
        <v>578</v>
      </c>
      <c r="E82" s="169" t="s">
        <v>170</v>
      </c>
      <c r="F82" s="169">
        <v>548</v>
      </c>
      <c r="G82" s="169">
        <v>19</v>
      </c>
      <c r="H82" s="169">
        <v>21</v>
      </c>
      <c r="I82" s="165">
        <v>3.5</v>
      </c>
      <c r="J82" s="165">
        <v>123</v>
      </c>
      <c r="K82" s="166" t="s">
        <v>514</v>
      </c>
      <c r="L82" s="165">
        <v>2024</v>
      </c>
      <c r="M82" s="165" t="s">
        <v>579</v>
      </c>
      <c r="N82" s="165">
        <v>7</v>
      </c>
      <c r="O82" s="165">
        <v>128</v>
      </c>
      <c r="P82" s="165" t="s">
        <v>639</v>
      </c>
      <c r="Q82" s="165">
        <v>-70.885000000000005</v>
      </c>
      <c r="R82" s="165">
        <v>40.259</v>
      </c>
      <c r="S82" s="165" t="s">
        <v>172</v>
      </c>
      <c r="T82" s="165">
        <v>25</v>
      </c>
      <c r="U82" s="166" t="s">
        <v>516</v>
      </c>
      <c r="V82" s="167"/>
    </row>
    <row r="83" spans="1:22">
      <c r="A83" s="180" t="s">
        <v>337</v>
      </c>
      <c r="B83" s="169" t="s">
        <v>511</v>
      </c>
      <c r="C83" s="169" t="s">
        <v>640</v>
      </c>
      <c r="D83" s="169" t="s">
        <v>578</v>
      </c>
      <c r="E83" s="169" t="s">
        <v>170</v>
      </c>
      <c r="F83" s="169">
        <v>537</v>
      </c>
      <c r="G83" s="169">
        <v>23</v>
      </c>
      <c r="H83" s="169">
        <v>2</v>
      </c>
      <c r="I83" s="165">
        <v>14.6</v>
      </c>
      <c r="J83" s="165">
        <v>19</v>
      </c>
      <c r="K83" s="166" t="s">
        <v>514</v>
      </c>
      <c r="L83" s="165">
        <v>2024</v>
      </c>
      <c r="M83" s="165" t="s">
        <v>579</v>
      </c>
      <c r="N83" s="165">
        <v>8</v>
      </c>
      <c r="O83" s="165">
        <v>129</v>
      </c>
      <c r="P83" s="165" t="s">
        <v>641</v>
      </c>
      <c r="Q83" s="165">
        <v>-70.584999999999994</v>
      </c>
      <c r="R83" s="165">
        <v>41.317</v>
      </c>
      <c r="S83" s="165" t="s">
        <v>172</v>
      </c>
      <c r="T83" s="165">
        <v>25</v>
      </c>
      <c r="U83" s="166" t="s">
        <v>516</v>
      </c>
      <c r="V83" s="167"/>
    </row>
    <row r="84" spans="1:22">
      <c r="A84" s="180" t="s">
        <v>338</v>
      </c>
      <c r="B84" s="169" t="s">
        <v>511</v>
      </c>
      <c r="C84" s="169" t="s">
        <v>642</v>
      </c>
      <c r="D84" s="169" t="s">
        <v>578</v>
      </c>
      <c r="E84" s="169" t="s">
        <v>170</v>
      </c>
      <c r="F84" s="169">
        <v>547</v>
      </c>
      <c r="G84" s="169">
        <v>23</v>
      </c>
      <c r="H84" s="169">
        <v>7</v>
      </c>
      <c r="I84" s="165">
        <v>9.6999999999999993</v>
      </c>
      <c r="J84" s="165">
        <v>19</v>
      </c>
      <c r="K84" s="166" t="s">
        <v>514</v>
      </c>
      <c r="L84" s="165">
        <v>2024</v>
      </c>
      <c r="M84" s="165" t="s">
        <v>579</v>
      </c>
      <c r="N84" s="165">
        <v>8</v>
      </c>
      <c r="O84" s="165">
        <v>129</v>
      </c>
      <c r="P84" s="165" t="s">
        <v>643</v>
      </c>
      <c r="Q84" s="165">
        <v>-70.584999999999994</v>
      </c>
      <c r="R84" s="165">
        <v>41.317</v>
      </c>
      <c r="S84" s="165" t="s">
        <v>172</v>
      </c>
      <c r="T84" s="165">
        <v>25</v>
      </c>
      <c r="U84" s="166" t="s">
        <v>516</v>
      </c>
      <c r="V84" s="167"/>
    </row>
    <row r="85" spans="1:22">
      <c r="A85" s="180" t="s">
        <v>340</v>
      </c>
      <c r="B85" s="169" t="s">
        <v>511</v>
      </c>
      <c r="C85" s="169" t="s">
        <v>644</v>
      </c>
      <c r="D85" s="169" t="s">
        <v>578</v>
      </c>
      <c r="E85" s="169" t="s">
        <v>170</v>
      </c>
      <c r="F85" s="169">
        <v>548</v>
      </c>
      <c r="G85" s="169">
        <v>23</v>
      </c>
      <c r="H85" s="169">
        <v>14</v>
      </c>
      <c r="I85" s="165">
        <v>3.3</v>
      </c>
      <c r="J85" s="165">
        <v>19</v>
      </c>
      <c r="K85" s="166" t="s">
        <v>514</v>
      </c>
      <c r="L85" s="165">
        <v>2024</v>
      </c>
      <c r="M85" s="165" t="s">
        <v>579</v>
      </c>
      <c r="N85" s="165">
        <v>8</v>
      </c>
      <c r="O85" s="165">
        <v>129</v>
      </c>
      <c r="P85" s="165" t="s">
        <v>645</v>
      </c>
      <c r="Q85" s="165">
        <v>-70.584999999999994</v>
      </c>
      <c r="R85" s="165">
        <v>41.316000000000003</v>
      </c>
      <c r="S85" s="165" t="s">
        <v>172</v>
      </c>
      <c r="T85" s="165">
        <v>25</v>
      </c>
      <c r="U85" s="166" t="s">
        <v>516</v>
      </c>
      <c r="V85" s="167"/>
    </row>
    <row r="86" spans="1:22" ht="14.25">
      <c r="A86" s="180" t="s">
        <v>341</v>
      </c>
      <c r="B86" s="165" t="s">
        <v>511</v>
      </c>
      <c r="C86" s="170" t="s">
        <v>646</v>
      </c>
      <c r="D86" s="165" t="s">
        <v>647</v>
      </c>
      <c r="E86" s="165" t="s">
        <v>170</v>
      </c>
      <c r="F86" s="165">
        <v>547</v>
      </c>
      <c r="G86" s="165">
        <v>2</v>
      </c>
      <c r="H86" s="165">
        <v>2</v>
      </c>
      <c r="I86" s="165">
        <v>15.3</v>
      </c>
      <c r="J86" s="165">
        <v>20</v>
      </c>
      <c r="K86" s="166" t="s">
        <v>514</v>
      </c>
      <c r="L86" s="165">
        <v>2024</v>
      </c>
      <c r="M86" s="165" t="s">
        <v>648</v>
      </c>
      <c r="N86" s="165">
        <v>6</v>
      </c>
      <c r="O86" s="165">
        <v>250</v>
      </c>
      <c r="P86" s="165" t="s">
        <v>649</v>
      </c>
      <c r="Q86" s="165">
        <v>-70.88</v>
      </c>
      <c r="R86" s="165">
        <v>41.195</v>
      </c>
      <c r="S86" s="165" t="s">
        <v>172</v>
      </c>
      <c r="T86" s="165">
        <v>25</v>
      </c>
      <c r="U86" s="166" t="s">
        <v>516</v>
      </c>
      <c r="V86" s="171" t="s">
        <v>650</v>
      </c>
    </row>
    <row r="87" spans="1:22">
      <c r="A87" s="180" t="s">
        <v>342</v>
      </c>
      <c r="B87" s="165" t="s">
        <v>511</v>
      </c>
      <c r="C87" s="165" t="s">
        <v>651</v>
      </c>
      <c r="D87" s="165" t="s">
        <v>647</v>
      </c>
      <c r="E87" s="165" t="s">
        <v>170</v>
      </c>
      <c r="F87" s="165">
        <v>548</v>
      </c>
      <c r="G87" s="165">
        <v>2</v>
      </c>
      <c r="H87" s="165">
        <v>13</v>
      </c>
      <c r="I87" s="165">
        <v>4.0999999999999996</v>
      </c>
      <c r="J87" s="165">
        <v>20</v>
      </c>
      <c r="K87" s="166" t="s">
        <v>514</v>
      </c>
      <c r="L87" s="165">
        <v>2024</v>
      </c>
      <c r="M87" s="165" t="s">
        <v>648</v>
      </c>
      <c r="N87" s="165">
        <v>6</v>
      </c>
      <c r="O87" s="165">
        <v>250</v>
      </c>
      <c r="P87" s="165" t="s">
        <v>652</v>
      </c>
      <c r="Q87" s="165">
        <v>-70.88</v>
      </c>
      <c r="R87" s="165">
        <v>41.195999999999998</v>
      </c>
      <c r="S87" s="165" t="s">
        <v>172</v>
      </c>
      <c r="T87" s="165">
        <v>25</v>
      </c>
      <c r="U87" s="166" t="s">
        <v>516</v>
      </c>
      <c r="V87" s="167"/>
    </row>
    <row r="88" spans="1:22">
      <c r="A88" s="180" t="s">
        <v>343</v>
      </c>
      <c r="B88" s="165" t="s">
        <v>511</v>
      </c>
      <c r="C88" s="165" t="s">
        <v>653</v>
      </c>
      <c r="D88" s="165" t="s">
        <v>647</v>
      </c>
      <c r="E88" s="165" t="s">
        <v>170</v>
      </c>
      <c r="F88" s="165">
        <v>540</v>
      </c>
      <c r="G88" s="165">
        <v>3</v>
      </c>
      <c r="H88" s="165">
        <v>6</v>
      </c>
      <c r="I88" s="165">
        <v>27.8</v>
      </c>
      <c r="J88" s="165">
        <v>46</v>
      </c>
      <c r="K88" s="166" t="s">
        <v>514</v>
      </c>
      <c r="L88" s="165">
        <v>2024</v>
      </c>
      <c r="M88" s="165" t="s">
        <v>648</v>
      </c>
      <c r="N88" s="165">
        <v>7</v>
      </c>
      <c r="O88" s="165">
        <v>251</v>
      </c>
      <c r="P88" s="165" t="s">
        <v>654</v>
      </c>
      <c r="Q88" s="165">
        <v>-70.884</v>
      </c>
      <c r="R88" s="165">
        <v>41.033000000000001</v>
      </c>
      <c r="S88" s="165" t="s">
        <v>172</v>
      </c>
      <c r="T88" s="165">
        <v>25</v>
      </c>
      <c r="U88" s="166" t="s">
        <v>516</v>
      </c>
      <c r="V88" s="167"/>
    </row>
    <row r="89" spans="1:22">
      <c r="A89" s="180" t="s">
        <v>344</v>
      </c>
      <c r="B89" s="165" t="s">
        <v>511</v>
      </c>
      <c r="C89" s="165" t="s">
        <v>655</v>
      </c>
      <c r="D89" s="165" t="s">
        <v>647</v>
      </c>
      <c r="E89" s="165" t="s">
        <v>170</v>
      </c>
      <c r="F89" s="165">
        <v>547</v>
      </c>
      <c r="G89" s="165">
        <v>3</v>
      </c>
      <c r="H89" s="165">
        <v>10</v>
      </c>
      <c r="I89" s="165">
        <v>21.3</v>
      </c>
      <c r="J89" s="165">
        <v>46</v>
      </c>
      <c r="K89" s="166" t="s">
        <v>514</v>
      </c>
      <c r="L89" s="165">
        <v>2024</v>
      </c>
      <c r="M89" s="165" t="s">
        <v>648</v>
      </c>
      <c r="N89" s="165">
        <v>7</v>
      </c>
      <c r="O89" s="165">
        <v>251</v>
      </c>
      <c r="P89" s="165" t="s">
        <v>656</v>
      </c>
      <c r="Q89" s="165">
        <v>-70.884</v>
      </c>
      <c r="R89" s="165">
        <v>41.033000000000001</v>
      </c>
      <c r="S89" s="165" t="s">
        <v>172</v>
      </c>
      <c r="T89" s="165">
        <v>25</v>
      </c>
      <c r="U89" s="166" t="s">
        <v>516</v>
      </c>
      <c r="V89" s="167"/>
    </row>
    <row r="90" spans="1:22">
      <c r="A90" s="180" t="s">
        <v>345</v>
      </c>
      <c r="B90" s="165" t="s">
        <v>511</v>
      </c>
      <c r="C90" s="165" t="s">
        <v>657</v>
      </c>
      <c r="D90" s="165" t="s">
        <v>647</v>
      </c>
      <c r="E90" s="165" t="s">
        <v>170</v>
      </c>
      <c r="F90" s="165">
        <v>548</v>
      </c>
      <c r="G90" s="165">
        <v>3</v>
      </c>
      <c r="H90" s="165">
        <v>18</v>
      </c>
      <c r="I90" s="165">
        <v>4.9000000000000004</v>
      </c>
      <c r="J90" s="165">
        <v>46</v>
      </c>
      <c r="K90" s="166" t="s">
        <v>514</v>
      </c>
      <c r="L90" s="165">
        <v>2024</v>
      </c>
      <c r="M90" s="165" t="s">
        <v>648</v>
      </c>
      <c r="N90" s="165">
        <v>7</v>
      </c>
      <c r="O90" s="165">
        <v>251</v>
      </c>
      <c r="P90" s="165" t="s">
        <v>554</v>
      </c>
      <c r="Q90" s="165">
        <v>-70.882999999999996</v>
      </c>
      <c r="R90" s="165">
        <v>41.033999999999999</v>
      </c>
      <c r="S90" s="165" t="s">
        <v>172</v>
      </c>
      <c r="T90" s="165">
        <v>25</v>
      </c>
      <c r="U90" s="166" t="s">
        <v>516</v>
      </c>
      <c r="V90" s="167"/>
    </row>
    <row r="91" spans="1:22">
      <c r="A91" s="180" t="s">
        <v>346</v>
      </c>
      <c r="B91" s="165" t="s">
        <v>511</v>
      </c>
      <c r="C91" s="165" t="s">
        <v>658</v>
      </c>
      <c r="D91" s="165" t="s">
        <v>647</v>
      </c>
      <c r="E91" s="165" t="s">
        <v>170</v>
      </c>
      <c r="F91" s="165">
        <v>547</v>
      </c>
      <c r="G91" s="165">
        <v>6</v>
      </c>
      <c r="H91" s="165">
        <v>5</v>
      </c>
      <c r="I91" s="165">
        <v>33.200000000000003</v>
      </c>
      <c r="J91" s="165">
        <v>64</v>
      </c>
      <c r="K91" s="166" t="s">
        <v>514</v>
      </c>
      <c r="L91" s="165">
        <v>2024</v>
      </c>
      <c r="M91" s="165" t="s">
        <v>648</v>
      </c>
      <c r="N91" s="165">
        <v>7</v>
      </c>
      <c r="O91" s="165">
        <v>251</v>
      </c>
      <c r="P91" s="165" t="s">
        <v>659</v>
      </c>
      <c r="Q91" s="165">
        <v>-70.891000000000005</v>
      </c>
      <c r="R91" s="165">
        <v>40.695999999999998</v>
      </c>
      <c r="S91" s="165" t="s">
        <v>172</v>
      </c>
      <c r="T91" s="165">
        <v>25</v>
      </c>
      <c r="U91" s="166" t="s">
        <v>516</v>
      </c>
      <c r="V91" s="167"/>
    </row>
    <row r="92" spans="1:22">
      <c r="A92" s="180" t="s">
        <v>347</v>
      </c>
      <c r="B92" s="165" t="s">
        <v>511</v>
      </c>
      <c r="C92" s="165" t="s">
        <v>660</v>
      </c>
      <c r="D92" s="165" t="s">
        <v>647</v>
      </c>
      <c r="E92" s="165" t="s">
        <v>170</v>
      </c>
      <c r="F92" s="165">
        <v>532</v>
      </c>
      <c r="G92" s="165">
        <v>6</v>
      </c>
      <c r="H92" s="165">
        <v>11</v>
      </c>
      <c r="I92" s="165">
        <v>25.3</v>
      </c>
      <c r="J92" s="165">
        <v>64</v>
      </c>
      <c r="K92" s="166" t="s">
        <v>514</v>
      </c>
      <c r="L92" s="165">
        <v>2024</v>
      </c>
      <c r="M92" s="165" t="s">
        <v>648</v>
      </c>
      <c r="N92" s="165">
        <v>7</v>
      </c>
      <c r="O92" s="165">
        <v>251</v>
      </c>
      <c r="P92" s="165" t="s">
        <v>661</v>
      </c>
      <c r="Q92" s="165">
        <v>-70.893000000000001</v>
      </c>
      <c r="R92" s="165">
        <v>40.695</v>
      </c>
      <c r="S92" s="165" t="s">
        <v>172</v>
      </c>
      <c r="T92" s="165">
        <v>25</v>
      </c>
      <c r="U92" s="166" t="s">
        <v>516</v>
      </c>
      <c r="V92" s="167"/>
    </row>
    <row r="93" spans="1:22">
      <c r="A93" s="180" t="s">
        <v>348</v>
      </c>
      <c r="B93" s="165" t="s">
        <v>511</v>
      </c>
      <c r="C93" s="165" t="s">
        <v>662</v>
      </c>
      <c r="D93" s="165" t="s">
        <v>647</v>
      </c>
      <c r="E93" s="165" t="s">
        <v>170</v>
      </c>
      <c r="F93" s="165">
        <v>548</v>
      </c>
      <c r="G93" s="165">
        <v>6</v>
      </c>
      <c r="H93" s="165">
        <v>18</v>
      </c>
      <c r="I93" s="165">
        <v>4.2</v>
      </c>
      <c r="J93" s="165">
        <v>64</v>
      </c>
      <c r="K93" s="166" t="s">
        <v>514</v>
      </c>
      <c r="L93" s="165">
        <v>2024</v>
      </c>
      <c r="M93" s="165" t="s">
        <v>648</v>
      </c>
      <c r="N93" s="165">
        <v>7</v>
      </c>
      <c r="O93" s="165">
        <v>251</v>
      </c>
      <c r="P93" s="165" t="s">
        <v>663</v>
      </c>
      <c r="Q93" s="165">
        <v>-70.896000000000001</v>
      </c>
      <c r="R93" s="165">
        <v>40.695</v>
      </c>
      <c r="S93" s="165" t="s">
        <v>172</v>
      </c>
      <c r="T93" s="165">
        <v>25</v>
      </c>
      <c r="U93" s="166" t="s">
        <v>516</v>
      </c>
      <c r="V93" s="167"/>
    </row>
    <row r="94" spans="1:22">
      <c r="A94" s="180" t="s">
        <v>349</v>
      </c>
      <c r="B94" s="165" t="s">
        <v>511</v>
      </c>
      <c r="C94" s="165" t="s">
        <v>664</v>
      </c>
      <c r="D94" s="165" t="s">
        <v>647</v>
      </c>
      <c r="E94" s="165" t="s">
        <v>173</v>
      </c>
      <c r="F94" s="165">
        <v>547</v>
      </c>
      <c r="G94" s="165">
        <v>7</v>
      </c>
      <c r="H94" s="165">
        <v>6</v>
      </c>
      <c r="I94" s="165">
        <v>42.2</v>
      </c>
      <c r="J94" s="165">
        <v>76</v>
      </c>
      <c r="K94" s="166" t="s">
        <v>514</v>
      </c>
      <c r="L94" s="165">
        <v>2024</v>
      </c>
      <c r="M94" s="165" t="s">
        <v>648</v>
      </c>
      <c r="N94" s="165">
        <v>7</v>
      </c>
      <c r="O94" s="165">
        <v>251</v>
      </c>
      <c r="P94" s="165" t="s">
        <v>665</v>
      </c>
      <c r="Q94" s="165">
        <v>-70.884</v>
      </c>
      <c r="R94" s="165">
        <v>40.514000000000003</v>
      </c>
      <c r="S94" s="165" t="s">
        <v>172</v>
      </c>
      <c r="T94" s="165">
        <v>25</v>
      </c>
      <c r="U94" s="166" t="s">
        <v>516</v>
      </c>
      <c r="V94" s="167"/>
    </row>
    <row r="95" spans="1:22">
      <c r="A95" s="180" t="s">
        <v>350</v>
      </c>
      <c r="B95" s="165" t="s">
        <v>511</v>
      </c>
      <c r="C95" s="165" t="s">
        <v>666</v>
      </c>
      <c r="D95" s="165" t="s">
        <v>647</v>
      </c>
      <c r="E95" s="165" t="s">
        <v>173</v>
      </c>
      <c r="F95" s="165">
        <v>547</v>
      </c>
      <c r="G95" s="165">
        <v>7</v>
      </c>
      <c r="H95" s="165">
        <v>6</v>
      </c>
      <c r="I95" s="165">
        <v>42.2</v>
      </c>
      <c r="J95" s="165">
        <v>76</v>
      </c>
      <c r="K95" s="166" t="s">
        <v>514</v>
      </c>
      <c r="L95" s="165">
        <v>2024</v>
      </c>
      <c r="M95" s="165" t="s">
        <v>648</v>
      </c>
      <c r="N95" s="165">
        <v>7</v>
      </c>
      <c r="O95" s="165">
        <v>251</v>
      </c>
      <c r="P95" s="165" t="s">
        <v>665</v>
      </c>
      <c r="Q95" s="165">
        <v>-70.884</v>
      </c>
      <c r="R95" s="165">
        <v>40.514000000000003</v>
      </c>
      <c r="S95" s="165" t="s">
        <v>172</v>
      </c>
      <c r="T95" s="165">
        <v>25</v>
      </c>
      <c r="U95" s="166" t="s">
        <v>516</v>
      </c>
      <c r="V95" s="167"/>
    </row>
    <row r="96" spans="1:22">
      <c r="A96" s="180" t="s">
        <v>351</v>
      </c>
      <c r="B96" s="165" t="s">
        <v>511</v>
      </c>
      <c r="C96" s="165" t="s">
        <v>667</v>
      </c>
      <c r="D96" s="165" t="s">
        <v>647</v>
      </c>
      <c r="E96" s="165" t="s">
        <v>170</v>
      </c>
      <c r="F96" s="165">
        <v>548</v>
      </c>
      <c r="G96" s="165">
        <v>7</v>
      </c>
      <c r="H96" s="165">
        <v>15</v>
      </c>
      <c r="I96" s="165">
        <v>4.4000000000000004</v>
      </c>
      <c r="J96" s="165">
        <v>76</v>
      </c>
      <c r="K96" s="166" t="s">
        <v>514</v>
      </c>
      <c r="L96" s="165">
        <v>2024</v>
      </c>
      <c r="M96" s="165" t="s">
        <v>648</v>
      </c>
      <c r="N96" s="165">
        <v>7</v>
      </c>
      <c r="O96" s="165">
        <v>251</v>
      </c>
      <c r="P96" s="165" t="s">
        <v>668</v>
      </c>
      <c r="Q96" s="165">
        <v>-70.882999999999996</v>
      </c>
      <c r="R96" s="165">
        <v>40.514000000000003</v>
      </c>
      <c r="S96" s="165" t="s">
        <v>172</v>
      </c>
      <c r="T96" s="165">
        <v>25</v>
      </c>
      <c r="U96" s="166" t="s">
        <v>516</v>
      </c>
      <c r="V96" s="167"/>
    </row>
    <row r="97" spans="1:22">
      <c r="A97" s="180" t="s">
        <v>352</v>
      </c>
      <c r="B97" s="165" t="s">
        <v>511</v>
      </c>
      <c r="C97" s="165" t="s">
        <v>669</v>
      </c>
      <c r="D97" s="165" t="s">
        <v>647</v>
      </c>
      <c r="E97" s="165" t="s">
        <v>170</v>
      </c>
      <c r="F97" s="165">
        <v>532</v>
      </c>
      <c r="G97" s="165">
        <v>8</v>
      </c>
      <c r="H97" s="165">
        <v>6</v>
      </c>
      <c r="I97" s="165">
        <v>72.900000000000006</v>
      </c>
      <c r="J97" s="165">
        <v>440</v>
      </c>
      <c r="K97" s="166" t="s">
        <v>514</v>
      </c>
      <c r="L97" s="165">
        <v>2024</v>
      </c>
      <c r="M97" s="165" t="s">
        <v>648</v>
      </c>
      <c r="N97" s="165">
        <v>8</v>
      </c>
      <c r="O97" s="165">
        <v>252</v>
      </c>
      <c r="P97" s="165" t="s">
        <v>670</v>
      </c>
      <c r="Q97" s="165">
        <v>-70.891999999999996</v>
      </c>
      <c r="R97" s="165">
        <v>39.941000000000003</v>
      </c>
      <c r="S97" s="165" t="s">
        <v>172</v>
      </c>
      <c r="T97" s="165">
        <v>25</v>
      </c>
      <c r="U97" s="166" t="s">
        <v>516</v>
      </c>
      <c r="V97" s="167"/>
    </row>
    <row r="98" spans="1:22">
      <c r="A98" s="180" t="s">
        <v>353</v>
      </c>
      <c r="B98" s="165" t="s">
        <v>511</v>
      </c>
      <c r="C98" s="165" t="s">
        <v>671</v>
      </c>
      <c r="D98" s="165" t="s">
        <v>647</v>
      </c>
      <c r="E98" s="165" t="s">
        <v>170</v>
      </c>
      <c r="F98" s="165">
        <v>547</v>
      </c>
      <c r="G98" s="165">
        <v>8</v>
      </c>
      <c r="H98" s="165">
        <v>9</v>
      </c>
      <c r="I98" s="165">
        <v>53.2</v>
      </c>
      <c r="J98" s="165">
        <v>440</v>
      </c>
      <c r="K98" s="166" t="s">
        <v>514</v>
      </c>
      <c r="L98" s="165">
        <v>2024</v>
      </c>
      <c r="M98" s="165" t="s">
        <v>648</v>
      </c>
      <c r="N98" s="165">
        <v>8</v>
      </c>
      <c r="O98" s="165">
        <v>252</v>
      </c>
      <c r="P98" s="165" t="s">
        <v>672</v>
      </c>
      <c r="Q98" s="165">
        <v>-70.893000000000001</v>
      </c>
      <c r="R98" s="165">
        <v>39.941000000000003</v>
      </c>
      <c r="S98" s="165" t="s">
        <v>172</v>
      </c>
      <c r="T98" s="165">
        <v>25</v>
      </c>
      <c r="U98" s="166" t="s">
        <v>516</v>
      </c>
      <c r="V98" s="167" t="s">
        <v>673</v>
      </c>
    </row>
    <row r="99" spans="1:22">
      <c r="A99" s="180" t="s">
        <v>354</v>
      </c>
      <c r="B99" s="165" t="s">
        <v>511</v>
      </c>
      <c r="C99" s="165" t="s">
        <v>674</v>
      </c>
      <c r="D99" s="165" t="s">
        <v>647</v>
      </c>
      <c r="E99" s="165" t="s">
        <v>170</v>
      </c>
      <c r="F99" s="165">
        <v>1055</v>
      </c>
      <c r="G99" s="165">
        <v>8</v>
      </c>
      <c r="H99" s="165">
        <v>21</v>
      </c>
      <c r="I99" s="165">
        <v>4.2</v>
      </c>
      <c r="J99" s="165">
        <v>440</v>
      </c>
      <c r="K99" s="166" t="s">
        <v>514</v>
      </c>
      <c r="L99" s="165">
        <v>2024</v>
      </c>
      <c r="M99" s="165" t="s">
        <v>648</v>
      </c>
      <c r="N99" s="165">
        <v>8</v>
      </c>
      <c r="O99" s="165">
        <v>252</v>
      </c>
      <c r="P99" s="165" t="s">
        <v>675</v>
      </c>
      <c r="Q99" s="165">
        <v>-70.896000000000001</v>
      </c>
      <c r="R99" s="165">
        <v>39.941000000000003</v>
      </c>
      <c r="S99" s="165" t="s">
        <v>172</v>
      </c>
      <c r="T99" s="165">
        <v>25</v>
      </c>
      <c r="U99" s="166" t="s">
        <v>516</v>
      </c>
      <c r="V99" s="167"/>
    </row>
    <row r="100" spans="1:22">
      <c r="A100" s="180" t="s">
        <v>355</v>
      </c>
      <c r="B100" s="165" t="s">
        <v>511</v>
      </c>
      <c r="C100" s="165" t="s">
        <v>676</v>
      </c>
      <c r="D100" s="165" t="s">
        <v>647</v>
      </c>
      <c r="E100" s="165" t="s">
        <v>170</v>
      </c>
      <c r="F100" s="165">
        <v>547</v>
      </c>
      <c r="G100" s="165">
        <v>11</v>
      </c>
      <c r="H100" s="165">
        <v>9</v>
      </c>
      <c r="I100" s="165">
        <v>46.2</v>
      </c>
      <c r="J100" s="165">
        <v>1597</v>
      </c>
      <c r="K100" s="166" t="s">
        <v>514</v>
      </c>
      <c r="L100" s="165">
        <v>2024</v>
      </c>
      <c r="M100" s="165" t="s">
        <v>648</v>
      </c>
      <c r="N100" s="165">
        <v>8</v>
      </c>
      <c r="O100" s="165">
        <v>252</v>
      </c>
      <c r="P100" s="165" t="s">
        <v>677</v>
      </c>
      <c r="Q100" s="165">
        <v>-70.897000000000006</v>
      </c>
      <c r="R100" s="165">
        <v>39.773000000000003</v>
      </c>
      <c r="S100" s="165" t="s">
        <v>172</v>
      </c>
      <c r="T100" s="165">
        <v>25</v>
      </c>
      <c r="U100" s="166" t="s">
        <v>516</v>
      </c>
      <c r="V100" s="167"/>
    </row>
    <row r="101" spans="1:22">
      <c r="A101" s="180" t="s">
        <v>356</v>
      </c>
      <c r="B101" s="165" t="s">
        <v>511</v>
      </c>
      <c r="C101" s="165" t="s">
        <v>678</v>
      </c>
      <c r="D101" s="165" t="s">
        <v>647</v>
      </c>
      <c r="E101" s="165" t="s">
        <v>170</v>
      </c>
      <c r="F101" s="165">
        <v>1055</v>
      </c>
      <c r="G101" s="165">
        <v>11</v>
      </c>
      <c r="H101" s="165">
        <v>14</v>
      </c>
      <c r="I101" s="165">
        <v>29.3</v>
      </c>
      <c r="J101" s="165">
        <v>1597</v>
      </c>
      <c r="K101" s="166" t="s">
        <v>514</v>
      </c>
      <c r="L101" s="165">
        <v>2024</v>
      </c>
      <c r="M101" s="165" t="s">
        <v>648</v>
      </c>
      <c r="N101" s="165">
        <v>8</v>
      </c>
      <c r="O101" s="165">
        <v>252</v>
      </c>
      <c r="P101" s="165" t="s">
        <v>679</v>
      </c>
      <c r="Q101" s="165">
        <v>-70.899000000000001</v>
      </c>
      <c r="R101" s="165">
        <v>39.773000000000003</v>
      </c>
      <c r="S101" s="165" t="s">
        <v>172</v>
      </c>
      <c r="T101" s="165">
        <v>25</v>
      </c>
      <c r="U101" s="166" t="s">
        <v>516</v>
      </c>
      <c r="V101" s="167"/>
    </row>
    <row r="102" spans="1:22">
      <c r="A102" s="180" t="s">
        <v>1009</v>
      </c>
      <c r="B102" s="165" t="s">
        <v>511</v>
      </c>
      <c r="C102" s="165" t="s">
        <v>680</v>
      </c>
      <c r="D102" s="165" t="s">
        <v>647</v>
      </c>
      <c r="E102" s="165" t="s">
        <v>170</v>
      </c>
      <c r="F102" s="165">
        <v>1065</v>
      </c>
      <c r="G102" s="165">
        <v>11</v>
      </c>
      <c r="H102" s="165">
        <v>18</v>
      </c>
      <c r="I102" s="165">
        <v>3.9</v>
      </c>
      <c r="J102" s="165">
        <v>1597</v>
      </c>
      <c r="K102" s="166" t="s">
        <v>514</v>
      </c>
      <c r="L102" s="165">
        <v>2024</v>
      </c>
      <c r="M102" s="165" t="s">
        <v>648</v>
      </c>
      <c r="N102" s="165">
        <v>8</v>
      </c>
      <c r="O102" s="165">
        <v>252</v>
      </c>
      <c r="P102" s="165" t="s">
        <v>681</v>
      </c>
      <c r="Q102" s="165">
        <v>-70.900000000000006</v>
      </c>
      <c r="R102" s="165">
        <v>39.773000000000003</v>
      </c>
      <c r="S102" s="165" t="s">
        <v>172</v>
      </c>
      <c r="T102" s="165">
        <v>25</v>
      </c>
      <c r="U102" s="166" t="s">
        <v>516</v>
      </c>
      <c r="V102" s="167"/>
    </row>
    <row r="103" spans="1:22">
      <c r="A103" s="180" t="s">
        <v>1010</v>
      </c>
      <c r="B103" s="165" t="s">
        <v>511</v>
      </c>
      <c r="C103" s="165" t="s">
        <v>682</v>
      </c>
      <c r="D103" s="165" t="s">
        <v>647</v>
      </c>
      <c r="E103" s="165" t="s">
        <v>170</v>
      </c>
      <c r="F103" s="165">
        <v>1055</v>
      </c>
      <c r="G103" s="165">
        <v>14</v>
      </c>
      <c r="H103" s="165">
        <v>5</v>
      </c>
      <c r="I103" s="165">
        <v>51.9</v>
      </c>
      <c r="J103" s="165">
        <v>93</v>
      </c>
      <c r="K103" s="166" t="s">
        <v>514</v>
      </c>
      <c r="L103" s="165">
        <v>2024</v>
      </c>
      <c r="M103" s="165" t="s">
        <v>648</v>
      </c>
      <c r="N103" s="165">
        <v>9</v>
      </c>
      <c r="O103" s="165">
        <v>253</v>
      </c>
      <c r="P103" s="165" t="s">
        <v>683</v>
      </c>
      <c r="Q103" s="165">
        <v>-70.906000000000006</v>
      </c>
      <c r="R103" s="165">
        <v>40.353999999999999</v>
      </c>
      <c r="S103" s="165" t="s">
        <v>172</v>
      </c>
      <c r="T103" s="165">
        <v>25</v>
      </c>
      <c r="U103" s="166" t="s">
        <v>516</v>
      </c>
      <c r="V103" s="167"/>
    </row>
    <row r="104" spans="1:22">
      <c r="A104" s="180" t="s">
        <v>1011</v>
      </c>
      <c r="B104" s="165" t="s">
        <v>511</v>
      </c>
      <c r="C104" s="165" t="s">
        <v>684</v>
      </c>
      <c r="D104" s="165" t="s">
        <v>647</v>
      </c>
      <c r="E104" s="165" t="s">
        <v>170</v>
      </c>
      <c r="F104" s="165">
        <v>547</v>
      </c>
      <c r="G104" s="165">
        <v>14</v>
      </c>
      <c r="H104" s="165">
        <v>8</v>
      </c>
      <c r="I104" s="165">
        <v>35.1</v>
      </c>
      <c r="J104" s="165">
        <v>93</v>
      </c>
      <c r="K104" s="166" t="s">
        <v>514</v>
      </c>
      <c r="L104" s="165">
        <v>2024</v>
      </c>
      <c r="M104" s="165" t="s">
        <v>648</v>
      </c>
      <c r="N104" s="165">
        <v>9</v>
      </c>
      <c r="O104" s="165">
        <v>253</v>
      </c>
      <c r="P104" s="165" t="s">
        <v>685</v>
      </c>
      <c r="Q104" s="165">
        <v>-70.908000000000001</v>
      </c>
      <c r="R104" s="165">
        <v>40.353000000000002</v>
      </c>
      <c r="S104" s="165" t="s">
        <v>172</v>
      </c>
      <c r="T104" s="165">
        <v>25</v>
      </c>
      <c r="U104" s="166" t="s">
        <v>516</v>
      </c>
      <c r="V104" s="167"/>
    </row>
    <row r="105" spans="1:22">
      <c r="A105" s="180" t="s">
        <v>357</v>
      </c>
      <c r="B105" s="165" t="s">
        <v>511</v>
      </c>
      <c r="C105" s="165" t="s">
        <v>686</v>
      </c>
      <c r="D105" s="165" t="s">
        <v>647</v>
      </c>
      <c r="E105" s="165" t="s">
        <v>170</v>
      </c>
      <c r="F105" s="165">
        <v>1055</v>
      </c>
      <c r="G105" s="165">
        <v>14</v>
      </c>
      <c r="H105" s="165">
        <v>18</v>
      </c>
      <c r="I105" s="165">
        <v>5.8</v>
      </c>
      <c r="J105" s="165">
        <v>93</v>
      </c>
      <c r="K105" s="166" t="s">
        <v>514</v>
      </c>
      <c r="L105" s="165">
        <v>2024</v>
      </c>
      <c r="M105" s="165" t="s">
        <v>648</v>
      </c>
      <c r="N105" s="165">
        <v>9</v>
      </c>
      <c r="O105" s="165">
        <v>253</v>
      </c>
      <c r="P105" s="165" t="s">
        <v>687</v>
      </c>
      <c r="Q105" s="165">
        <v>-70.912000000000006</v>
      </c>
      <c r="R105" s="165">
        <v>40.351999999999997</v>
      </c>
      <c r="S105" s="165" t="s">
        <v>172</v>
      </c>
      <c r="T105" s="165">
        <v>25</v>
      </c>
      <c r="U105" s="166" t="s">
        <v>516</v>
      </c>
      <c r="V105" s="167"/>
    </row>
    <row r="106" spans="1:22">
      <c r="A106" s="180" t="s">
        <v>358</v>
      </c>
      <c r="B106" s="165" t="s">
        <v>511</v>
      </c>
      <c r="C106" s="165" t="s">
        <v>688</v>
      </c>
      <c r="D106" s="165" t="s">
        <v>647</v>
      </c>
      <c r="E106" s="165" t="s">
        <v>170</v>
      </c>
      <c r="F106" s="165">
        <v>1055</v>
      </c>
      <c r="G106" s="165">
        <v>15</v>
      </c>
      <c r="H106" s="165">
        <v>8</v>
      </c>
      <c r="I106" s="165">
        <v>37.6</v>
      </c>
      <c r="J106" s="165">
        <v>137</v>
      </c>
      <c r="K106" s="166" t="s">
        <v>514</v>
      </c>
      <c r="L106" s="165">
        <v>2024</v>
      </c>
      <c r="M106" s="165" t="s">
        <v>648</v>
      </c>
      <c r="N106" s="165">
        <v>9</v>
      </c>
      <c r="O106" s="165">
        <v>253</v>
      </c>
      <c r="P106" s="165" t="s">
        <v>689</v>
      </c>
      <c r="Q106" s="165">
        <v>-70.884</v>
      </c>
      <c r="R106" s="165">
        <v>40.151000000000003</v>
      </c>
      <c r="S106" s="165" t="s">
        <v>172</v>
      </c>
      <c r="T106" s="165">
        <v>25</v>
      </c>
      <c r="U106" s="166" t="s">
        <v>516</v>
      </c>
      <c r="V106" s="167"/>
    </row>
    <row r="107" spans="1:22">
      <c r="A107" s="180" t="s">
        <v>359</v>
      </c>
      <c r="B107" s="165" t="s">
        <v>511</v>
      </c>
      <c r="C107" s="165" t="s">
        <v>690</v>
      </c>
      <c r="D107" s="165" t="s">
        <v>647</v>
      </c>
      <c r="E107" s="165" t="s">
        <v>173</v>
      </c>
      <c r="F107" s="165">
        <v>547</v>
      </c>
      <c r="G107" s="165">
        <v>15</v>
      </c>
      <c r="H107" s="165">
        <v>11</v>
      </c>
      <c r="I107" s="165">
        <v>24.6</v>
      </c>
      <c r="J107" s="165">
        <v>137</v>
      </c>
      <c r="K107" s="166" t="s">
        <v>514</v>
      </c>
      <c r="L107" s="165">
        <v>2024</v>
      </c>
      <c r="M107" s="165" t="s">
        <v>648</v>
      </c>
      <c r="N107" s="165">
        <v>9</v>
      </c>
      <c r="O107" s="165">
        <v>253</v>
      </c>
      <c r="P107" s="165" t="s">
        <v>659</v>
      </c>
      <c r="Q107" s="165">
        <v>-70.884</v>
      </c>
      <c r="R107" s="165">
        <v>40.15</v>
      </c>
      <c r="S107" s="165" t="s">
        <v>172</v>
      </c>
      <c r="T107" s="165">
        <v>25</v>
      </c>
      <c r="U107" s="166" t="s">
        <v>516</v>
      </c>
      <c r="V107" s="167"/>
    </row>
    <row r="108" spans="1:22">
      <c r="A108" s="180" t="s">
        <v>360</v>
      </c>
      <c r="B108" s="165" t="s">
        <v>511</v>
      </c>
      <c r="C108" s="165" t="s">
        <v>691</v>
      </c>
      <c r="D108" s="165" t="s">
        <v>647</v>
      </c>
      <c r="E108" s="165" t="s">
        <v>173</v>
      </c>
      <c r="F108" s="165">
        <v>547</v>
      </c>
      <c r="G108" s="165">
        <v>15</v>
      </c>
      <c r="H108" s="165">
        <v>11</v>
      </c>
      <c r="I108" s="165">
        <v>24.6</v>
      </c>
      <c r="J108" s="165">
        <v>137</v>
      </c>
      <c r="K108" s="166" t="s">
        <v>514</v>
      </c>
      <c r="L108" s="165">
        <v>2024</v>
      </c>
      <c r="M108" s="165" t="s">
        <v>648</v>
      </c>
      <c r="N108" s="165">
        <v>9</v>
      </c>
      <c r="O108" s="165">
        <v>253</v>
      </c>
      <c r="P108" s="165" t="s">
        <v>659</v>
      </c>
      <c r="Q108" s="165">
        <v>-70.884</v>
      </c>
      <c r="R108" s="165">
        <v>40.15</v>
      </c>
      <c r="S108" s="165" t="s">
        <v>172</v>
      </c>
      <c r="T108" s="165">
        <v>25</v>
      </c>
      <c r="U108" s="166" t="s">
        <v>516</v>
      </c>
      <c r="V108" s="167"/>
    </row>
    <row r="109" spans="1:22">
      <c r="A109" s="180" t="s">
        <v>361</v>
      </c>
      <c r="B109" s="165" t="s">
        <v>511</v>
      </c>
      <c r="C109" s="165" t="s">
        <v>692</v>
      </c>
      <c r="D109" s="165" t="s">
        <v>647</v>
      </c>
      <c r="E109" s="165" t="s">
        <v>170</v>
      </c>
      <c r="F109" s="165">
        <v>1055</v>
      </c>
      <c r="G109" s="165">
        <v>15</v>
      </c>
      <c r="H109" s="165">
        <v>18</v>
      </c>
      <c r="I109" s="165">
        <v>3.9</v>
      </c>
      <c r="J109" s="165">
        <v>137</v>
      </c>
      <c r="K109" s="166" t="s">
        <v>514</v>
      </c>
      <c r="L109" s="165">
        <v>2024</v>
      </c>
      <c r="M109" s="165" t="s">
        <v>648</v>
      </c>
      <c r="N109" s="165">
        <v>9</v>
      </c>
      <c r="O109" s="165">
        <v>253</v>
      </c>
      <c r="P109" s="165" t="s">
        <v>693</v>
      </c>
      <c r="Q109" s="165">
        <v>-70.884</v>
      </c>
      <c r="R109" s="165">
        <v>40.15</v>
      </c>
      <c r="S109" s="165" t="s">
        <v>172</v>
      </c>
      <c r="T109" s="165">
        <v>25</v>
      </c>
      <c r="U109" s="166" t="s">
        <v>516</v>
      </c>
      <c r="V109" s="167"/>
    </row>
    <row r="110" spans="1:22">
      <c r="A110" s="180" t="s">
        <v>362</v>
      </c>
      <c r="B110" s="165" t="s">
        <v>511</v>
      </c>
      <c r="C110" s="165" t="s">
        <v>694</v>
      </c>
      <c r="D110" s="165" t="s">
        <v>647</v>
      </c>
      <c r="E110" s="165" t="s">
        <v>170</v>
      </c>
      <c r="F110" s="165">
        <v>547</v>
      </c>
      <c r="G110" s="165">
        <v>16</v>
      </c>
      <c r="H110" s="165">
        <v>8</v>
      </c>
      <c r="I110" s="165">
        <v>30.2</v>
      </c>
      <c r="J110" s="165">
        <v>122</v>
      </c>
      <c r="K110" s="166" t="s">
        <v>514</v>
      </c>
      <c r="L110" s="165">
        <v>2024</v>
      </c>
      <c r="M110" s="165" t="s">
        <v>648</v>
      </c>
      <c r="N110" s="165">
        <v>9</v>
      </c>
      <c r="O110" s="165">
        <v>253</v>
      </c>
      <c r="P110" s="165" t="s">
        <v>695</v>
      </c>
      <c r="Q110" s="165">
        <v>-70.887</v>
      </c>
      <c r="R110" s="165">
        <v>40.247</v>
      </c>
      <c r="S110" s="165" t="s">
        <v>172</v>
      </c>
      <c r="T110" s="165">
        <v>25</v>
      </c>
      <c r="U110" s="166" t="s">
        <v>516</v>
      </c>
      <c r="V110" s="167"/>
    </row>
    <row r="111" spans="1:22">
      <c r="A111" s="180" t="s">
        <v>363</v>
      </c>
      <c r="B111" s="165" t="s">
        <v>511</v>
      </c>
      <c r="C111" s="165" t="s">
        <v>696</v>
      </c>
      <c r="D111" s="165" t="s">
        <v>647</v>
      </c>
      <c r="E111" s="165" t="s">
        <v>170</v>
      </c>
      <c r="F111" s="165">
        <v>1055</v>
      </c>
      <c r="G111" s="165">
        <v>16</v>
      </c>
      <c r="H111" s="165">
        <v>19</v>
      </c>
      <c r="I111" s="165">
        <v>4.2</v>
      </c>
      <c r="J111" s="165">
        <v>122</v>
      </c>
      <c r="K111" s="166" t="s">
        <v>514</v>
      </c>
      <c r="L111" s="165">
        <v>2024</v>
      </c>
      <c r="M111" s="165" t="s">
        <v>648</v>
      </c>
      <c r="N111" s="165">
        <v>9</v>
      </c>
      <c r="O111" s="165">
        <v>253</v>
      </c>
      <c r="P111" s="165" t="s">
        <v>697</v>
      </c>
      <c r="Q111" s="165">
        <v>-70.888000000000005</v>
      </c>
      <c r="R111" s="165">
        <v>40.244999999999997</v>
      </c>
      <c r="S111" s="165" t="s">
        <v>172</v>
      </c>
      <c r="T111" s="165">
        <v>25</v>
      </c>
      <c r="U111" s="166" t="s">
        <v>516</v>
      </c>
      <c r="V111" s="167"/>
    </row>
    <row r="112" spans="1:22" ht="14.25">
      <c r="A112" s="180" t="s">
        <v>365</v>
      </c>
      <c r="B112" s="165" t="s">
        <v>511</v>
      </c>
      <c r="C112" s="165" t="s">
        <v>698</v>
      </c>
      <c r="D112" s="165" t="s">
        <v>647</v>
      </c>
      <c r="E112" s="165" t="s">
        <v>173</v>
      </c>
      <c r="F112" s="165">
        <v>542</v>
      </c>
      <c r="G112" s="165">
        <v>19</v>
      </c>
      <c r="H112" s="165">
        <v>10</v>
      </c>
      <c r="I112" s="165">
        <v>39.6</v>
      </c>
      <c r="J112" s="165">
        <v>205</v>
      </c>
      <c r="K112" s="166" t="s">
        <v>514</v>
      </c>
      <c r="L112" s="165">
        <v>2024</v>
      </c>
      <c r="M112" s="165" t="s">
        <v>648</v>
      </c>
      <c r="N112" s="165">
        <v>10</v>
      </c>
      <c r="O112" s="165">
        <v>254</v>
      </c>
      <c r="P112" s="165" t="s">
        <v>699</v>
      </c>
      <c r="Q112" s="165">
        <v>-70.885000000000005</v>
      </c>
      <c r="R112" s="165">
        <v>40.042999999999999</v>
      </c>
      <c r="S112" s="165" t="s">
        <v>172</v>
      </c>
      <c r="T112" s="165">
        <v>25</v>
      </c>
      <c r="U112" s="166" t="s">
        <v>516</v>
      </c>
      <c r="V112" s="172" t="s">
        <v>700</v>
      </c>
    </row>
    <row r="113" spans="1:22">
      <c r="A113" s="180" t="s">
        <v>366</v>
      </c>
      <c r="B113" s="165" t="s">
        <v>511</v>
      </c>
      <c r="C113" s="165" t="s">
        <v>701</v>
      </c>
      <c r="D113" s="165" t="s">
        <v>647</v>
      </c>
      <c r="E113" s="165" t="s">
        <v>173</v>
      </c>
      <c r="F113" s="165">
        <v>547</v>
      </c>
      <c r="G113" s="165">
        <v>19</v>
      </c>
      <c r="H113" s="165">
        <v>10</v>
      </c>
      <c r="I113" s="165">
        <v>39.6</v>
      </c>
      <c r="J113" s="165">
        <v>205</v>
      </c>
      <c r="K113" s="166" t="s">
        <v>514</v>
      </c>
      <c r="L113" s="165">
        <v>2024</v>
      </c>
      <c r="M113" s="165" t="s">
        <v>648</v>
      </c>
      <c r="N113" s="165">
        <v>10</v>
      </c>
      <c r="O113" s="165">
        <v>254</v>
      </c>
      <c r="P113" s="165" t="s">
        <v>699</v>
      </c>
      <c r="Q113" s="165">
        <v>-70.885000000000005</v>
      </c>
      <c r="R113" s="165">
        <v>40.042999999999999</v>
      </c>
      <c r="S113" s="165" t="s">
        <v>172</v>
      </c>
      <c r="T113" s="165">
        <v>25</v>
      </c>
      <c r="U113" s="166" t="s">
        <v>516</v>
      </c>
      <c r="V113" s="167"/>
    </row>
    <row r="114" spans="1:22">
      <c r="A114" s="180" t="s">
        <v>367</v>
      </c>
      <c r="B114" s="165" t="s">
        <v>511</v>
      </c>
      <c r="C114" s="165" t="s">
        <v>702</v>
      </c>
      <c r="D114" s="165" t="s">
        <v>647</v>
      </c>
      <c r="E114" s="165" t="s">
        <v>170</v>
      </c>
      <c r="F114" s="165">
        <v>1055</v>
      </c>
      <c r="G114" s="165">
        <v>19</v>
      </c>
      <c r="H114" s="165">
        <v>20</v>
      </c>
      <c r="I114" s="165">
        <v>6</v>
      </c>
      <c r="J114" s="165">
        <v>205</v>
      </c>
      <c r="K114" s="166" t="s">
        <v>514</v>
      </c>
      <c r="L114" s="165">
        <v>2024</v>
      </c>
      <c r="M114" s="165" t="s">
        <v>648</v>
      </c>
      <c r="N114" s="165">
        <v>10</v>
      </c>
      <c r="O114" s="165">
        <v>254</v>
      </c>
      <c r="P114" s="165" t="s">
        <v>703</v>
      </c>
      <c r="Q114" s="165">
        <v>-70.885000000000005</v>
      </c>
      <c r="R114" s="165">
        <v>40.042000000000002</v>
      </c>
      <c r="S114" s="165" t="s">
        <v>172</v>
      </c>
      <c r="T114" s="165">
        <v>25</v>
      </c>
      <c r="U114" s="166" t="s">
        <v>516</v>
      </c>
      <c r="V114" s="167"/>
    </row>
    <row r="115" spans="1:22">
      <c r="A115" s="180" t="s">
        <v>368</v>
      </c>
      <c r="B115" s="165" t="s">
        <v>511</v>
      </c>
      <c r="C115" s="165" t="s">
        <v>704</v>
      </c>
      <c r="D115" s="165" t="s">
        <v>647</v>
      </c>
      <c r="E115" s="165" t="s">
        <v>170</v>
      </c>
      <c r="F115" s="165">
        <v>547</v>
      </c>
      <c r="G115" s="165">
        <v>20</v>
      </c>
      <c r="H115" s="165">
        <v>9</v>
      </c>
      <c r="I115" s="165">
        <v>34</v>
      </c>
      <c r="J115" s="165">
        <v>55</v>
      </c>
      <c r="K115" s="166" t="s">
        <v>514</v>
      </c>
      <c r="L115" s="165">
        <v>2024</v>
      </c>
      <c r="M115" s="165" t="s">
        <v>648</v>
      </c>
      <c r="N115" s="165">
        <v>10</v>
      </c>
      <c r="O115" s="165">
        <v>254</v>
      </c>
      <c r="P115" s="165" t="s">
        <v>705</v>
      </c>
      <c r="Q115" s="165">
        <v>-70.884</v>
      </c>
      <c r="R115" s="165">
        <v>40.862000000000002</v>
      </c>
      <c r="S115" s="165" t="s">
        <v>172</v>
      </c>
      <c r="T115" s="165">
        <v>25</v>
      </c>
      <c r="U115" s="166" t="s">
        <v>516</v>
      </c>
      <c r="V115" s="167"/>
    </row>
    <row r="116" spans="1:22">
      <c r="A116" s="180" t="s">
        <v>369</v>
      </c>
      <c r="B116" s="165" t="s">
        <v>511</v>
      </c>
      <c r="C116" s="165" t="s">
        <v>706</v>
      </c>
      <c r="D116" s="165" t="s">
        <v>647</v>
      </c>
      <c r="E116" s="165" t="s">
        <v>170</v>
      </c>
      <c r="F116" s="165">
        <v>548</v>
      </c>
      <c r="G116" s="165">
        <v>20</v>
      </c>
      <c r="H116" s="165">
        <v>20</v>
      </c>
      <c r="I116" s="165">
        <v>3.9</v>
      </c>
      <c r="J116" s="165">
        <v>55</v>
      </c>
      <c r="K116" s="166" t="s">
        <v>514</v>
      </c>
      <c r="L116" s="165">
        <v>2024</v>
      </c>
      <c r="M116" s="165" t="s">
        <v>648</v>
      </c>
      <c r="N116" s="165">
        <v>10</v>
      </c>
      <c r="O116" s="165">
        <v>254</v>
      </c>
      <c r="P116" s="165" t="s">
        <v>707</v>
      </c>
      <c r="Q116" s="165">
        <v>-70.882999999999996</v>
      </c>
      <c r="R116" s="165">
        <v>40.860999999999997</v>
      </c>
      <c r="S116" s="165" t="s">
        <v>172</v>
      </c>
      <c r="T116" s="165">
        <v>25</v>
      </c>
      <c r="U116" s="166" t="s">
        <v>516</v>
      </c>
      <c r="V116" s="167"/>
    </row>
    <row r="117" spans="1:22">
      <c r="A117" s="180" t="s">
        <v>370</v>
      </c>
      <c r="B117" s="165" t="s">
        <v>511</v>
      </c>
      <c r="C117" s="165" t="s">
        <v>708</v>
      </c>
      <c r="D117" s="165" t="s">
        <v>647</v>
      </c>
      <c r="E117" s="165" t="s">
        <v>170</v>
      </c>
      <c r="F117" s="165">
        <v>532</v>
      </c>
      <c r="G117" s="165">
        <v>24</v>
      </c>
      <c r="H117" s="165">
        <v>2</v>
      </c>
      <c r="I117" s="165">
        <v>15.6</v>
      </c>
      <c r="J117" s="165">
        <v>18</v>
      </c>
      <c r="K117" s="166" t="s">
        <v>514</v>
      </c>
      <c r="L117" s="165">
        <v>2024</v>
      </c>
      <c r="M117" s="165" t="s">
        <v>648</v>
      </c>
      <c r="N117" s="165">
        <v>11</v>
      </c>
      <c r="O117" s="165">
        <v>255</v>
      </c>
      <c r="P117" s="165" t="s">
        <v>641</v>
      </c>
      <c r="Q117" s="165">
        <v>-70.581000000000003</v>
      </c>
      <c r="R117" s="165">
        <v>41.317999999999998</v>
      </c>
      <c r="S117" s="165" t="s">
        <v>172</v>
      </c>
      <c r="T117" s="165">
        <v>25</v>
      </c>
      <c r="U117" s="166" t="s">
        <v>516</v>
      </c>
      <c r="V117" s="167"/>
    </row>
    <row r="118" spans="1:22">
      <c r="A118" s="180" t="s">
        <v>371</v>
      </c>
      <c r="B118" s="165" t="s">
        <v>511</v>
      </c>
      <c r="C118" s="165" t="s">
        <v>709</v>
      </c>
      <c r="D118" s="165" t="s">
        <v>647</v>
      </c>
      <c r="E118" s="165" t="s">
        <v>170</v>
      </c>
      <c r="F118" s="165">
        <v>547</v>
      </c>
      <c r="G118" s="165">
        <v>24</v>
      </c>
      <c r="H118" s="165">
        <v>4</v>
      </c>
      <c r="I118" s="165">
        <v>8.5</v>
      </c>
      <c r="J118" s="165">
        <v>18</v>
      </c>
      <c r="K118" s="166" t="s">
        <v>514</v>
      </c>
      <c r="L118" s="165">
        <v>2024</v>
      </c>
      <c r="M118" s="165" t="s">
        <v>648</v>
      </c>
      <c r="N118" s="165">
        <v>11</v>
      </c>
      <c r="O118" s="165">
        <v>255</v>
      </c>
      <c r="P118" s="165" t="s">
        <v>683</v>
      </c>
      <c r="Q118" s="165">
        <v>-70.581999999999994</v>
      </c>
      <c r="R118" s="165">
        <v>41.317999999999998</v>
      </c>
      <c r="S118" s="165" t="s">
        <v>172</v>
      </c>
      <c r="T118" s="165">
        <v>25</v>
      </c>
      <c r="U118" s="166" t="s">
        <v>516</v>
      </c>
      <c r="V118" s="167"/>
    </row>
    <row r="119" spans="1:22">
      <c r="A119" s="180" t="s">
        <v>372</v>
      </c>
      <c r="B119" s="165" t="s">
        <v>511</v>
      </c>
      <c r="C119" s="165" t="s">
        <v>710</v>
      </c>
      <c r="D119" s="165" t="s">
        <v>647</v>
      </c>
      <c r="E119" s="165" t="s">
        <v>170</v>
      </c>
      <c r="F119" s="165">
        <v>548</v>
      </c>
      <c r="G119" s="165">
        <v>24</v>
      </c>
      <c r="H119" s="165">
        <v>7</v>
      </c>
      <c r="I119" s="165">
        <v>3.4</v>
      </c>
      <c r="J119" s="165">
        <v>18</v>
      </c>
      <c r="K119" s="166" t="s">
        <v>514</v>
      </c>
      <c r="L119" s="165">
        <v>2024</v>
      </c>
      <c r="M119" s="165" t="s">
        <v>648</v>
      </c>
      <c r="N119" s="165">
        <v>11</v>
      </c>
      <c r="O119" s="165">
        <v>255</v>
      </c>
      <c r="P119" s="165" t="s">
        <v>685</v>
      </c>
      <c r="Q119" s="165">
        <v>-70.581999999999994</v>
      </c>
      <c r="R119" s="165">
        <v>41.317999999999998</v>
      </c>
      <c r="S119" s="165" t="s">
        <v>172</v>
      </c>
      <c r="T119" s="165">
        <v>25</v>
      </c>
      <c r="U119" s="166" t="s">
        <v>516</v>
      </c>
      <c r="V119" s="167"/>
    </row>
    <row r="120" spans="1:22">
      <c r="A120" s="180" t="s">
        <v>373</v>
      </c>
      <c r="B120" s="169" t="s">
        <v>511</v>
      </c>
      <c r="C120" s="170" t="s">
        <v>711</v>
      </c>
      <c r="D120" s="169" t="s">
        <v>712</v>
      </c>
      <c r="E120" s="169" t="s">
        <v>170</v>
      </c>
      <c r="F120" s="169">
        <v>547</v>
      </c>
      <c r="G120" s="169">
        <v>1</v>
      </c>
      <c r="H120" s="169">
        <v>2</v>
      </c>
      <c r="I120" s="165">
        <v>16.600000000000001</v>
      </c>
      <c r="J120" s="165">
        <v>23</v>
      </c>
      <c r="K120" s="166" t="s">
        <v>514</v>
      </c>
      <c r="L120" s="165">
        <v>2024</v>
      </c>
      <c r="M120" s="165" t="s">
        <v>713</v>
      </c>
      <c r="N120" s="165">
        <v>6</v>
      </c>
      <c r="O120" s="165">
        <v>311</v>
      </c>
      <c r="P120" s="165" t="s">
        <v>714</v>
      </c>
      <c r="Q120" s="165">
        <v>-70.882999999999996</v>
      </c>
      <c r="R120" s="165">
        <v>41.197000000000003</v>
      </c>
      <c r="S120" s="165" t="s">
        <v>172</v>
      </c>
      <c r="T120" s="165">
        <v>25</v>
      </c>
      <c r="U120" s="166" t="s">
        <v>516</v>
      </c>
      <c r="V120" s="167" t="s">
        <v>715</v>
      </c>
    </row>
    <row r="121" spans="1:22">
      <c r="A121" s="180" t="s">
        <v>374</v>
      </c>
      <c r="B121" s="169" t="s">
        <v>511</v>
      </c>
      <c r="C121" s="170" t="s">
        <v>716</v>
      </c>
      <c r="D121" s="169" t="s">
        <v>712</v>
      </c>
      <c r="E121" s="169" t="s">
        <v>170</v>
      </c>
      <c r="F121" s="169">
        <v>548</v>
      </c>
      <c r="G121" s="169">
        <v>1</v>
      </c>
      <c r="H121" s="169">
        <v>13</v>
      </c>
      <c r="I121" s="165">
        <v>2.9</v>
      </c>
      <c r="J121" s="165">
        <v>23</v>
      </c>
      <c r="K121" s="166" t="s">
        <v>514</v>
      </c>
      <c r="L121" s="165">
        <v>2024</v>
      </c>
      <c r="M121" s="165" t="s">
        <v>713</v>
      </c>
      <c r="N121" s="165">
        <v>6</v>
      </c>
      <c r="O121" s="165">
        <v>311</v>
      </c>
      <c r="P121" s="165" t="s">
        <v>717</v>
      </c>
      <c r="Q121" s="165">
        <v>-70.884</v>
      </c>
      <c r="R121" s="165">
        <v>41.195999999999998</v>
      </c>
      <c r="S121" s="165" t="s">
        <v>172</v>
      </c>
      <c r="T121" s="165">
        <v>25</v>
      </c>
      <c r="U121" s="166" t="s">
        <v>516</v>
      </c>
      <c r="V121" s="167" t="s">
        <v>718</v>
      </c>
    </row>
    <row r="122" spans="1:22">
      <c r="A122" s="180" t="s">
        <v>375</v>
      </c>
      <c r="B122" s="169" t="s">
        <v>511</v>
      </c>
      <c r="C122" s="170" t="s">
        <v>719</v>
      </c>
      <c r="D122" s="169" t="s">
        <v>712</v>
      </c>
      <c r="E122" s="169" t="s">
        <v>170</v>
      </c>
      <c r="F122" s="169">
        <v>547</v>
      </c>
      <c r="G122" s="169">
        <v>4</v>
      </c>
      <c r="H122" s="169">
        <v>4</v>
      </c>
      <c r="I122" s="165">
        <v>27</v>
      </c>
      <c r="J122" s="165">
        <v>46</v>
      </c>
      <c r="K122" s="166" t="s">
        <v>514</v>
      </c>
      <c r="L122" s="165">
        <v>2024</v>
      </c>
      <c r="M122" s="165" t="s">
        <v>713</v>
      </c>
      <c r="N122" s="165">
        <v>7</v>
      </c>
      <c r="O122" s="165">
        <v>312</v>
      </c>
      <c r="P122" s="165" t="s">
        <v>720</v>
      </c>
      <c r="Q122" s="165">
        <v>-70.882000000000005</v>
      </c>
      <c r="R122" s="165">
        <v>41.030999999999999</v>
      </c>
      <c r="S122" s="165" t="s">
        <v>172</v>
      </c>
      <c r="T122" s="165">
        <v>25</v>
      </c>
      <c r="U122" s="166" t="s">
        <v>516</v>
      </c>
      <c r="V122" s="167" t="s">
        <v>721</v>
      </c>
    </row>
    <row r="123" spans="1:22">
      <c r="A123" s="180" t="s">
        <v>376</v>
      </c>
      <c r="B123" s="169" t="s">
        <v>511</v>
      </c>
      <c r="C123" s="170" t="s">
        <v>722</v>
      </c>
      <c r="D123" s="169" t="s">
        <v>712</v>
      </c>
      <c r="E123" s="169" t="s">
        <v>170</v>
      </c>
      <c r="F123" s="169">
        <v>549</v>
      </c>
      <c r="G123" s="169">
        <v>4</v>
      </c>
      <c r="H123" s="169">
        <v>10</v>
      </c>
      <c r="I123" s="165">
        <v>14.8</v>
      </c>
      <c r="J123" s="165">
        <v>46</v>
      </c>
      <c r="K123" s="166" t="s">
        <v>514</v>
      </c>
      <c r="L123" s="165">
        <v>2024</v>
      </c>
      <c r="M123" s="165" t="s">
        <v>713</v>
      </c>
      <c r="N123" s="165">
        <v>7</v>
      </c>
      <c r="O123" s="165">
        <v>312</v>
      </c>
      <c r="P123" s="165" t="s">
        <v>723</v>
      </c>
      <c r="Q123" s="165">
        <v>-70.881</v>
      </c>
      <c r="R123" s="165">
        <v>41.031999999999996</v>
      </c>
      <c r="S123" s="165" t="s">
        <v>172</v>
      </c>
      <c r="T123" s="165">
        <v>25</v>
      </c>
      <c r="U123" s="166" t="s">
        <v>516</v>
      </c>
      <c r="V123" s="167" t="s">
        <v>724</v>
      </c>
    </row>
    <row r="124" spans="1:22">
      <c r="A124" s="180" t="s">
        <v>377</v>
      </c>
      <c r="B124" s="169" t="s">
        <v>511</v>
      </c>
      <c r="C124" s="170" t="s">
        <v>725</v>
      </c>
      <c r="D124" s="169" t="s">
        <v>712</v>
      </c>
      <c r="E124" s="169" t="s">
        <v>170</v>
      </c>
      <c r="F124" s="169">
        <v>548</v>
      </c>
      <c r="G124" s="169">
        <v>4</v>
      </c>
      <c r="H124" s="169">
        <v>16</v>
      </c>
      <c r="I124" s="165">
        <v>2.9</v>
      </c>
      <c r="J124" s="165">
        <v>46</v>
      </c>
      <c r="K124" s="166" t="s">
        <v>514</v>
      </c>
      <c r="L124" s="165">
        <v>2024</v>
      </c>
      <c r="M124" s="165" t="s">
        <v>713</v>
      </c>
      <c r="N124" s="165">
        <v>7</v>
      </c>
      <c r="O124" s="165">
        <v>312</v>
      </c>
      <c r="P124" s="165" t="s">
        <v>726</v>
      </c>
      <c r="Q124" s="165">
        <v>-70.881</v>
      </c>
      <c r="R124" s="165">
        <v>41.031999999999996</v>
      </c>
      <c r="S124" s="165" t="s">
        <v>172</v>
      </c>
      <c r="T124" s="165">
        <v>25</v>
      </c>
      <c r="U124" s="166" t="s">
        <v>516</v>
      </c>
      <c r="V124" s="167" t="s">
        <v>727</v>
      </c>
    </row>
    <row r="125" spans="1:22">
      <c r="A125" s="180" t="s">
        <v>378</v>
      </c>
      <c r="B125" s="169" t="s">
        <v>511</v>
      </c>
      <c r="C125" s="170" t="s">
        <v>728</v>
      </c>
      <c r="D125" s="169" t="s">
        <v>712</v>
      </c>
      <c r="E125" s="169" t="s">
        <v>170</v>
      </c>
      <c r="F125" s="169">
        <v>547</v>
      </c>
      <c r="G125" s="169">
        <v>5</v>
      </c>
      <c r="H125" s="169">
        <v>7</v>
      </c>
      <c r="I125" s="165">
        <v>36.799999999999997</v>
      </c>
      <c r="J125" s="165">
        <v>77</v>
      </c>
      <c r="K125" s="166" t="s">
        <v>514</v>
      </c>
      <c r="L125" s="165">
        <v>2024</v>
      </c>
      <c r="M125" s="165" t="s">
        <v>713</v>
      </c>
      <c r="N125" s="165">
        <v>7</v>
      </c>
      <c r="O125" s="165">
        <v>312</v>
      </c>
      <c r="P125" s="165" t="s">
        <v>729</v>
      </c>
      <c r="Q125" s="165">
        <v>-70.882000000000005</v>
      </c>
      <c r="R125" s="165">
        <v>40.514000000000003</v>
      </c>
      <c r="S125" s="165" t="s">
        <v>172</v>
      </c>
      <c r="T125" s="165">
        <v>25</v>
      </c>
      <c r="U125" s="166" t="s">
        <v>516</v>
      </c>
      <c r="V125" s="167" t="s">
        <v>730</v>
      </c>
    </row>
    <row r="126" spans="1:22">
      <c r="A126" s="180" t="s">
        <v>379</v>
      </c>
      <c r="B126" s="169" t="s">
        <v>511</v>
      </c>
      <c r="C126" s="170" t="s">
        <v>731</v>
      </c>
      <c r="D126" s="169" t="s">
        <v>712</v>
      </c>
      <c r="E126" s="169" t="s">
        <v>170</v>
      </c>
      <c r="F126" s="169">
        <v>548</v>
      </c>
      <c r="G126" s="169">
        <v>5</v>
      </c>
      <c r="H126" s="169">
        <v>13</v>
      </c>
      <c r="I126" s="165">
        <v>3.7</v>
      </c>
      <c r="J126" s="165">
        <v>77</v>
      </c>
      <c r="K126" s="166" t="s">
        <v>514</v>
      </c>
      <c r="L126" s="165">
        <v>2024</v>
      </c>
      <c r="M126" s="165" t="s">
        <v>713</v>
      </c>
      <c r="N126" s="165">
        <v>7</v>
      </c>
      <c r="O126" s="165">
        <v>312</v>
      </c>
      <c r="P126" s="165" t="s">
        <v>732</v>
      </c>
      <c r="Q126" s="165">
        <v>-70.882000000000005</v>
      </c>
      <c r="R126" s="165">
        <v>40.514000000000003</v>
      </c>
      <c r="S126" s="165" t="s">
        <v>172</v>
      </c>
      <c r="T126" s="165">
        <v>25</v>
      </c>
      <c r="U126" s="166" t="s">
        <v>516</v>
      </c>
      <c r="V126" s="167" t="s">
        <v>733</v>
      </c>
    </row>
    <row r="127" spans="1:22">
      <c r="A127" s="180" t="s">
        <v>380</v>
      </c>
      <c r="B127" s="169" t="s">
        <v>511</v>
      </c>
      <c r="C127" s="170" t="s">
        <v>734</v>
      </c>
      <c r="D127" s="169" t="s">
        <v>712</v>
      </c>
      <c r="E127" s="169" t="s">
        <v>170</v>
      </c>
      <c r="F127" s="169">
        <v>1060</v>
      </c>
      <c r="G127" s="169">
        <v>10</v>
      </c>
      <c r="H127" s="169">
        <v>8</v>
      </c>
      <c r="I127" s="165">
        <v>57.1</v>
      </c>
      <c r="J127" s="165">
        <v>1593</v>
      </c>
      <c r="K127" s="166" t="s">
        <v>514</v>
      </c>
      <c r="L127" s="165">
        <v>2024</v>
      </c>
      <c r="M127" s="165" t="s">
        <v>713</v>
      </c>
      <c r="N127" s="165">
        <v>8</v>
      </c>
      <c r="O127" s="165">
        <v>313</v>
      </c>
      <c r="P127" s="165" t="s">
        <v>735</v>
      </c>
      <c r="Q127" s="165">
        <v>-70.887</v>
      </c>
      <c r="R127" s="165">
        <v>39.770000000000003</v>
      </c>
      <c r="S127" s="165" t="s">
        <v>172</v>
      </c>
      <c r="T127" s="165">
        <v>25</v>
      </c>
      <c r="U127" s="166" t="s">
        <v>516</v>
      </c>
      <c r="V127" s="167" t="s">
        <v>736</v>
      </c>
    </row>
    <row r="128" spans="1:22">
      <c r="A128" s="180" t="s">
        <v>381</v>
      </c>
      <c r="B128" s="169" t="s">
        <v>511</v>
      </c>
      <c r="C128" s="170" t="s">
        <v>737</v>
      </c>
      <c r="D128" s="169" t="s">
        <v>712</v>
      </c>
      <c r="E128" s="169" t="s">
        <v>170</v>
      </c>
      <c r="F128" s="169">
        <v>1055</v>
      </c>
      <c r="G128" s="169">
        <v>10</v>
      </c>
      <c r="H128" s="169">
        <v>13</v>
      </c>
      <c r="I128" s="165">
        <v>41.6</v>
      </c>
      <c r="J128" s="165">
        <v>1593</v>
      </c>
      <c r="K128" s="166" t="s">
        <v>514</v>
      </c>
      <c r="L128" s="165">
        <v>2024</v>
      </c>
      <c r="M128" s="165" t="s">
        <v>713</v>
      </c>
      <c r="N128" s="165">
        <v>8</v>
      </c>
      <c r="O128" s="165">
        <v>313</v>
      </c>
      <c r="P128" s="165" t="s">
        <v>738</v>
      </c>
      <c r="Q128" s="165">
        <v>-70.888000000000005</v>
      </c>
      <c r="R128" s="165">
        <v>39.770000000000003</v>
      </c>
      <c r="S128" s="165" t="s">
        <v>172</v>
      </c>
      <c r="T128" s="165">
        <v>25</v>
      </c>
      <c r="U128" s="166" t="s">
        <v>516</v>
      </c>
      <c r="V128" s="167" t="s">
        <v>739</v>
      </c>
    </row>
    <row r="129" spans="1:22">
      <c r="A129" s="180" t="s">
        <v>382</v>
      </c>
      <c r="B129" s="169" t="s">
        <v>511</v>
      </c>
      <c r="C129" s="170" t="s">
        <v>740</v>
      </c>
      <c r="D129" s="169" t="s">
        <v>712</v>
      </c>
      <c r="E129" s="169" t="s">
        <v>170</v>
      </c>
      <c r="F129" s="169">
        <v>1055</v>
      </c>
      <c r="G129" s="169">
        <v>10</v>
      </c>
      <c r="H129" s="169">
        <v>18</v>
      </c>
      <c r="I129" s="165">
        <v>2.5</v>
      </c>
      <c r="J129" s="165">
        <v>1593</v>
      </c>
      <c r="K129" s="166" t="s">
        <v>514</v>
      </c>
      <c r="L129" s="165">
        <v>2024</v>
      </c>
      <c r="M129" s="165" t="s">
        <v>713</v>
      </c>
      <c r="N129" s="165">
        <v>8</v>
      </c>
      <c r="O129" s="165">
        <v>313</v>
      </c>
      <c r="P129" s="165" t="s">
        <v>741</v>
      </c>
      <c r="Q129" s="165">
        <v>-70.888000000000005</v>
      </c>
      <c r="R129" s="165">
        <v>39.768999999999998</v>
      </c>
      <c r="S129" s="165" t="s">
        <v>172</v>
      </c>
      <c r="T129" s="165">
        <v>25</v>
      </c>
      <c r="U129" s="166" t="s">
        <v>516</v>
      </c>
      <c r="V129" s="167" t="s">
        <v>742</v>
      </c>
    </row>
    <row r="130" spans="1:22">
      <c r="A130" s="180" t="s">
        <v>383</v>
      </c>
      <c r="B130" s="169" t="s">
        <v>511</v>
      </c>
      <c r="C130" s="170" t="s">
        <v>743</v>
      </c>
      <c r="D130" s="169" t="s">
        <v>712</v>
      </c>
      <c r="E130" s="169" t="s">
        <v>170</v>
      </c>
      <c r="F130" s="169">
        <v>1055</v>
      </c>
      <c r="G130" s="169">
        <v>11</v>
      </c>
      <c r="H130" s="169">
        <v>6</v>
      </c>
      <c r="I130" s="165">
        <v>53</v>
      </c>
      <c r="J130" s="165">
        <v>452</v>
      </c>
      <c r="K130" s="166" t="s">
        <v>514</v>
      </c>
      <c r="L130" s="165">
        <v>2024</v>
      </c>
      <c r="M130" s="165" t="s">
        <v>713</v>
      </c>
      <c r="N130" s="165">
        <v>8</v>
      </c>
      <c r="O130" s="165">
        <v>313</v>
      </c>
      <c r="P130" s="165" t="s">
        <v>744</v>
      </c>
      <c r="Q130" s="165">
        <v>-70.867000000000004</v>
      </c>
      <c r="R130" s="165">
        <v>39.93</v>
      </c>
      <c r="S130" s="165" t="s">
        <v>172</v>
      </c>
      <c r="T130" s="165">
        <v>25</v>
      </c>
      <c r="U130" s="166" t="s">
        <v>516</v>
      </c>
      <c r="V130" s="167" t="s">
        <v>745</v>
      </c>
    </row>
    <row r="131" spans="1:22">
      <c r="A131" s="180" t="s">
        <v>384</v>
      </c>
      <c r="B131" s="169" t="s">
        <v>511</v>
      </c>
      <c r="C131" s="170" t="s">
        <v>746</v>
      </c>
      <c r="D131" s="169" t="s">
        <v>712</v>
      </c>
      <c r="E131" s="169" t="s">
        <v>170</v>
      </c>
      <c r="F131" s="169">
        <v>1060</v>
      </c>
      <c r="G131" s="169">
        <v>11</v>
      </c>
      <c r="H131" s="169">
        <v>11</v>
      </c>
      <c r="I131" s="165">
        <v>30.8</v>
      </c>
      <c r="J131" s="165">
        <v>452</v>
      </c>
      <c r="K131" s="166" t="s">
        <v>514</v>
      </c>
      <c r="L131" s="165">
        <v>2024</v>
      </c>
      <c r="M131" s="165" t="s">
        <v>713</v>
      </c>
      <c r="N131" s="165">
        <v>8</v>
      </c>
      <c r="O131" s="165">
        <v>313</v>
      </c>
      <c r="P131" s="165" t="s">
        <v>747</v>
      </c>
      <c r="Q131" s="165">
        <v>-70.866</v>
      </c>
      <c r="R131" s="165">
        <v>39.929000000000002</v>
      </c>
      <c r="S131" s="165" t="s">
        <v>172</v>
      </c>
      <c r="T131" s="165">
        <v>25</v>
      </c>
      <c r="U131" s="166" t="s">
        <v>516</v>
      </c>
      <c r="V131" s="167" t="s">
        <v>748</v>
      </c>
    </row>
    <row r="132" spans="1:22">
      <c r="A132" s="180" t="s">
        <v>385</v>
      </c>
      <c r="B132" s="169" t="s">
        <v>511</v>
      </c>
      <c r="C132" s="170" t="s">
        <v>749</v>
      </c>
      <c r="D132" s="169" t="s">
        <v>712</v>
      </c>
      <c r="E132" s="169" t="s">
        <v>170</v>
      </c>
      <c r="F132" s="169">
        <v>1060</v>
      </c>
      <c r="G132" s="169">
        <v>11</v>
      </c>
      <c r="H132" s="169">
        <v>21</v>
      </c>
      <c r="I132" s="165">
        <v>3.1</v>
      </c>
      <c r="J132" s="165">
        <v>452</v>
      </c>
      <c r="K132" s="166" t="s">
        <v>514</v>
      </c>
      <c r="L132" s="165">
        <v>2024</v>
      </c>
      <c r="M132" s="165" t="s">
        <v>713</v>
      </c>
      <c r="N132" s="165">
        <v>8</v>
      </c>
      <c r="O132" s="165">
        <v>313</v>
      </c>
      <c r="P132" s="165" t="s">
        <v>750</v>
      </c>
      <c r="Q132" s="165">
        <v>-70.864000000000004</v>
      </c>
      <c r="R132" s="165">
        <v>39.927999999999997</v>
      </c>
      <c r="S132" s="165" t="s">
        <v>172</v>
      </c>
      <c r="T132" s="165">
        <v>25</v>
      </c>
      <c r="U132" s="166" t="s">
        <v>516</v>
      </c>
      <c r="V132" s="167" t="s">
        <v>751</v>
      </c>
    </row>
    <row r="133" spans="1:22">
      <c r="A133" s="180" t="s">
        <v>386</v>
      </c>
      <c r="B133" s="169" t="s">
        <v>511</v>
      </c>
      <c r="C133" s="170" t="s">
        <v>752</v>
      </c>
      <c r="D133" s="169" t="s">
        <v>712</v>
      </c>
      <c r="E133" s="169" t="s">
        <v>170</v>
      </c>
      <c r="F133" s="169">
        <v>1060</v>
      </c>
      <c r="G133" s="169">
        <v>12</v>
      </c>
      <c r="H133" s="169">
        <v>16</v>
      </c>
      <c r="I133" s="165">
        <v>24.6</v>
      </c>
      <c r="J133" s="165">
        <v>205</v>
      </c>
      <c r="K133" s="166" t="s">
        <v>514</v>
      </c>
      <c r="L133" s="165">
        <v>2024</v>
      </c>
      <c r="M133" s="165" t="s">
        <v>713</v>
      </c>
      <c r="N133" s="165">
        <v>9</v>
      </c>
      <c r="O133" s="165">
        <v>314</v>
      </c>
      <c r="P133" s="165" t="s">
        <v>753</v>
      </c>
      <c r="Q133" s="165">
        <v>-70.884</v>
      </c>
      <c r="R133" s="165">
        <v>40.048000000000002</v>
      </c>
      <c r="S133" s="165" t="s">
        <v>172</v>
      </c>
      <c r="T133" s="165">
        <v>25</v>
      </c>
      <c r="U133" s="166" t="s">
        <v>516</v>
      </c>
      <c r="V133" s="167" t="s">
        <v>754</v>
      </c>
    </row>
    <row r="134" spans="1:22">
      <c r="A134" s="156" t="s">
        <v>387</v>
      </c>
      <c r="B134" s="169" t="s">
        <v>511</v>
      </c>
      <c r="C134" s="169" t="s">
        <v>755</v>
      </c>
      <c r="D134" s="169" t="s">
        <v>712</v>
      </c>
      <c r="E134" s="169" t="s">
        <v>170</v>
      </c>
      <c r="F134" s="169">
        <v>1060</v>
      </c>
      <c r="G134" s="169">
        <v>12</v>
      </c>
      <c r="H134" s="169">
        <v>24</v>
      </c>
      <c r="I134" s="165">
        <v>3.2</v>
      </c>
      <c r="J134" s="165">
        <v>205</v>
      </c>
      <c r="K134" s="166" t="s">
        <v>514</v>
      </c>
      <c r="L134" s="165">
        <v>2024</v>
      </c>
      <c r="M134" s="165" t="s">
        <v>713</v>
      </c>
      <c r="N134" s="165">
        <v>9</v>
      </c>
      <c r="O134" s="165">
        <v>314</v>
      </c>
      <c r="P134" s="165" t="s">
        <v>756</v>
      </c>
      <c r="Q134" s="165">
        <v>-70.884</v>
      </c>
      <c r="R134" s="165">
        <v>40.048000000000002</v>
      </c>
      <c r="S134" s="165" t="s">
        <v>172</v>
      </c>
      <c r="T134" s="165">
        <v>25</v>
      </c>
      <c r="U134" s="166" t="s">
        <v>516</v>
      </c>
      <c r="V134" s="167"/>
    </row>
    <row r="135" spans="1:22">
      <c r="A135" s="180" t="s">
        <v>388</v>
      </c>
      <c r="B135" s="169" t="s">
        <v>511</v>
      </c>
      <c r="C135" s="169" t="s">
        <v>757</v>
      </c>
      <c r="D135" s="169" t="s">
        <v>712</v>
      </c>
      <c r="E135" s="169" t="s">
        <v>173</v>
      </c>
      <c r="F135" s="169">
        <v>547</v>
      </c>
      <c r="G135" s="169">
        <v>15</v>
      </c>
      <c r="H135" s="169">
        <v>14</v>
      </c>
      <c r="I135" s="165">
        <v>20</v>
      </c>
      <c r="J135" s="165">
        <v>122</v>
      </c>
      <c r="K135" s="166" t="s">
        <v>514</v>
      </c>
      <c r="L135" s="165">
        <v>2024</v>
      </c>
      <c r="M135" s="165" t="s">
        <v>713</v>
      </c>
      <c r="N135" s="165">
        <v>10</v>
      </c>
      <c r="O135" s="165">
        <v>315</v>
      </c>
      <c r="P135" s="165" t="s">
        <v>758</v>
      </c>
      <c r="Q135" s="165">
        <v>-70.882999999999996</v>
      </c>
      <c r="R135" s="165">
        <v>40.256999999999998</v>
      </c>
      <c r="S135" s="165" t="s">
        <v>172</v>
      </c>
      <c r="T135" s="165">
        <v>25</v>
      </c>
      <c r="U135" s="166" t="s">
        <v>516</v>
      </c>
      <c r="V135" s="167"/>
    </row>
    <row r="136" spans="1:22">
      <c r="A136" s="180" t="s">
        <v>389</v>
      </c>
      <c r="B136" s="169" t="s">
        <v>511</v>
      </c>
      <c r="C136" s="169" t="s">
        <v>759</v>
      </c>
      <c r="D136" s="169" t="s">
        <v>712</v>
      </c>
      <c r="E136" s="169" t="s">
        <v>173</v>
      </c>
      <c r="F136" s="169">
        <v>547</v>
      </c>
      <c r="G136" s="169">
        <v>15</v>
      </c>
      <c r="H136" s="169">
        <v>14</v>
      </c>
      <c r="I136" s="165">
        <v>20</v>
      </c>
      <c r="J136" s="165">
        <v>122</v>
      </c>
      <c r="K136" s="166" t="s">
        <v>514</v>
      </c>
      <c r="L136" s="165">
        <v>2024</v>
      </c>
      <c r="M136" s="165" t="s">
        <v>713</v>
      </c>
      <c r="N136" s="165">
        <v>10</v>
      </c>
      <c r="O136" s="165">
        <v>315</v>
      </c>
      <c r="P136" s="165" t="s">
        <v>758</v>
      </c>
      <c r="Q136" s="165">
        <v>-70.882999999999996</v>
      </c>
      <c r="R136" s="165">
        <v>40.256999999999998</v>
      </c>
      <c r="S136" s="165" t="s">
        <v>172</v>
      </c>
      <c r="T136" s="165">
        <v>25</v>
      </c>
      <c r="U136" s="166" t="s">
        <v>516</v>
      </c>
      <c r="V136" s="167"/>
    </row>
    <row r="137" spans="1:22">
      <c r="A137" s="180" t="s">
        <v>390</v>
      </c>
      <c r="B137" s="169" t="s">
        <v>511</v>
      </c>
      <c r="C137" s="169" t="s">
        <v>760</v>
      </c>
      <c r="D137" s="169" t="s">
        <v>712</v>
      </c>
      <c r="E137" s="169" t="s">
        <v>173</v>
      </c>
      <c r="F137" s="169">
        <v>548</v>
      </c>
      <c r="G137" s="169">
        <v>15</v>
      </c>
      <c r="H137" s="169">
        <v>18</v>
      </c>
      <c r="I137" s="165">
        <v>3.8</v>
      </c>
      <c r="J137" s="165">
        <v>122</v>
      </c>
      <c r="K137" s="166" t="s">
        <v>514</v>
      </c>
      <c r="L137" s="165">
        <v>2024</v>
      </c>
      <c r="M137" s="165" t="s">
        <v>713</v>
      </c>
      <c r="N137" s="165">
        <v>10</v>
      </c>
      <c r="O137" s="165">
        <v>315</v>
      </c>
      <c r="P137" s="165" t="s">
        <v>761</v>
      </c>
      <c r="Q137" s="165">
        <v>-70.882999999999996</v>
      </c>
      <c r="R137" s="165">
        <v>40.256999999999998</v>
      </c>
      <c r="S137" s="165" t="s">
        <v>172</v>
      </c>
      <c r="T137" s="165">
        <v>25</v>
      </c>
      <c r="U137" s="166" t="s">
        <v>516</v>
      </c>
      <c r="V137" s="167"/>
    </row>
    <row r="138" spans="1:22">
      <c r="A138" s="180" t="s">
        <v>391</v>
      </c>
      <c r="B138" s="169" t="s">
        <v>511</v>
      </c>
      <c r="C138" s="169" t="s">
        <v>762</v>
      </c>
      <c r="D138" s="169" t="s">
        <v>712</v>
      </c>
      <c r="E138" s="169" t="s">
        <v>173</v>
      </c>
      <c r="F138" s="169">
        <v>548</v>
      </c>
      <c r="G138" s="169">
        <v>15</v>
      </c>
      <c r="H138" s="169">
        <v>18</v>
      </c>
      <c r="I138" s="165">
        <v>3.8</v>
      </c>
      <c r="J138" s="165">
        <v>122</v>
      </c>
      <c r="K138" s="166" t="s">
        <v>514</v>
      </c>
      <c r="L138" s="165">
        <v>2024</v>
      </c>
      <c r="M138" s="165" t="s">
        <v>713</v>
      </c>
      <c r="N138" s="165">
        <v>10</v>
      </c>
      <c r="O138" s="165">
        <v>315</v>
      </c>
      <c r="P138" s="165" t="s">
        <v>761</v>
      </c>
      <c r="Q138" s="165">
        <v>-70.882999999999996</v>
      </c>
      <c r="R138" s="165">
        <v>40.256999999999998</v>
      </c>
      <c r="S138" s="165" t="s">
        <v>172</v>
      </c>
      <c r="T138" s="165">
        <v>25</v>
      </c>
      <c r="U138" s="166" t="s">
        <v>516</v>
      </c>
      <c r="V138" s="167"/>
    </row>
    <row r="139" spans="1:22">
      <c r="A139" s="180" t="s">
        <v>393</v>
      </c>
      <c r="B139" s="169" t="s">
        <v>511</v>
      </c>
      <c r="C139" s="169" t="s">
        <v>763</v>
      </c>
      <c r="D139" s="169" t="s">
        <v>712</v>
      </c>
      <c r="E139" s="169" t="s">
        <v>173</v>
      </c>
      <c r="F139" s="169">
        <v>1060</v>
      </c>
      <c r="G139" s="169">
        <v>16</v>
      </c>
      <c r="H139" s="169">
        <v>6</v>
      </c>
      <c r="I139" s="165">
        <v>65.099999999999994</v>
      </c>
      <c r="J139" s="165">
        <v>139</v>
      </c>
      <c r="K139" s="166" t="s">
        <v>514</v>
      </c>
      <c r="L139" s="165">
        <v>2024</v>
      </c>
      <c r="M139" s="165" t="s">
        <v>713</v>
      </c>
      <c r="N139" s="165">
        <v>10</v>
      </c>
      <c r="O139" s="165">
        <v>315</v>
      </c>
      <c r="P139" s="165" t="s">
        <v>764</v>
      </c>
      <c r="Q139" s="165">
        <v>-70.891000000000005</v>
      </c>
      <c r="R139" s="165">
        <v>40.149000000000001</v>
      </c>
      <c r="S139" s="165" t="s">
        <v>172</v>
      </c>
      <c r="T139" s="165">
        <v>25</v>
      </c>
      <c r="U139" s="166" t="s">
        <v>516</v>
      </c>
      <c r="V139" s="167"/>
    </row>
    <row r="140" spans="1:22">
      <c r="A140" s="180" t="s">
        <v>394</v>
      </c>
      <c r="B140" s="169" t="s">
        <v>511</v>
      </c>
      <c r="C140" s="169" t="s">
        <v>765</v>
      </c>
      <c r="D140" s="169" t="s">
        <v>712</v>
      </c>
      <c r="E140" s="169" t="s">
        <v>173</v>
      </c>
      <c r="F140" s="169">
        <v>1055</v>
      </c>
      <c r="G140" s="169">
        <v>16</v>
      </c>
      <c r="H140" s="169">
        <v>6</v>
      </c>
      <c r="I140" s="165">
        <v>65.099999999999994</v>
      </c>
      <c r="J140" s="165">
        <v>139</v>
      </c>
      <c r="K140" s="166" t="s">
        <v>514</v>
      </c>
      <c r="L140" s="165">
        <v>2024</v>
      </c>
      <c r="M140" s="165" t="s">
        <v>713</v>
      </c>
      <c r="N140" s="165">
        <v>10</v>
      </c>
      <c r="O140" s="165">
        <v>315</v>
      </c>
      <c r="P140" s="165" t="s">
        <v>764</v>
      </c>
      <c r="Q140" s="165">
        <v>-70.891000000000005</v>
      </c>
      <c r="R140" s="165">
        <v>40.149000000000001</v>
      </c>
      <c r="S140" s="165" t="s">
        <v>172</v>
      </c>
      <c r="T140" s="165">
        <v>25</v>
      </c>
      <c r="U140" s="166" t="s">
        <v>516</v>
      </c>
      <c r="V140" s="167"/>
    </row>
    <row r="141" spans="1:22">
      <c r="A141" s="180" t="s">
        <v>395</v>
      </c>
      <c r="B141" s="169" t="s">
        <v>511</v>
      </c>
      <c r="C141" s="169" t="s">
        <v>766</v>
      </c>
      <c r="D141" s="169" t="s">
        <v>712</v>
      </c>
      <c r="E141" s="169" t="s">
        <v>170</v>
      </c>
      <c r="F141" s="169">
        <v>547</v>
      </c>
      <c r="G141" s="169">
        <v>16</v>
      </c>
      <c r="H141" s="169">
        <v>13</v>
      </c>
      <c r="I141" s="165">
        <v>20</v>
      </c>
      <c r="J141" s="165">
        <v>139</v>
      </c>
      <c r="K141" s="166" t="s">
        <v>514</v>
      </c>
      <c r="L141" s="165">
        <v>2024</v>
      </c>
      <c r="M141" s="165" t="s">
        <v>713</v>
      </c>
      <c r="N141" s="165">
        <v>10</v>
      </c>
      <c r="O141" s="165">
        <v>315</v>
      </c>
      <c r="P141" s="165" t="s">
        <v>767</v>
      </c>
      <c r="Q141" s="165">
        <v>-70.893000000000001</v>
      </c>
      <c r="R141" s="165">
        <v>40.149000000000001</v>
      </c>
      <c r="S141" s="165" t="s">
        <v>172</v>
      </c>
      <c r="T141" s="165">
        <v>25</v>
      </c>
      <c r="U141" s="166" t="s">
        <v>516</v>
      </c>
      <c r="V141" s="167"/>
    </row>
    <row r="142" spans="1:22">
      <c r="A142" s="180" t="s">
        <v>396</v>
      </c>
      <c r="B142" s="169" t="s">
        <v>511</v>
      </c>
      <c r="C142" s="169" t="s">
        <v>768</v>
      </c>
      <c r="D142" s="169" t="s">
        <v>712</v>
      </c>
      <c r="E142" s="169" t="s">
        <v>170</v>
      </c>
      <c r="F142" s="169">
        <v>548</v>
      </c>
      <c r="G142" s="169">
        <v>16</v>
      </c>
      <c r="H142" s="169">
        <v>19</v>
      </c>
      <c r="I142" s="165">
        <v>3.3</v>
      </c>
      <c r="J142" s="165">
        <v>139</v>
      </c>
      <c r="K142" s="166" t="s">
        <v>514</v>
      </c>
      <c r="L142" s="165">
        <v>2024</v>
      </c>
      <c r="M142" s="165" t="s">
        <v>713</v>
      </c>
      <c r="N142" s="165">
        <v>10</v>
      </c>
      <c r="O142" s="165">
        <v>315</v>
      </c>
      <c r="P142" s="165" t="s">
        <v>769</v>
      </c>
      <c r="Q142" s="165">
        <v>-70.894000000000005</v>
      </c>
      <c r="R142" s="165">
        <v>40.148000000000003</v>
      </c>
      <c r="S142" s="165" t="s">
        <v>172</v>
      </c>
      <c r="T142" s="165">
        <v>25</v>
      </c>
      <c r="U142" s="166" t="s">
        <v>516</v>
      </c>
      <c r="V142" s="167"/>
    </row>
    <row r="143" spans="1:22">
      <c r="A143" s="180" t="s">
        <v>397</v>
      </c>
      <c r="B143" s="169" t="s">
        <v>511</v>
      </c>
      <c r="C143" s="169" t="s">
        <v>770</v>
      </c>
      <c r="D143" s="169" t="s">
        <v>712</v>
      </c>
      <c r="E143" s="169" t="s">
        <v>170</v>
      </c>
      <c r="F143" s="169">
        <v>1055</v>
      </c>
      <c r="G143" s="169">
        <v>17</v>
      </c>
      <c r="H143" s="169">
        <v>4</v>
      </c>
      <c r="I143" s="165">
        <v>52.4</v>
      </c>
      <c r="J143" s="165">
        <v>88</v>
      </c>
      <c r="K143" s="166" t="s">
        <v>514</v>
      </c>
      <c r="L143" s="165">
        <v>2024</v>
      </c>
      <c r="M143" s="165" t="s">
        <v>713</v>
      </c>
      <c r="N143" s="165">
        <v>10</v>
      </c>
      <c r="O143" s="165">
        <v>315</v>
      </c>
      <c r="P143" s="165" t="s">
        <v>771</v>
      </c>
      <c r="Q143" s="165">
        <v>-70.882000000000005</v>
      </c>
      <c r="R143" s="165">
        <v>40.363</v>
      </c>
      <c r="S143" s="165" t="s">
        <v>172</v>
      </c>
      <c r="T143" s="165">
        <v>25</v>
      </c>
      <c r="U143" s="166" t="s">
        <v>516</v>
      </c>
      <c r="V143" s="167"/>
    </row>
    <row r="144" spans="1:22">
      <c r="A144" s="180" t="s">
        <v>398</v>
      </c>
      <c r="B144" s="169" t="s">
        <v>511</v>
      </c>
      <c r="C144" s="169" t="s">
        <v>772</v>
      </c>
      <c r="D144" s="169" t="s">
        <v>712</v>
      </c>
      <c r="E144" s="169" t="s">
        <v>170</v>
      </c>
      <c r="F144" s="169">
        <v>547</v>
      </c>
      <c r="G144" s="169">
        <v>17</v>
      </c>
      <c r="H144" s="169">
        <v>9</v>
      </c>
      <c r="I144" s="165">
        <v>35.200000000000003</v>
      </c>
      <c r="J144" s="165">
        <v>88</v>
      </c>
      <c r="K144" s="166" t="s">
        <v>514</v>
      </c>
      <c r="L144" s="165">
        <v>2024</v>
      </c>
      <c r="M144" s="165" t="s">
        <v>713</v>
      </c>
      <c r="N144" s="165">
        <v>10</v>
      </c>
      <c r="O144" s="165">
        <v>315</v>
      </c>
      <c r="P144" s="165" t="s">
        <v>773</v>
      </c>
      <c r="Q144" s="165">
        <v>-70.882000000000005</v>
      </c>
      <c r="R144" s="165">
        <v>40.363</v>
      </c>
      <c r="S144" s="165" t="s">
        <v>172</v>
      </c>
      <c r="T144" s="165">
        <v>25</v>
      </c>
      <c r="U144" s="166" t="s">
        <v>516</v>
      </c>
      <c r="V144" s="167"/>
    </row>
    <row r="145" spans="1:22">
      <c r="A145" s="180" t="s">
        <v>399</v>
      </c>
      <c r="B145" s="169" t="s">
        <v>511</v>
      </c>
      <c r="C145" s="169" t="s">
        <v>774</v>
      </c>
      <c r="D145" s="169" t="s">
        <v>712</v>
      </c>
      <c r="E145" s="169" t="s">
        <v>170</v>
      </c>
      <c r="F145" s="169">
        <v>548</v>
      </c>
      <c r="G145" s="169">
        <v>17</v>
      </c>
      <c r="H145" s="169">
        <v>18</v>
      </c>
      <c r="I145" s="165">
        <v>2.7</v>
      </c>
      <c r="J145" s="165">
        <v>88</v>
      </c>
      <c r="K145" s="166" t="s">
        <v>514</v>
      </c>
      <c r="L145" s="165">
        <v>2024</v>
      </c>
      <c r="M145" s="165" t="s">
        <v>713</v>
      </c>
      <c r="N145" s="165">
        <v>10</v>
      </c>
      <c r="O145" s="165">
        <v>315</v>
      </c>
      <c r="P145" s="165" t="s">
        <v>775</v>
      </c>
      <c r="Q145" s="165">
        <v>-70.882000000000005</v>
      </c>
      <c r="R145" s="165">
        <v>40.363</v>
      </c>
      <c r="S145" s="165" t="s">
        <v>172</v>
      </c>
      <c r="T145" s="165">
        <v>25</v>
      </c>
      <c r="U145" s="166" t="s">
        <v>516</v>
      </c>
      <c r="V145" s="167"/>
    </row>
    <row r="146" spans="1:22">
      <c r="A146" s="180" t="s">
        <v>400</v>
      </c>
      <c r="B146" s="169" t="s">
        <v>511</v>
      </c>
      <c r="C146" s="169" t="s">
        <v>776</v>
      </c>
      <c r="D146" s="169" t="s">
        <v>712</v>
      </c>
      <c r="E146" s="169" t="s">
        <v>170</v>
      </c>
      <c r="F146" s="169">
        <v>1055</v>
      </c>
      <c r="G146" s="169">
        <v>18</v>
      </c>
      <c r="H146" s="169">
        <v>5</v>
      </c>
      <c r="I146" s="165">
        <v>43.6</v>
      </c>
      <c r="J146" s="165">
        <v>60</v>
      </c>
      <c r="K146" s="166" t="s">
        <v>514</v>
      </c>
      <c r="L146" s="165">
        <v>2024</v>
      </c>
      <c r="M146" s="165" t="s">
        <v>713</v>
      </c>
      <c r="N146" s="165">
        <v>10</v>
      </c>
      <c r="O146" s="165">
        <v>315</v>
      </c>
      <c r="P146" s="165" t="s">
        <v>777</v>
      </c>
      <c r="Q146" s="165">
        <v>-70.884</v>
      </c>
      <c r="R146" s="165">
        <v>40.700000000000003</v>
      </c>
      <c r="S146" s="165" t="s">
        <v>172</v>
      </c>
      <c r="T146" s="165">
        <v>25</v>
      </c>
      <c r="U146" s="166" t="s">
        <v>516</v>
      </c>
      <c r="V146" s="167"/>
    </row>
    <row r="147" spans="1:22">
      <c r="A147" s="180" t="s">
        <v>401</v>
      </c>
      <c r="B147" s="169" t="s">
        <v>511</v>
      </c>
      <c r="C147" s="169" t="s">
        <v>778</v>
      </c>
      <c r="D147" s="169" t="s">
        <v>712</v>
      </c>
      <c r="E147" s="169" t="s">
        <v>170</v>
      </c>
      <c r="F147" s="169">
        <v>547</v>
      </c>
      <c r="G147" s="169">
        <v>18</v>
      </c>
      <c r="H147" s="169">
        <v>11</v>
      </c>
      <c r="I147" s="165">
        <v>28.1</v>
      </c>
      <c r="J147" s="165">
        <v>60</v>
      </c>
      <c r="K147" s="166" t="s">
        <v>514</v>
      </c>
      <c r="L147" s="165">
        <v>2024</v>
      </c>
      <c r="M147" s="165" t="s">
        <v>713</v>
      </c>
      <c r="N147" s="165">
        <v>10</v>
      </c>
      <c r="O147" s="165">
        <v>315</v>
      </c>
      <c r="P147" s="165" t="s">
        <v>779</v>
      </c>
      <c r="Q147" s="165">
        <v>-70.884</v>
      </c>
      <c r="R147" s="165">
        <v>40.701000000000001</v>
      </c>
      <c r="S147" s="165" t="s">
        <v>172</v>
      </c>
      <c r="T147" s="165">
        <v>25</v>
      </c>
      <c r="U147" s="166" t="s">
        <v>516</v>
      </c>
      <c r="V147" s="167"/>
    </row>
    <row r="148" spans="1:22">
      <c r="A148" s="180" t="s">
        <v>402</v>
      </c>
      <c r="B148" s="169" t="s">
        <v>511</v>
      </c>
      <c r="C148" s="169" t="s">
        <v>780</v>
      </c>
      <c r="D148" s="169" t="s">
        <v>712</v>
      </c>
      <c r="E148" s="169" t="s">
        <v>170</v>
      </c>
      <c r="F148" s="169">
        <v>547</v>
      </c>
      <c r="G148" s="169">
        <v>18</v>
      </c>
      <c r="H148" s="169">
        <v>19</v>
      </c>
      <c r="I148" s="165">
        <v>2.5</v>
      </c>
      <c r="J148" s="165">
        <v>60</v>
      </c>
      <c r="K148" s="166" t="s">
        <v>514</v>
      </c>
      <c r="L148" s="165">
        <v>2024</v>
      </c>
      <c r="M148" s="165" t="s">
        <v>713</v>
      </c>
      <c r="N148" s="165">
        <v>10</v>
      </c>
      <c r="O148" s="165">
        <v>315</v>
      </c>
      <c r="P148" s="165" t="s">
        <v>781</v>
      </c>
      <c r="Q148" s="165">
        <v>-70.884</v>
      </c>
      <c r="R148" s="165">
        <v>40.701000000000001</v>
      </c>
      <c r="S148" s="165" t="s">
        <v>172</v>
      </c>
      <c r="T148" s="165">
        <v>25</v>
      </c>
      <c r="U148" s="166" t="s">
        <v>516</v>
      </c>
      <c r="V148" s="167"/>
    </row>
    <row r="149" spans="1:22">
      <c r="A149" s="180" t="s">
        <v>403</v>
      </c>
      <c r="B149" s="169" t="s">
        <v>511</v>
      </c>
      <c r="C149" s="169" t="s">
        <v>782</v>
      </c>
      <c r="D149" s="169" t="s">
        <v>712</v>
      </c>
      <c r="E149" s="169" t="s">
        <v>170</v>
      </c>
      <c r="F149" s="169">
        <v>547</v>
      </c>
      <c r="G149" s="169">
        <v>19</v>
      </c>
      <c r="H149" s="169">
        <v>4</v>
      </c>
      <c r="I149" s="165">
        <v>19.100000000000001</v>
      </c>
      <c r="J149" s="165">
        <v>40</v>
      </c>
      <c r="K149" s="166" t="s">
        <v>514</v>
      </c>
      <c r="L149" s="165">
        <v>2024</v>
      </c>
      <c r="M149" s="165" t="s">
        <v>713</v>
      </c>
      <c r="N149" s="165">
        <v>11</v>
      </c>
      <c r="O149" s="165">
        <v>316</v>
      </c>
      <c r="P149" s="165" t="s">
        <v>783</v>
      </c>
      <c r="Q149" s="165">
        <v>-70.882999999999996</v>
      </c>
      <c r="R149" s="165">
        <v>41.030999999999999</v>
      </c>
      <c r="S149" s="165" t="s">
        <v>172</v>
      </c>
      <c r="T149" s="165">
        <v>25</v>
      </c>
      <c r="U149" s="166" t="s">
        <v>516</v>
      </c>
      <c r="V149" s="167"/>
    </row>
    <row r="150" spans="1:22">
      <c r="A150" s="180" t="s">
        <v>404</v>
      </c>
      <c r="B150" s="169" t="s">
        <v>511</v>
      </c>
      <c r="C150" s="169" t="s">
        <v>784</v>
      </c>
      <c r="D150" s="169" t="s">
        <v>712</v>
      </c>
      <c r="E150" s="169" t="s">
        <v>170</v>
      </c>
      <c r="F150" s="169">
        <v>548</v>
      </c>
      <c r="G150" s="169">
        <v>19</v>
      </c>
      <c r="H150" s="169">
        <v>7</v>
      </c>
      <c r="I150" s="165">
        <v>4.3</v>
      </c>
      <c r="J150" s="165">
        <v>40</v>
      </c>
      <c r="K150" s="166" t="s">
        <v>514</v>
      </c>
      <c r="L150" s="165">
        <v>2024</v>
      </c>
      <c r="M150" s="165" t="s">
        <v>713</v>
      </c>
      <c r="N150" s="165">
        <v>11</v>
      </c>
      <c r="O150" s="165">
        <v>316</v>
      </c>
      <c r="P150" s="165" t="s">
        <v>785</v>
      </c>
      <c r="Q150" s="165">
        <v>-70.882999999999996</v>
      </c>
      <c r="R150" s="165">
        <v>41.030999999999999</v>
      </c>
      <c r="S150" s="165" t="s">
        <v>172</v>
      </c>
      <c r="T150" s="165">
        <v>25</v>
      </c>
      <c r="U150" s="166" t="s">
        <v>516</v>
      </c>
      <c r="V150" s="167"/>
    </row>
    <row r="151" spans="1:22">
      <c r="A151" s="180" t="s">
        <v>405</v>
      </c>
      <c r="B151" s="169" t="s">
        <v>511</v>
      </c>
      <c r="C151" s="169" t="s">
        <v>786</v>
      </c>
      <c r="D151" s="169" t="s">
        <v>712</v>
      </c>
      <c r="E151" s="169" t="s">
        <v>170</v>
      </c>
      <c r="F151" s="169">
        <v>547</v>
      </c>
      <c r="G151" s="169">
        <v>20</v>
      </c>
      <c r="H151" s="169">
        <v>1</v>
      </c>
      <c r="I151" s="165">
        <v>11.2</v>
      </c>
      <c r="J151" s="165">
        <v>16</v>
      </c>
      <c r="K151" s="166" t="s">
        <v>514</v>
      </c>
      <c r="L151" s="165">
        <v>2024</v>
      </c>
      <c r="M151" s="165" t="s">
        <v>713</v>
      </c>
      <c r="N151" s="165">
        <v>11</v>
      </c>
      <c r="O151" s="165">
        <v>316</v>
      </c>
      <c r="P151" s="165" t="s">
        <v>787</v>
      </c>
      <c r="Q151" s="165">
        <v>-70.551000000000002</v>
      </c>
      <c r="R151" s="165">
        <v>41.323</v>
      </c>
      <c r="S151" s="165" t="s">
        <v>172</v>
      </c>
      <c r="T151" s="165">
        <v>25</v>
      </c>
      <c r="U151" s="166" t="s">
        <v>516</v>
      </c>
      <c r="V151" s="167"/>
    </row>
    <row r="152" spans="1:22">
      <c r="A152" s="180" t="s">
        <v>406</v>
      </c>
      <c r="B152" s="169" t="s">
        <v>511</v>
      </c>
      <c r="C152" s="169" t="s">
        <v>788</v>
      </c>
      <c r="D152" s="169" t="s">
        <v>712</v>
      </c>
      <c r="E152" s="169" t="s">
        <v>170</v>
      </c>
      <c r="F152" s="169">
        <v>537</v>
      </c>
      <c r="G152" s="169">
        <v>20</v>
      </c>
      <c r="H152" s="169">
        <v>5</v>
      </c>
      <c r="I152" s="165">
        <v>3.3</v>
      </c>
      <c r="J152" s="165">
        <v>16</v>
      </c>
      <c r="K152" s="166" t="s">
        <v>514</v>
      </c>
      <c r="L152" s="165">
        <v>2024</v>
      </c>
      <c r="M152" s="165" t="s">
        <v>713</v>
      </c>
      <c r="N152" s="165">
        <v>11</v>
      </c>
      <c r="O152" s="165">
        <v>316</v>
      </c>
      <c r="P152" s="165" t="s">
        <v>789</v>
      </c>
      <c r="Q152" s="165">
        <v>-70.55</v>
      </c>
      <c r="R152" s="165">
        <v>41.323</v>
      </c>
      <c r="S152" s="165" t="s">
        <v>172</v>
      </c>
      <c r="T152" s="165">
        <v>25</v>
      </c>
      <c r="U152" s="166" t="s">
        <v>516</v>
      </c>
      <c r="V152" s="167"/>
    </row>
    <row r="153" spans="1:22">
      <c r="A153" s="180" t="s">
        <v>407</v>
      </c>
      <c r="B153" s="165" t="s">
        <v>511</v>
      </c>
      <c r="C153" s="165" t="s">
        <v>790</v>
      </c>
      <c r="D153" s="165" t="s">
        <v>791</v>
      </c>
      <c r="E153" s="165" t="s">
        <v>170</v>
      </c>
      <c r="F153" s="165">
        <v>547</v>
      </c>
      <c r="G153" s="165">
        <v>1</v>
      </c>
      <c r="H153" s="165">
        <v>2</v>
      </c>
      <c r="I153" s="165">
        <v>16.100000000000001</v>
      </c>
      <c r="J153" s="165">
        <v>20</v>
      </c>
      <c r="K153" s="166" t="s">
        <v>514</v>
      </c>
      <c r="L153" s="165">
        <v>2025</v>
      </c>
      <c r="M153" s="165" t="s">
        <v>792</v>
      </c>
      <c r="N153" s="165">
        <v>24</v>
      </c>
      <c r="O153" s="165">
        <v>24</v>
      </c>
      <c r="P153" s="165" t="s">
        <v>793</v>
      </c>
      <c r="Q153" s="165">
        <v>-70.888999999999996</v>
      </c>
      <c r="R153" s="165">
        <v>41.195999999999998</v>
      </c>
      <c r="S153" s="165" t="s">
        <v>172</v>
      </c>
      <c r="T153" s="165">
        <v>25</v>
      </c>
      <c r="U153" s="166" t="s">
        <v>516</v>
      </c>
      <c r="V153" s="167" t="s">
        <v>794</v>
      </c>
    </row>
    <row r="154" spans="1:22">
      <c r="A154" s="180" t="s">
        <v>408</v>
      </c>
      <c r="B154" s="165" t="s">
        <v>511</v>
      </c>
      <c r="C154" s="165" t="s">
        <v>795</v>
      </c>
      <c r="D154" s="165" t="s">
        <v>791</v>
      </c>
      <c r="E154" s="165" t="s">
        <v>170</v>
      </c>
      <c r="F154" s="165">
        <v>548</v>
      </c>
      <c r="G154" s="165">
        <v>1</v>
      </c>
      <c r="H154" s="165">
        <v>15</v>
      </c>
      <c r="I154" s="165">
        <v>3.1</v>
      </c>
      <c r="J154" s="165">
        <v>20</v>
      </c>
      <c r="K154" s="166" t="s">
        <v>514</v>
      </c>
      <c r="L154" s="165">
        <v>2025</v>
      </c>
      <c r="M154" s="165" t="s">
        <v>792</v>
      </c>
      <c r="N154" s="165">
        <v>24</v>
      </c>
      <c r="O154" s="165">
        <v>24</v>
      </c>
      <c r="P154" s="165" t="s">
        <v>796</v>
      </c>
      <c r="Q154" s="165">
        <v>-70.89</v>
      </c>
      <c r="R154" s="165">
        <v>41.195999999999998</v>
      </c>
      <c r="S154" s="165" t="s">
        <v>172</v>
      </c>
      <c r="T154" s="165">
        <v>25</v>
      </c>
      <c r="U154" s="166" t="s">
        <v>516</v>
      </c>
      <c r="V154" s="167"/>
    </row>
    <row r="155" spans="1:22">
      <c r="A155" s="180" t="s">
        <v>409</v>
      </c>
      <c r="B155" s="165" t="s">
        <v>511</v>
      </c>
      <c r="C155" s="165" t="s">
        <v>797</v>
      </c>
      <c r="D155" s="165" t="s">
        <v>791</v>
      </c>
      <c r="E155" s="165" t="s">
        <v>170</v>
      </c>
      <c r="F155" s="165">
        <v>547</v>
      </c>
      <c r="G155" s="165">
        <v>2</v>
      </c>
      <c r="H155" s="165">
        <v>5</v>
      </c>
      <c r="I155" s="165">
        <v>21.7</v>
      </c>
      <c r="J155" s="165">
        <v>47</v>
      </c>
      <c r="K155" s="166" t="s">
        <v>514</v>
      </c>
      <c r="L155" s="165">
        <v>2025</v>
      </c>
      <c r="M155" s="165" t="s">
        <v>792</v>
      </c>
      <c r="N155" s="165">
        <v>25</v>
      </c>
      <c r="O155" s="165">
        <v>25</v>
      </c>
      <c r="P155" s="165" t="s">
        <v>798</v>
      </c>
      <c r="Q155" s="165">
        <v>-70.885999999999996</v>
      </c>
      <c r="R155" s="165">
        <v>41.027999999999999</v>
      </c>
      <c r="S155" s="165" t="s">
        <v>172</v>
      </c>
      <c r="T155" s="165">
        <v>25</v>
      </c>
      <c r="U155" s="166" t="s">
        <v>516</v>
      </c>
      <c r="V155" s="167"/>
    </row>
    <row r="156" spans="1:22">
      <c r="A156" s="180" t="s">
        <v>410</v>
      </c>
      <c r="B156" s="165" t="s">
        <v>511</v>
      </c>
      <c r="C156" s="165" t="s">
        <v>799</v>
      </c>
      <c r="D156" s="165" t="s">
        <v>791</v>
      </c>
      <c r="E156" s="165" t="s">
        <v>170</v>
      </c>
      <c r="F156" s="165">
        <v>548</v>
      </c>
      <c r="G156" s="165">
        <v>2</v>
      </c>
      <c r="H156" s="165">
        <v>16</v>
      </c>
      <c r="I156" s="165">
        <v>4.9000000000000004</v>
      </c>
      <c r="J156" s="165">
        <v>47</v>
      </c>
      <c r="K156" s="166" t="s">
        <v>514</v>
      </c>
      <c r="L156" s="165">
        <v>2025</v>
      </c>
      <c r="M156" s="165" t="s">
        <v>792</v>
      </c>
      <c r="N156" s="165">
        <v>25</v>
      </c>
      <c r="O156" s="165">
        <v>25</v>
      </c>
      <c r="P156" s="165" t="s">
        <v>540</v>
      </c>
      <c r="Q156" s="165">
        <v>-70.887</v>
      </c>
      <c r="R156" s="165">
        <v>41.027999999999999</v>
      </c>
      <c r="S156" s="165" t="s">
        <v>172</v>
      </c>
      <c r="T156" s="165">
        <v>25</v>
      </c>
      <c r="U156" s="166" t="s">
        <v>516</v>
      </c>
      <c r="V156" s="167"/>
    </row>
    <row r="157" spans="1:22">
      <c r="A157" s="180" t="s">
        <v>411</v>
      </c>
      <c r="B157" s="165" t="s">
        <v>511</v>
      </c>
      <c r="C157" s="165" t="s">
        <v>800</v>
      </c>
      <c r="D157" s="165" t="s">
        <v>791</v>
      </c>
      <c r="E157" s="165" t="s">
        <v>170</v>
      </c>
      <c r="F157" s="165">
        <v>547</v>
      </c>
      <c r="G157" s="165">
        <v>5</v>
      </c>
      <c r="H157" s="165">
        <v>10</v>
      </c>
      <c r="I157" s="165">
        <v>25.2</v>
      </c>
      <c r="J157" s="165">
        <v>67</v>
      </c>
      <c r="K157" s="166" t="s">
        <v>514</v>
      </c>
      <c r="L157" s="165">
        <v>2025</v>
      </c>
      <c r="M157" s="165" t="s">
        <v>792</v>
      </c>
      <c r="N157" s="165">
        <v>25</v>
      </c>
      <c r="O157" s="165">
        <v>25</v>
      </c>
      <c r="P157" s="165" t="s">
        <v>801</v>
      </c>
      <c r="Q157" s="165">
        <v>-70.885999999999996</v>
      </c>
      <c r="R157" s="165">
        <v>40.695999999999998</v>
      </c>
      <c r="S157" s="165" t="s">
        <v>172</v>
      </c>
      <c r="T157" s="165">
        <v>25</v>
      </c>
      <c r="U157" s="166" t="s">
        <v>516</v>
      </c>
      <c r="V157" s="167"/>
    </row>
    <row r="158" spans="1:22">
      <c r="A158" s="180" t="s">
        <v>412</v>
      </c>
      <c r="B158" s="165" t="s">
        <v>511</v>
      </c>
      <c r="C158" s="165" t="s">
        <v>802</v>
      </c>
      <c r="D158" s="165" t="s">
        <v>791</v>
      </c>
      <c r="E158" s="165" t="s">
        <v>170</v>
      </c>
      <c r="F158" s="165">
        <v>548</v>
      </c>
      <c r="G158" s="165">
        <v>5</v>
      </c>
      <c r="H158" s="165">
        <v>18</v>
      </c>
      <c r="I158" s="165">
        <v>3.6</v>
      </c>
      <c r="J158" s="165">
        <v>67</v>
      </c>
      <c r="K158" s="166" t="s">
        <v>514</v>
      </c>
      <c r="L158" s="165">
        <v>2025</v>
      </c>
      <c r="M158" s="165" t="s">
        <v>792</v>
      </c>
      <c r="N158" s="165">
        <v>25</v>
      </c>
      <c r="O158" s="165">
        <v>25</v>
      </c>
      <c r="P158" s="165" t="s">
        <v>803</v>
      </c>
      <c r="Q158" s="165">
        <v>-70.885999999999996</v>
      </c>
      <c r="R158" s="165">
        <v>40.695999999999998</v>
      </c>
      <c r="S158" s="165" t="s">
        <v>172</v>
      </c>
      <c r="T158" s="165">
        <v>25</v>
      </c>
      <c r="U158" s="166" t="s">
        <v>516</v>
      </c>
      <c r="V158" s="167"/>
    </row>
    <row r="159" spans="1:22">
      <c r="A159" s="180" t="s">
        <v>413</v>
      </c>
      <c r="B159" s="165" t="s">
        <v>511</v>
      </c>
      <c r="C159" s="165" t="s">
        <v>804</v>
      </c>
      <c r="D159" s="165" t="s">
        <v>791</v>
      </c>
      <c r="E159" s="165" t="s">
        <v>170</v>
      </c>
      <c r="F159" s="165">
        <v>531</v>
      </c>
      <c r="G159" s="165">
        <v>6</v>
      </c>
      <c r="H159" s="165">
        <v>6</v>
      </c>
      <c r="I159" s="165">
        <v>41.9</v>
      </c>
      <c r="J159" s="165">
        <v>1595</v>
      </c>
      <c r="K159" s="166" t="s">
        <v>514</v>
      </c>
      <c r="L159" s="165">
        <v>2025</v>
      </c>
      <c r="M159" s="165" t="s">
        <v>792</v>
      </c>
      <c r="N159" s="165">
        <v>26</v>
      </c>
      <c r="O159" s="165">
        <v>26</v>
      </c>
      <c r="P159" s="165" t="s">
        <v>805</v>
      </c>
      <c r="Q159" s="165">
        <v>-70.888999999999996</v>
      </c>
      <c r="R159" s="165">
        <v>39.768999999999998</v>
      </c>
      <c r="S159" s="165" t="s">
        <v>172</v>
      </c>
      <c r="T159" s="165">
        <v>25</v>
      </c>
      <c r="U159" s="166" t="s">
        <v>516</v>
      </c>
      <c r="V159" s="167"/>
    </row>
    <row r="160" spans="1:22">
      <c r="A160" s="180" t="s">
        <v>414</v>
      </c>
      <c r="B160" s="165" t="s">
        <v>511</v>
      </c>
      <c r="C160" s="165" t="s">
        <v>806</v>
      </c>
      <c r="D160" s="165" t="s">
        <v>791</v>
      </c>
      <c r="E160" s="165" t="s">
        <v>170</v>
      </c>
      <c r="F160" s="165">
        <v>547</v>
      </c>
      <c r="G160" s="165">
        <v>6</v>
      </c>
      <c r="H160" s="165">
        <v>15</v>
      </c>
      <c r="I160" s="165">
        <v>20</v>
      </c>
      <c r="J160" s="165">
        <v>1595</v>
      </c>
      <c r="K160" s="166" t="s">
        <v>514</v>
      </c>
      <c r="L160" s="165">
        <v>2025</v>
      </c>
      <c r="M160" s="165" t="s">
        <v>792</v>
      </c>
      <c r="N160" s="165">
        <v>26</v>
      </c>
      <c r="O160" s="165">
        <v>26</v>
      </c>
      <c r="P160" s="165" t="s">
        <v>807</v>
      </c>
      <c r="Q160" s="165">
        <v>-70.89</v>
      </c>
      <c r="R160" s="165">
        <v>39.768999999999998</v>
      </c>
      <c r="S160" s="165" t="s">
        <v>172</v>
      </c>
      <c r="T160" s="165">
        <v>25</v>
      </c>
      <c r="U160" s="166" t="s">
        <v>516</v>
      </c>
      <c r="V160" s="167"/>
    </row>
    <row r="161" spans="1:22">
      <c r="A161" s="180" t="s">
        <v>415</v>
      </c>
      <c r="B161" s="165" t="s">
        <v>511</v>
      </c>
      <c r="C161" s="165" t="s">
        <v>808</v>
      </c>
      <c r="D161" s="165" t="s">
        <v>791</v>
      </c>
      <c r="E161" s="165" t="s">
        <v>170</v>
      </c>
      <c r="F161" s="165">
        <v>548</v>
      </c>
      <c r="G161" s="165">
        <v>6</v>
      </c>
      <c r="H161" s="165">
        <v>19</v>
      </c>
      <c r="I161" s="165">
        <v>7.1</v>
      </c>
      <c r="J161" s="165">
        <v>1595</v>
      </c>
      <c r="K161" s="166" t="s">
        <v>514</v>
      </c>
      <c r="L161" s="165">
        <v>2025</v>
      </c>
      <c r="M161" s="165" t="s">
        <v>792</v>
      </c>
      <c r="N161" s="165">
        <v>26</v>
      </c>
      <c r="O161" s="165">
        <v>26</v>
      </c>
      <c r="P161" s="165" t="s">
        <v>809</v>
      </c>
      <c r="Q161" s="165">
        <v>-70.89</v>
      </c>
      <c r="R161" s="165">
        <v>39.768000000000001</v>
      </c>
      <c r="S161" s="165" t="s">
        <v>172</v>
      </c>
      <c r="T161" s="165">
        <v>25</v>
      </c>
      <c r="U161" s="166" t="s">
        <v>516</v>
      </c>
      <c r="V161" s="167"/>
    </row>
    <row r="162" spans="1:22">
      <c r="A162" s="180" t="s">
        <v>416</v>
      </c>
      <c r="B162" s="165" t="s">
        <v>511</v>
      </c>
      <c r="C162" s="165" t="s">
        <v>810</v>
      </c>
      <c r="D162" s="165" t="s">
        <v>791</v>
      </c>
      <c r="E162" s="165" t="s">
        <v>170</v>
      </c>
      <c r="F162" s="165">
        <v>549</v>
      </c>
      <c r="G162" s="165">
        <v>9</v>
      </c>
      <c r="H162" s="165">
        <v>10</v>
      </c>
      <c r="I162" s="165">
        <v>55.4</v>
      </c>
      <c r="J162" s="165">
        <v>453</v>
      </c>
      <c r="K162" s="166" t="s">
        <v>514</v>
      </c>
      <c r="L162" s="165">
        <v>2025</v>
      </c>
      <c r="M162" s="165" t="s">
        <v>792</v>
      </c>
      <c r="N162" s="165">
        <v>26</v>
      </c>
      <c r="O162" s="165">
        <v>26</v>
      </c>
      <c r="P162" s="165" t="s">
        <v>811</v>
      </c>
      <c r="Q162" s="165">
        <v>-70.885000000000005</v>
      </c>
      <c r="R162" s="165">
        <v>39.933999999999997</v>
      </c>
      <c r="S162" s="165" t="s">
        <v>172</v>
      </c>
      <c r="T162" s="165">
        <v>25</v>
      </c>
      <c r="U162" s="166" t="s">
        <v>516</v>
      </c>
      <c r="V162" s="167"/>
    </row>
    <row r="163" spans="1:22">
      <c r="A163" s="180" t="s">
        <v>417</v>
      </c>
      <c r="B163" s="165" t="s">
        <v>511</v>
      </c>
      <c r="C163" s="165" t="s">
        <v>812</v>
      </c>
      <c r="D163" s="165" t="s">
        <v>791</v>
      </c>
      <c r="E163" s="165" t="s">
        <v>170</v>
      </c>
      <c r="F163" s="165">
        <v>547</v>
      </c>
      <c r="G163" s="165">
        <v>9</v>
      </c>
      <c r="H163" s="165">
        <v>16</v>
      </c>
      <c r="I163" s="165">
        <v>24.8</v>
      </c>
      <c r="J163" s="165">
        <v>453</v>
      </c>
      <c r="K163" s="166" t="s">
        <v>514</v>
      </c>
      <c r="L163" s="165">
        <v>2025</v>
      </c>
      <c r="M163" s="165" t="s">
        <v>792</v>
      </c>
      <c r="N163" s="165">
        <v>26</v>
      </c>
      <c r="O163" s="165">
        <v>26</v>
      </c>
      <c r="P163" s="165" t="s">
        <v>813</v>
      </c>
      <c r="Q163" s="165">
        <v>-70.885000000000005</v>
      </c>
      <c r="R163" s="165">
        <v>39.933</v>
      </c>
      <c r="S163" s="165" t="s">
        <v>172</v>
      </c>
      <c r="T163" s="165">
        <v>25</v>
      </c>
      <c r="U163" s="166" t="s">
        <v>516</v>
      </c>
      <c r="V163" s="167"/>
    </row>
    <row r="164" spans="1:22">
      <c r="A164" s="180" t="s">
        <v>418</v>
      </c>
      <c r="B164" s="165" t="s">
        <v>511</v>
      </c>
      <c r="C164" s="165" t="s">
        <v>814</v>
      </c>
      <c r="D164" s="165" t="s">
        <v>791</v>
      </c>
      <c r="E164" s="165" t="s">
        <v>173</v>
      </c>
      <c r="F164" s="165">
        <v>548</v>
      </c>
      <c r="G164" s="165">
        <v>9</v>
      </c>
      <c r="H164" s="165">
        <v>21</v>
      </c>
      <c r="I164" s="165">
        <v>5.0999999999999996</v>
      </c>
      <c r="J164" s="165">
        <v>453</v>
      </c>
      <c r="K164" s="166" t="s">
        <v>514</v>
      </c>
      <c r="L164" s="165">
        <v>2025</v>
      </c>
      <c r="M164" s="165" t="s">
        <v>792</v>
      </c>
      <c r="N164" s="165">
        <v>26</v>
      </c>
      <c r="O164" s="165">
        <v>26</v>
      </c>
      <c r="P164" s="165" t="s">
        <v>815</v>
      </c>
      <c r="Q164" s="165">
        <v>-70.885999999999996</v>
      </c>
      <c r="R164" s="165">
        <v>39.932000000000002</v>
      </c>
      <c r="S164" s="165" t="s">
        <v>172</v>
      </c>
      <c r="T164" s="165">
        <v>25</v>
      </c>
      <c r="U164" s="166" t="s">
        <v>516</v>
      </c>
      <c r="V164" s="167"/>
    </row>
    <row r="165" spans="1:22">
      <c r="A165" s="180" t="s">
        <v>419</v>
      </c>
      <c r="B165" s="165" t="s">
        <v>511</v>
      </c>
      <c r="C165" s="165" t="s">
        <v>816</v>
      </c>
      <c r="D165" s="165" t="s">
        <v>791</v>
      </c>
      <c r="E165" s="165" t="s">
        <v>173</v>
      </c>
      <c r="F165" s="165">
        <v>547</v>
      </c>
      <c r="G165" s="165">
        <v>9</v>
      </c>
      <c r="H165" s="165">
        <v>21</v>
      </c>
      <c r="I165" s="165">
        <v>5.0999999999999996</v>
      </c>
      <c r="J165" s="165">
        <v>453</v>
      </c>
      <c r="K165" s="166" t="s">
        <v>514</v>
      </c>
      <c r="L165" s="165">
        <v>2025</v>
      </c>
      <c r="M165" s="165" t="s">
        <v>792</v>
      </c>
      <c r="N165" s="165">
        <v>26</v>
      </c>
      <c r="O165" s="165">
        <v>26</v>
      </c>
      <c r="P165" s="165" t="s">
        <v>815</v>
      </c>
      <c r="Q165" s="165">
        <v>-70.885999999999996</v>
      </c>
      <c r="R165" s="165">
        <v>39.932000000000002</v>
      </c>
      <c r="S165" s="165" t="s">
        <v>172</v>
      </c>
      <c r="T165" s="165">
        <v>25</v>
      </c>
      <c r="U165" s="166" t="s">
        <v>516</v>
      </c>
      <c r="V165" s="167"/>
    </row>
    <row r="166" spans="1:22">
      <c r="A166" s="180" t="s">
        <v>421</v>
      </c>
      <c r="B166" s="165" t="s">
        <v>511</v>
      </c>
      <c r="C166" s="165" t="s">
        <v>817</v>
      </c>
      <c r="D166" s="165" t="s">
        <v>791</v>
      </c>
      <c r="E166" s="165" t="s">
        <v>170</v>
      </c>
      <c r="F166" s="165">
        <v>549</v>
      </c>
      <c r="G166" s="165">
        <v>10</v>
      </c>
      <c r="H166" s="165">
        <v>8</v>
      </c>
      <c r="I166" s="165">
        <v>53.7</v>
      </c>
      <c r="J166" s="165">
        <v>131</v>
      </c>
      <c r="K166" s="166" t="s">
        <v>514</v>
      </c>
      <c r="L166" s="165">
        <v>2025</v>
      </c>
      <c r="M166" s="165" t="s">
        <v>792</v>
      </c>
      <c r="N166" s="165">
        <v>26</v>
      </c>
      <c r="O166" s="165">
        <v>26</v>
      </c>
      <c r="P166" s="165" t="s">
        <v>818</v>
      </c>
      <c r="Q166" s="165">
        <v>-70.891999999999996</v>
      </c>
      <c r="R166" s="165">
        <v>40.146000000000001</v>
      </c>
      <c r="S166" s="165" t="s">
        <v>172</v>
      </c>
      <c r="T166" s="165">
        <v>25</v>
      </c>
      <c r="U166" s="166" t="s">
        <v>516</v>
      </c>
      <c r="V166" s="167"/>
    </row>
    <row r="167" spans="1:22">
      <c r="A167" s="180" t="s">
        <v>422</v>
      </c>
      <c r="B167" s="165" t="s">
        <v>511</v>
      </c>
      <c r="C167" s="165" t="s">
        <v>819</v>
      </c>
      <c r="D167" s="165" t="s">
        <v>791</v>
      </c>
      <c r="E167" s="165" t="s">
        <v>170</v>
      </c>
      <c r="F167" s="165">
        <v>547</v>
      </c>
      <c r="G167" s="165">
        <v>10</v>
      </c>
      <c r="H167" s="165">
        <v>11</v>
      </c>
      <c r="I167" s="165">
        <v>33.799999999999997</v>
      </c>
      <c r="J167" s="165">
        <v>131</v>
      </c>
      <c r="K167" s="166" t="s">
        <v>514</v>
      </c>
      <c r="L167" s="165">
        <v>2025</v>
      </c>
      <c r="M167" s="165" t="s">
        <v>792</v>
      </c>
      <c r="N167" s="165">
        <v>26</v>
      </c>
      <c r="O167" s="165">
        <v>26</v>
      </c>
      <c r="P167" s="165" t="s">
        <v>820</v>
      </c>
      <c r="Q167" s="165">
        <v>-70.893000000000001</v>
      </c>
      <c r="R167" s="165">
        <v>40.145000000000003</v>
      </c>
      <c r="S167" s="165" t="s">
        <v>172</v>
      </c>
      <c r="T167" s="165">
        <v>25</v>
      </c>
      <c r="U167" s="166" t="s">
        <v>516</v>
      </c>
      <c r="V167" s="167"/>
    </row>
    <row r="168" spans="1:22">
      <c r="A168" s="180" t="s">
        <v>423</v>
      </c>
      <c r="B168" s="165" t="s">
        <v>511</v>
      </c>
      <c r="C168" s="165" t="s">
        <v>821</v>
      </c>
      <c r="D168" s="165" t="s">
        <v>791</v>
      </c>
      <c r="E168" s="165" t="s">
        <v>170</v>
      </c>
      <c r="F168" s="165">
        <v>548</v>
      </c>
      <c r="G168" s="165">
        <v>10</v>
      </c>
      <c r="H168" s="165">
        <v>19</v>
      </c>
      <c r="I168" s="165">
        <v>6.7</v>
      </c>
      <c r="J168" s="165">
        <v>131</v>
      </c>
      <c r="K168" s="166" t="s">
        <v>514</v>
      </c>
      <c r="L168" s="165">
        <v>2025</v>
      </c>
      <c r="M168" s="165" t="s">
        <v>792</v>
      </c>
      <c r="N168" s="165">
        <v>26</v>
      </c>
      <c r="O168" s="165">
        <v>26</v>
      </c>
      <c r="P168" s="165" t="s">
        <v>822</v>
      </c>
      <c r="Q168" s="165">
        <v>-70.894000000000005</v>
      </c>
      <c r="R168" s="165">
        <v>40.143999999999998</v>
      </c>
      <c r="S168" s="165" t="s">
        <v>172</v>
      </c>
      <c r="T168" s="165">
        <v>25</v>
      </c>
      <c r="U168" s="166" t="s">
        <v>516</v>
      </c>
      <c r="V168" s="167"/>
    </row>
    <row r="169" spans="1:22">
      <c r="A169" s="180" t="s">
        <v>424</v>
      </c>
      <c r="B169" s="165" t="s">
        <v>511</v>
      </c>
      <c r="C169" s="165" t="s">
        <v>823</v>
      </c>
      <c r="D169" s="165" t="s">
        <v>791</v>
      </c>
      <c r="E169" s="165" t="s">
        <v>170</v>
      </c>
      <c r="F169" s="165">
        <v>547</v>
      </c>
      <c r="G169" s="165">
        <v>11</v>
      </c>
      <c r="H169" s="165">
        <v>14</v>
      </c>
      <c r="I169" s="165">
        <v>40.299999999999997</v>
      </c>
      <c r="J169" s="165">
        <v>212</v>
      </c>
      <c r="K169" s="166" t="s">
        <v>514</v>
      </c>
      <c r="L169" s="165">
        <v>2025</v>
      </c>
      <c r="M169" s="165" t="s">
        <v>792</v>
      </c>
      <c r="N169" s="165">
        <v>26</v>
      </c>
      <c r="O169" s="165">
        <v>26</v>
      </c>
      <c r="P169" s="165" t="s">
        <v>824</v>
      </c>
      <c r="Q169" s="165">
        <v>-70.897000000000006</v>
      </c>
      <c r="R169" s="165">
        <v>40.040999999999997</v>
      </c>
      <c r="S169" s="165" t="s">
        <v>172</v>
      </c>
      <c r="T169" s="165">
        <v>25</v>
      </c>
      <c r="U169" s="166" t="s">
        <v>516</v>
      </c>
      <c r="V169" s="167"/>
    </row>
    <row r="170" spans="1:22">
      <c r="A170" s="180" t="s">
        <v>425</v>
      </c>
      <c r="B170" s="165" t="s">
        <v>511</v>
      </c>
      <c r="C170" s="165" t="s">
        <v>825</v>
      </c>
      <c r="D170" s="165" t="s">
        <v>791</v>
      </c>
      <c r="E170" s="165" t="s">
        <v>170</v>
      </c>
      <c r="F170" s="165">
        <v>548</v>
      </c>
      <c r="G170" s="165">
        <v>11</v>
      </c>
      <c r="H170" s="165">
        <v>21</v>
      </c>
      <c r="I170" s="165">
        <v>5.8</v>
      </c>
      <c r="J170" s="165">
        <v>212</v>
      </c>
      <c r="K170" s="166" t="s">
        <v>514</v>
      </c>
      <c r="L170" s="165">
        <v>2025</v>
      </c>
      <c r="M170" s="165" t="s">
        <v>792</v>
      </c>
      <c r="N170" s="165">
        <v>26</v>
      </c>
      <c r="O170" s="165">
        <v>26</v>
      </c>
      <c r="P170" s="165" t="s">
        <v>826</v>
      </c>
      <c r="Q170" s="165">
        <v>-70.899000000000001</v>
      </c>
      <c r="R170" s="165">
        <v>40.04</v>
      </c>
      <c r="S170" s="165" t="s">
        <v>172</v>
      </c>
      <c r="T170" s="165">
        <v>25</v>
      </c>
      <c r="U170" s="166" t="s">
        <v>516</v>
      </c>
      <c r="V170" s="167"/>
    </row>
    <row r="171" spans="1:22">
      <c r="A171" s="180" t="s">
        <v>426</v>
      </c>
      <c r="B171" s="165" t="s">
        <v>511</v>
      </c>
      <c r="C171" s="165" t="s">
        <v>827</v>
      </c>
      <c r="D171" s="165" t="s">
        <v>791</v>
      </c>
      <c r="E171" s="165" t="s">
        <v>170</v>
      </c>
      <c r="F171" s="165">
        <v>547</v>
      </c>
      <c r="G171" s="165">
        <v>14</v>
      </c>
      <c r="H171" s="165">
        <v>15</v>
      </c>
      <c r="I171" s="165">
        <v>30.1</v>
      </c>
      <c r="J171" s="165">
        <v>123</v>
      </c>
      <c r="K171" s="166" t="s">
        <v>514</v>
      </c>
      <c r="L171" s="165">
        <v>2025</v>
      </c>
      <c r="M171" s="165" t="s">
        <v>792</v>
      </c>
      <c r="N171" s="165">
        <v>27</v>
      </c>
      <c r="O171" s="165">
        <v>27</v>
      </c>
      <c r="P171" s="165" t="s">
        <v>828</v>
      </c>
      <c r="Q171" s="165">
        <v>-70.893000000000001</v>
      </c>
      <c r="R171" s="165">
        <v>40.253</v>
      </c>
      <c r="S171" s="165" t="s">
        <v>172</v>
      </c>
      <c r="T171" s="165">
        <v>25</v>
      </c>
      <c r="U171" s="166" t="s">
        <v>516</v>
      </c>
      <c r="V171" s="167"/>
    </row>
    <row r="172" spans="1:22">
      <c r="A172" s="180" t="s">
        <v>427</v>
      </c>
      <c r="B172" s="165" t="s">
        <v>511</v>
      </c>
      <c r="C172" s="165" t="s">
        <v>829</v>
      </c>
      <c r="D172" s="165" t="s">
        <v>791</v>
      </c>
      <c r="E172" s="165" t="s">
        <v>170</v>
      </c>
      <c r="F172" s="165">
        <v>548</v>
      </c>
      <c r="G172" s="165">
        <v>14</v>
      </c>
      <c r="H172" s="165">
        <v>19</v>
      </c>
      <c r="I172" s="165">
        <v>4.8</v>
      </c>
      <c r="J172" s="165">
        <v>123</v>
      </c>
      <c r="K172" s="166" t="s">
        <v>514</v>
      </c>
      <c r="L172" s="165">
        <v>2025</v>
      </c>
      <c r="M172" s="165" t="s">
        <v>792</v>
      </c>
      <c r="N172" s="165">
        <v>27</v>
      </c>
      <c r="O172" s="165">
        <v>27</v>
      </c>
      <c r="P172" s="165" t="s">
        <v>830</v>
      </c>
      <c r="Q172" s="165">
        <v>-70.894000000000005</v>
      </c>
      <c r="R172" s="165">
        <v>40.253</v>
      </c>
      <c r="S172" s="165" t="s">
        <v>172</v>
      </c>
      <c r="T172" s="165">
        <v>25</v>
      </c>
      <c r="U172" s="166" t="s">
        <v>516</v>
      </c>
      <c r="V172" s="167"/>
    </row>
    <row r="173" spans="1:22">
      <c r="A173" s="180" t="s">
        <v>428</v>
      </c>
      <c r="B173" s="165" t="s">
        <v>511</v>
      </c>
      <c r="C173" s="165" t="s">
        <v>831</v>
      </c>
      <c r="D173" s="165" t="s">
        <v>791</v>
      </c>
      <c r="E173" s="165" t="s">
        <v>170</v>
      </c>
      <c r="F173" s="165">
        <v>547</v>
      </c>
      <c r="G173" s="165">
        <v>18</v>
      </c>
      <c r="H173" s="165">
        <v>9</v>
      </c>
      <c r="I173" s="165">
        <v>34.700000000000003</v>
      </c>
      <c r="J173" s="165">
        <v>95</v>
      </c>
      <c r="K173" s="166" t="s">
        <v>514</v>
      </c>
      <c r="L173" s="165">
        <v>2025</v>
      </c>
      <c r="M173" s="165" t="s">
        <v>792</v>
      </c>
      <c r="N173" s="165">
        <v>27</v>
      </c>
      <c r="O173" s="165">
        <v>27</v>
      </c>
      <c r="P173" s="165" t="s">
        <v>832</v>
      </c>
      <c r="Q173" s="165">
        <v>-70.881</v>
      </c>
      <c r="R173" s="165">
        <v>40.359000000000002</v>
      </c>
      <c r="S173" s="165" t="s">
        <v>172</v>
      </c>
      <c r="T173" s="165">
        <v>25</v>
      </c>
      <c r="U173" s="166" t="s">
        <v>516</v>
      </c>
      <c r="V173" s="167"/>
    </row>
    <row r="174" spans="1:22">
      <c r="A174" s="180" t="s">
        <v>429</v>
      </c>
      <c r="B174" s="165" t="s">
        <v>511</v>
      </c>
      <c r="C174" s="165" t="s">
        <v>833</v>
      </c>
      <c r="D174" s="165" t="s">
        <v>791</v>
      </c>
      <c r="E174" s="165" t="s">
        <v>170</v>
      </c>
      <c r="F174" s="165">
        <v>548</v>
      </c>
      <c r="G174" s="165">
        <v>18</v>
      </c>
      <c r="H174" s="165">
        <v>21</v>
      </c>
      <c r="I174" s="165">
        <v>4.4000000000000004</v>
      </c>
      <c r="J174" s="165">
        <v>95</v>
      </c>
      <c r="K174" s="166" t="s">
        <v>514</v>
      </c>
      <c r="L174" s="165">
        <v>2025</v>
      </c>
      <c r="M174" s="165" t="s">
        <v>792</v>
      </c>
      <c r="N174" s="165">
        <v>27</v>
      </c>
      <c r="O174" s="165">
        <v>27</v>
      </c>
      <c r="P174" s="165" t="s">
        <v>834</v>
      </c>
      <c r="Q174" s="165">
        <v>-70.88</v>
      </c>
      <c r="R174" s="165">
        <v>40.357999999999997</v>
      </c>
      <c r="S174" s="165" t="s">
        <v>172</v>
      </c>
      <c r="T174" s="165">
        <v>25</v>
      </c>
      <c r="U174" s="166" t="s">
        <v>516</v>
      </c>
      <c r="V174" s="167"/>
    </row>
    <row r="175" spans="1:22">
      <c r="A175" s="180" t="s">
        <v>430</v>
      </c>
      <c r="B175" s="165" t="s">
        <v>511</v>
      </c>
      <c r="C175" s="165" t="s">
        <v>835</v>
      </c>
      <c r="D175" s="165" t="s">
        <v>791</v>
      </c>
      <c r="E175" s="165" t="s">
        <v>170</v>
      </c>
      <c r="F175" s="165">
        <v>547</v>
      </c>
      <c r="G175" s="165">
        <v>19</v>
      </c>
      <c r="H175" s="165">
        <v>13</v>
      </c>
      <c r="I175" s="165">
        <v>30.1</v>
      </c>
      <c r="J175" s="165">
        <v>77</v>
      </c>
      <c r="K175" s="166" t="s">
        <v>514</v>
      </c>
      <c r="L175" s="165">
        <v>2025</v>
      </c>
      <c r="M175" s="165" t="s">
        <v>792</v>
      </c>
      <c r="N175" s="165">
        <v>27</v>
      </c>
      <c r="O175" s="165">
        <v>27</v>
      </c>
      <c r="P175" s="165" t="s">
        <v>836</v>
      </c>
      <c r="Q175" s="165">
        <v>-70.885000000000005</v>
      </c>
      <c r="R175" s="165">
        <v>40.51</v>
      </c>
      <c r="S175" s="165" t="s">
        <v>172</v>
      </c>
      <c r="T175" s="165">
        <v>25</v>
      </c>
      <c r="U175" s="166" t="s">
        <v>516</v>
      </c>
      <c r="V175" s="167"/>
    </row>
    <row r="176" spans="1:22">
      <c r="A176" s="180" t="s">
        <v>431</v>
      </c>
      <c r="B176" s="165" t="s">
        <v>511</v>
      </c>
      <c r="C176" s="165" t="s">
        <v>837</v>
      </c>
      <c r="D176" s="165" t="s">
        <v>791</v>
      </c>
      <c r="E176" s="165" t="s">
        <v>173</v>
      </c>
      <c r="F176" s="165">
        <v>548</v>
      </c>
      <c r="G176" s="165">
        <v>19</v>
      </c>
      <c r="H176" s="165">
        <v>17</v>
      </c>
      <c r="I176" s="165">
        <v>5.3</v>
      </c>
      <c r="J176" s="165">
        <v>77</v>
      </c>
      <c r="K176" s="166" t="s">
        <v>514</v>
      </c>
      <c r="L176" s="165">
        <v>2025</v>
      </c>
      <c r="M176" s="165" t="s">
        <v>792</v>
      </c>
      <c r="N176" s="165">
        <v>27</v>
      </c>
      <c r="O176" s="165">
        <v>27</v>
      </c>
      <c r="P176" s="165" t="s">
        <v>838</v>
      </c>
      <c r="Q176" s="165">
        <v>-70.885999999999996</v>
      </c>
      <c r="R176" s="165">
        <v>40.509</v>
      </c>
      <c r="S176" s="165" t="s">
        <v>172</v>
      </c>
      <c r="T176" s="165">
        <v>25</v>
      </c>
      <c r="U176" s="166" t="s">
        <v>516</v>
      </c>
      <c r="V176" s="167"/>
    </row>
    <row r="177" spans="1:22">
      <c r="A177" s="180" t="s">
        <v>432</v>
      </c>
      <c r="B177" s="165" t="s">
        <v>511</v>
      </c>
      <c r="C177" s="165" t="s">
        <v>839</v>
      </c>
      <c r="D177" s="165" t="s">
        <v>791</v>
      </c>
      <c r="E177" s="165" t="s">
        <v>173</v>
      </c>
      <c r="F177" s="165">
        <v>548</v>
      </c>
      <c r="G177" s="165">
        <v>19</v>
      </c>
      <c r="H177" s="165">
        <v>17</v>
      </c>
      <c r="I177" s="165">
        <v>5.3</v>
      </c>
      <c r="J177" s="165">
        <v>77</v>
      </c>
      <c r="K177" s="166" t="s">
        <v>514</v>
      </c>
      <c r="L177" s="165">
        <v>2025</v>
      </c>
      <c r="M177" s="165" t="s">
        <v>792</v>
      </c>
      <c r="N177" s="165">
        <v>27</v>
      </c>
      <c r="O177" s="165">
        <v>27</v>
      </c>
      <c r="P177" s="165" t="s">
        <v>838</v>
      </c>
      <c r="Q177" s="165">
        <v>-70.885999999999996</v>
      </c>
      <c r="R177" s="165">
        <v>40.509</v>
      </c>
      <c r="S177" s="165" t="s">
        <v>172</v>
      </c>
      <c r="T177" s="165">
        <v>25</v>
      </c>
      <c r="U177" s="166" t="s">
        <v>516</v>
      </c>
      <c r="V177" s="167"/>
    </row>
    <row r="178" spans="1:22" ht="14.25">
      <c r="A178" s="180" t="s">
        <v>433</v>
      </c>
      <c r="B178" s="165" t="s">
        <v>511</v>
      </c>
      <c r="C178" s="170" t="s">
        <v>840</v>
      </c>
      <c r="D178" s="165" t="s">
        <v>791</v>
      </c>
      <c r="E178" s="165" t="s">
        <v>170</v>
      </c>
      <c r="F178" s="165">
        <v>547</v>
      </c>
      <c r="G178" s="165">
        <v>20</v>
      </c>
      <c r="H178" s="165">
        <v>5</v>
      </c>
      <c r="I178" s="165">
        <v>29.8</v>
      </c>
      <c r="J178" s="165">
        <v>54</v>
      </c>
      <c r="K178" s="166" t="s">
        <v>514</v>
      </c>
      <c r="L178" s="165">
        <v>2025</v>
      </c>
      <c r="M178" s="165" t="s">
        <v>792</v>
      </c>
      <c r="N178" s="165">
        <v>28</v>
      </c>
      <c r="O178" s="165">
        <v>28</v>
      </c>
      <c r="P178" s="165" t="s">
        <v>841</v>
      </c>
      <c r="Q178" s="165">
        <v>-70.878</v>
      </c>
      <c r="R178" s="165">
        <v>40.859000000000002</v>
      </c>
      <c r="S178" s="165" t="s">
        <v>172</v>
      </c>
      <c r="T178" s="165">
        <v>25</v>
      </c>
      <c r="U178" s="166" t="s">
        <v>516</v>
      </c>
      <c r="V178" s="171" t="s">
        <v>842</v>
      </c>
    </row>
    <row r="179" spans="1:22">
      <c r="A179" s="180" t="s">
        <v>434</v>
      </c>
      <c r="B179" s="165" t="s">
        <v>511</v>
      </c>
      <c r="C179" s="165" t="s">
        <v>843</v>
      </c>
      <c r="D179" s="165" t="s">
        <v>791</v>
      </c>
      <c r="E179" s="165" t="s">
        <v>170</v>
      </c>
      <c r="F179" s="165">
        <v>548</v>
      </c>
      <c r="G179" s="165">
        <v>20</v>
      </c>
      <c r="H179" s="165">
        <v>12</v>
      </c>
      <c r="I179" s="165">
        <v>5.6</v>
      </c>
      <c r="J179" s="165">
        <v>54</v>
      </c>
      <c r="K179" s="166" t="s">
        <v>514</v>
      </c>
      <c r="L179" s="165">
        <v>2025</v>
      </c>
      <c r="M179" s="165" t="s">
        <v>792</v>
      </c>
      <c r="N179" s="165">
        <v>28</v>
      </c>
      <c r="O179" s="165">
        <v>28</v>
      </c>
      <c r="P179" s="165" t="s">
        <v>844</v>
      </c>
      <c r="Q179" s="165">
        <v>-70.876999999999995</v>
      </c>
      <c r="R179" s="165">
        <v>40.856999999999999</v>
      </c>
      <c r="S179" s="165" t="s">
        <v>172</v>
      </c>
      <c r="T179" s="165">
        <v>25</v>
      </c>
      <c r="U179" s="166" t="s">
        <v>516</v>
      </c>
      <c r="V179" s="167"/>
    </row>
    <row r="180" spans="1:22">
      <c r="A180" s="180" t="s">
        <v>435</v>
      </c>
      <c r="B180" s="165" t="s">
        <v>511</v>
      </c>
      <c r="C180" s="165" t="s">
        <v>845</v>
      </c>
      <c r="D180" s="165" t="s">
        <v>791</v>
      </c>
      <c r="E180" s="165" t="s">
        <v>170</v>
      </c>
      <c r="F180" s="165">
        <v>547</v>
      </c>
      <c r="G180" s="165">
        <v>21</v>
      </c>
      <c r="H180" s="165">
        <v>2</v>
      </c>
      <c r="I180" s="165">
        <v>18.2</v>
      </c>
      <c r="J180" s="165">
        <v>22</v>
      </c>
      <c r="K180" s="166" t="s">
        <v>514</v>
      </c>
      <c r="L180" s="165">
        <v>2025</v>
      </c>
      <c r="M180" s="165" t="s">
        <v>792</v>
      </c>
      <c r="N180" s="165">
        <v>28</v>
      </c>
      <c r="O180" s="165">
        <v>28</v>
      </c>
      <c r="P180" s="165" t="s">
        <v>846</v>
      </c>
      <c r="Q180" s="165">
        <v>-70.570999999999998</v>
      </c>
      <c r="R180" s="165">
        <v>41.296999999999997</v>
      </c>
      <c r="S180" s="165" t="s">
        <v>172</v>
      </c>
      <c r="T180" s="165">
        <v>25</v>
      </c>
      <c r="U180" s="166" t="s">
        <v>516</v>
      </c>
      <c r="V180" s="167"/>
    </row>
    <row r="181" spans="1:22">
      <c r="A181" s="180" t="s">
        <v>436</v>
      </c>
      <c r="B181" s="165" t="s">
        <v>511</v>
      </c>
      <c r="C181" s="165" t="s">
        <v>847</v>
      </c>
      <c r="D181" s="165" t="s">
        <v>791</v>
      </c>
      <c r="E181" s="165" t="s">
        <v>170</v>
      </c>
      <c r="F181" s="165">
        <v>548</v>
      </c>
      <c r="G181" s="165">
        <v>21</v>
      </c>
      <c r="H181" s="165">
        <v>5</v>
      </c>
      <c r="I181" s="165">
        <v>5.3</v>
      </c>
      <c r="J181" s="165">
        <v>22</v>
      </c>
      <c r="K181" s="166" t="s">
        <v>514</v>
      </c>
      <c r="L181" s="165">
        <v>2025</v>
      </c>
      <c r="M181" s="165" t="s">
        <v>792</v>
      </c>
      <c r="N181" s="165">
        <v>28</v>
      </c>
      <c r="O181" s="165">
        <v>28</v>
      </c>
      <c r="P181" s="165" t="s">
        <v>848</v>
      </c>
      <c r="Q181" s="165">
        <v>-70.570999999999998</v>
      </c>
      <c r="R181" s="165">
        <v>41.296999999999997</v>
      </c>
      <c r="S181" s="165" t="s">
        <v>172</v>
      </c>
      <c r="T181" s="165">
        <v>25</v>
      </c>
      <c r="U181" s="166" t="s">
        <v>516</v>
      </c>
      <c r="V181" s="167"/>
    </row>
    <row r="182" spans="1:22">
      <c r="A182" s="180" t="s">
        <v>437</v>
      </c>
      <c r="B182" s="169" t="s">
        <v>511</v>
      </c>
      <c r="C182" s="169" t="s">
        <v>849</v>
      </c>
      <c r="D182" s="169" t="s">
        <v>850</v>
      </c>
      <c r="E182" s="169" t="s">
        <v>170</v>
      </c>
      <c r="F182" s="169">
        <v>547</v>
      </c>
      <c r="G182" s="169">
        <v>1</v>
      </c>
      <c r="H182" s="169">
        <v>7</v>
      </c>
      <c r="I182" s="165">
        <v>8</v>
      </c>
      <c r="J182" s="165">
        <v>21</v>
      </c>
      <c r="K182" s="166" t="s">
        <v>514</v>
      </c>
      <c r="L182" s="165">
        <v>2025</v>
      </c>
      <c r="M182" s="165" t="s">
        <v>851</v>
      </c>
      <c r="N182" s="165">
        <v>24</v>
      </c>
      <c r="O182" s="165">
        <v>114</v>
      </c>
      <c r="P182" s="165" t="s">
        <v>852</v>
      </c>
      <c r="Q182" s="165">
        <v>-70.882999999999996</v>
      </c>
      <c r="R182" s="165">
        <v>41.198</v>
      </c>
      <c r="S182" s="165" t="s">
        <v>172</v>
      </c>
      <c r="T182" s="165">
        <v>25</v>
      </c>
      <c r="U182" s="166" t="s">
        <v>516</v>
      </c>
      <c r="V182" s="167"/>
    </row>
    <row r="183" spans="1:22">
      <c r="A183" s="180" t="s">
        <v>438</v>
      </c>
      <c r="B183" s="169" t="s">
        <v>511</v>
      </c>
      <c r="C183" s="169" t="s">
        <v>853</v>
      </c>
      <c r="D183" s="169" t="s">
        <v>850</v>
      </c>
      <c r="E183" s="169" t="s">
        <v>170</v>
      </c>
      <c r="F183" s="169">
        <v>548</v>
      </c>
      <c r="G183" s="169">
        <v>1</v>
      </c>
      <c r="H183" s="169">
        <v>14</v>
      </c>
      <c r="I183" s="165">
        <v>2.2999999999999998</v>
      </c>
      <c r="J183" s="165">
        <v>21</v>
      </c>
      <c r="K183" s="166" t="s">
        <v>514</v>
      </c>
      <c r="L183" s="165">
        <v>2025</v>
      </c>
      <c r="M183" s="165" t="s">
        <v>851</v>
      </c>
      <c r="N183" s="165">
        <v>24</v>
      </c>
      <c r="O183" s="165">
        <v>114</v>
      </c>
      <c r="P183" s="165" t="s">
        <v>854</v>
      </c>
      <c r="Q183" s="165">
        <v>-70.882999999999996</v>
      </c>
      <c r="R183" s="165">
        <v>41.198</v>
      </c>
      <c r="S183" s="165" t="s">
        <v>172</v>
      </c>
      <c r="T183" s="165">
        <v>25</v>
      </c>
      <c r="U183" s="166" t="s">
        <v>516</v>
      </c>
      <c r="V183" s="167"/>
    </row>
    <row r="184" spans="1:22">
      <c r="A184" s="180" t="s">
        <v>439</v>
      </c>
      <c r="B184" s="169" t="s">
        <v>511</v>
      </c>
      <c r="C184" s="169" t="s">
        <v>855</v>
      </c>
      <c r="D184" s="169" t="s">
        <v>850</v>
      </c>
      <c r="E184" s="169" t="s">
        <v>170</v>
      </c>
      <c r="F184" s="169">
        <v>532</v>
      </c>
      <c r="G184" s="169">
        <v>2</v>
      </c>
      <c r="H184" s="169">
        <v>5</v>
      </c>
      <c r="I184" s="165">
        <v>33.299999999999997</v>
      </c>
      <c r="J184" s="165">
        <v>66</v>
      </c>
      <c r="K184" s="166" t="s">
        <v>514</v>
      </c>
      <c r="L184" s="165">
        <v>2025</v>
      </c>
      <c r="M184" s="165" t="s">
        <v>851</v>
      </c>
      <c r="N184" s="165">
        <v>25</v>
      </c>
      <c r="O184" s="165">
        <v>115</v>
      </c>
      <c r="P184" s="165" t="s">
        <v>856</v>
      </c>
      <c r="Q184" s="165">
        <v>-70.881</v>
      </c>
      <c r="R184" s="165">
        <v>40.695999999999998</v>
      </c>
      <c r="S184" s="165" t="s">
        <v>172</v>
      </c>
      <c r="T184" s="165">
        <v>25</v>
      </c>
      <c r="U184" s="166" t="s">
        <v>516</v>
      </c>
      <c r="V184" s="167"/>
    </row>
    <row r="185" spans="1:22">
      <c r="A185" s="180" t="s">
        <v>440</v>
      </c>
      <c r="B185" s="169" t="s">
        <v>511</v>
      </c>
      <c r="C185" s="169" t="s">
        <v>857</v>
      </c>
      <c r="D185" s="169" t="s">
        <v>850</v>
      </c>
      <c r="E185" s="169" t="s">
        <v>170</v>
      </c>
      <c r="F185" s="169">
        <v>547</v>
      </c>
      <c r="G185" s="169">
        <v>2</v>
      </c>
      <c r="H185" s="169">
        <v>13</v>
      </c>
      <c r="I185" s="165">
        <v>10.4</v>
      </c>
      <c r="J185" s="165">
        <v>66</v>
      </c>
      <c r="K185" s="166" t="s">
        <v>514</v>
      </c>
      <c r="L185" s="165">
        <v>2025</v>
      </c>
      <c r="M185" s="165" t="s">
        <v>851</v>
      </c>
      <c r="N185" s="165">
        <v>25</v>
      </c>
      <c r="O185" s="165">
        <v>115</v>
      </c>
      <c r="P185" s="165" t="s">
        <v>858</v>
      </c>
      <c r="Q185" s="165">
        <v>-70.881</v>
      </c>
      <c r="R185" s="165">
        <v>40.695999999999998</v>
      </c>
      <c r="S185" s="165" t="s">
        <v>172</v>
      </c>
      <c r="T185" s="165">
        <v>25</v>
      </c>
      <c r="U185" s="166" t="s">
        <v>516</v>
      </c>
      <c r="V185" s="167"/>
    </row>
    <row r="186" spans="1:22">
      <c r="A186" s="180" t="s">
        <v>441</v>
      </c>
      <c r="B186" s="169" t="s">
        <v>511</v>
      </c>
      <c r="C186" s="169" t="s">
        <v>859</v>
      </c>
      <c r="D186" s="169" t="s">
        <v>850</v>
      </c>
      <c r="E186" s="169" t="s">
        <v>170</v>
      </c>
      <c r="F186" s="169">
        <v>548</v>
      </c>
      <c r="G186" s="169">
        <v>2</v>
      </c>
      <c r="H186" s="169">
        <v>16</v>
      </c>
      <c r="I186" s="165">
        <v>1.8</v>
      </c>
      <c r="J186" s="165">
        <v>66</v>
      </c>
      <c r="K186" s="166" t="s">
        <v>514</v>
      </c>
      <c r="L186" s="165">
        <v>2025</v>
      </c>
      <c r="M186" s="165" t="s">
        <v>851</v>
      </c>
      <c r="N186" s="165">
        <v>25</v>
      </c>
      <c r="O186" s="165">
        <v>115</v>
      </c>
      <c r="P186" s="165" t="s">
        <v>860</v>
      </c>
      <c r="Q186" s="165">
        <v>-70.881</v>
      </c>
      <c r="R186" s="165">
        <v>40.695999999999998</v>
      </c>
      <c r="S186" s="165" t="s">
        <v>172</v>
      </c>
      <c r="T186" s="165">
        <v>25</v>
      </c>
      <c r="U186" s="166" t="s">
        <v>516</v>
      </c>
      <c r="V186" s="167"/>
    </row>
    <row r="187" spans="1:22">
      <c r="A187" s="180" t="s">
        <v>442</v>
      </c>
      <c r="B187" s="169" t="s">
        <v>511</v>
      </c>
      <c r="C187" s="169" t="s">
        <v>861</v>
      </c>
      <c r="D187" s="169" t="s">
        <v>850</v>
      </c>
      <c r="E187" s="169" t="s">
        <v>170</v>
      </c>
      <c r="F187" s="169">
        <v>547</v>
      </c>
      <c r="G187" s="169">
        <v>5</v>
      </c>
      <c r="H187" s="169">
        <v>9</v>
      </c>
      <c r="I187" s="165">
        <v>27</v>
      </c>
      <c r="J187" s="165">
        <v>449</v>
      </c>
      <c r="K187" s="166" t="s">
        <v>514</v>
      </c>
      <c r="L187" s="165">
        <v>2025</v>
      </c>
      <c r="M187" s="165" t="s">
        <v>851</v>
      </c>
      <c r="N187" s="165">
        <v>25</v>
      </c>
      <c r="O187" s="165">
        <v>115</v>
      </c>
      <c r="P187" s="165" t="s">
        <v>639</v>
      </c>
      <c r="Q187" s="165">
        <v>-70.882999999999996</v>
      </c>
      <c r="R187" s="165">
        <v>40.512999999999998</v>
      </c>
      <c r="S187" s="165" t="s">
        <v>172</v>
      </c>
      <c r="T187" s="165">
        <v>25</v>
      </c>
      <c r="U187" s="166" t="s">
        <v>516</v>
      </c>
      <c r="V187" s="167"/>
    </row>
    <row r="188" spans="1:22">
      <c r="A188" s="180" t="s">
        <v>443</v>
      </c>
      <c r="B188" s="169" t="s">
        <v>511</v>
      </c>
      <c r="C188" s="169" t="s">
        <v>862</v>
      </c>
      <c r="D188" s="169" t="s">
        <v>850</v>
      </c>
      <c r="E188" s="169" t="s">
        <v>170</v>
      </c>
      <c r="F188" s="169">
        <v>548</v>
      </c>
      <c r="G188" s="169">
        <v>5</v>
      </c>
      <c r="H188" s="169">
        <v>20</v>
      </c>
      <c r="I188" s="165">
        <v>2.4</v>
      </c>
      <c r="J188" s="165">
        <v>449</v>
      </c>
      <c r="K188" s="166" t="s">
        <v>514</v>
      </c>
      <c r="L188" s="165">
        <v>2025</v>
      </c>
      <c r="M188" s="165" t="s">
        <v>851</v>
      </c>
      <c r="N188" s="165">
        <v>25</v>
      </c>
      <c r="O188" s="165">
        <v>115</v>
      </c>
      <c r="P188" s="165" t="s">
        <v>863</v>
      </c>
      <c r="Q188" s="165">
        <v>-70.882999999999996</v>
      </c>
      <c r="R188" s="165">
        <v>40.512999999999998</v>
      </c>
      <c r="S188" s="165" t="s">
        <v>172</v>
      </c>
      <c r="T188" s="165">
        <v>25</v>
      </c>
      <c r="U188" s="166" t="s">
        <v>516</v>
      </c>
      <c r="V188" s="167"/>
    </row>
    <row r="189" spans="1:22">
      <c r="A189" s="180" t="s">
        <v>444</v>
      </c>
      <c r="B189" s="169" t="s">
        <v>511</v>
      </c>
      <c r="C189" s="169" t="s">
        <v>864</v>
      </c>
      <c r="D189" s="169" t="s">
        <v>850</v>
      </c>
      <c r="E189" s="169" t="s">
        <v>170</v>
      </c>
      <c r="F189" s="169">
        <v>549</v>
      </c>
      <c r="G189" s="169">
        <v>6</v>
      </c>
      <c r="H189" s="169">
        <v>8</v>
      </c>
      <c r="I189" s="165">
        <v>35.299999999999997</v>
      </c>
      <c r="J189" s="165">
        <v>1581</v>
      </c>
      <c r="K189" s="166" t="s">
        <v>514</v>
      </c>
      <c r="L189" s="165">
        <v>2025</v>
      </c>
      <c r="M189" s="165" t="s">
        <v>851</v>
      </c>
      <c r="N189" s="165">
        <v>26</v>
      </c>
      <c r="O189" s="165">
        <v>116</v>
      </c>
      <c r="P189" s="165" t="s">
        <v>865</v>
      </c>
      <c r="Q189" s="165">
        <v>-70.882000000000005</v>
      </c>
      <c r="R189" s="165">
        <v>39.941000000000003</v>
      </c>
      <c r="S189" s="165" t="s">
        <v>172</v>
      </c>
      <c r="T189" s="165">
        <v>25</v>
      </c>
      <c r="U189" s="166" t="s">
        <v>516</v>
      </c>
      <c r="V189" s="167"/>
    </row>
    <row r="190" spans="1:22">
      <c r="A190" s="180" t="s">
        <v>445</v>
      </c>
      <c r="B190" s="169" t="s">
        <v>511</v>
      </c>
      <c r="C190" s="169" t="s">
        <v>866</v>
      </c>
      <c r="D190" s="169" t="s">
        <v>850</v>
      </c>
      <c r="E190" s="169" t="s">
        <v>170</v>
      </c>
      <c r="F190" s="169">
        <v>547</v>
      </c>
      <c r="G190" s="169">
        <v>6</v>
      </c>
      <c r="H190" s="169">
        <v>14</v>
      </c>
      <c r="I190" s="165">
        <v>21.5</v>
      </c>
      <c r="J190" s="165">
        <v>1581</v>
      </c>
      <c r="K190" s="166" t="s">
        <v>514</v>
      </c>
      <c r="L190" s="165">
        <v>2025</v>
      </c>
      <c r="M190" s="165" t="s">
        <v>851</v>
      </c>
      <c r="N190" s="165">
        <v>26</v>
      </c>
      <c r="O190" s="165">
        <v>116</v>
      </c>
      <c r="P190" s="165" t="s">
        <v>867</v>
      </c>
      <c r="Q190" s="165">
        <v>-70.882000000000005</v>
      </c>
      <c r="R190" s="165">
        <v>39.941000000000003</v>
      </c>
      <c r="S190" s="165" t="s">
        <v>172</v>
      </c>
      <c r="T190" s="165">
        <v>25</v>
      </c>
      <c r="U190" s="166" t="s">
        <v>516</v>
      </c>
      <c r="V190" s="167"/>
    </row>
    <row r="191" spans="1:22">
      <c r="A191" s="180" t="s">
        <v>446</v>
      </c>
      <c r="B191" s="169" t="s">
        <v>511</v>
      </c>
      <c r="C191" s="169" t="s">
        <v>868</v>
      </c>
      <c r="D191" s="169" t="s">
        <v>850</v>
      </c>
      <c r="E191" s="169" t="s">
        <v>170</v>
      </c>
      <c r="F191" s="169">
        <v>548</v>
      </c>
      <c r="G191" s="169">
        <v>6</v>
      </c>
      <c r="H191" s="169">
        <v>24</v>
      </c>
      <c r="I191" s="165">
        <v>1.3</v>
      </c>
      <c r="J191" s="165">
        <v>1581</v>
      </c>
      <c r="K191" s="166" t="s">
        <v>514</v>
      </c>
      <c r="L191" s="165">
        <v>2025</v>
      </c>
      <c r="M191" s="165" t="s">
        <v>851</v>
      </c>
      <c r="N191" s="165">
        <v>26</v>
      </c>
      <c r="O191" s="165">
        <v>116</v>
      </c>
      <c r="P191" s="165" t="s">
        <v>869</v>
      </c>
      <c r="Q191" s="165">
        <v>-70.882000000000005</v>
      </c>
      <c r="R191" s="165">
        <v>39.941000000000003</v>
      </c>
      <c r="S191" s="165" t="s">
        <v>172</v>
      </c>
      <c r="T191" s="165">
        <v>25</v>
      </c>
      <c r="U191" s="166" t="s">
        <v>516</v>
      </c>
      <c r="V191" s="167"/>
    </row>
    <row r="192" spans="1:22">
      <c r="A192" s="180" t="s">
        <v>447</v>
      </c>
      <c r="B192" s="169" t="s">
        <v>511</v>
      </c>
      <c r="C192" s="169" t="s">
        <v>870</v>
      </c>
      <c r="D192" s="169" t="s">
        <v>850</v>
      </c>
      <c r="E192" s="169" t="s">
        <v>170</v>
      </c>
      <c r="F192" s="169">
        <v>547</v>
      </c>
      <c r="G192" s="169">
        <v>9</v>
      </c>
      <c r="H192" s="169">
        <v>9</v>
      </c>
      <c r="I192" s="165">
        <v>31.7</v>
      </c>
      <c r="J192" s="165">
        <v>1581</v>
      </c>
      <c r="K192" s="166" t="s">
        <v>514</v>
      </c>
      <c r="L192" s="165">
        <v>2025</v>
      </c>
      <c r="M192" s="165" t="s">
        <v>851</v>
      </c>
      <c r="N192" s="165">
        <v>26</v>
      </c>
      <c r="O192" s="165">
        <v>116</v>
      </c>
      <c r="P192" s="165" t="s">
        <v>871</v>
      </c>
      <c r="Q192" s="165">
        <v>-70.884</v>
      </c>
      <c r="R192" s="165">
        <v>39.771999999999998</v>
      </c>
      <c r="S192" s="165" t="s">
        <v>172</v>
      </c>
      <c r="T192" s="165">
        <v>25</v>
      </c>
      <c r="U192" s="166" t="s">
        <v>516</v>
      </c>
      <c r="V192" s="167"/>
    </row>
    <row r="193" spans="1:22">
      <c r="A193" s="180" t="s">
        <v>449</v>
      </c>
      <c r="B193" s="169" t="s">
        <v>511</v>
      </c>
      <c r="C193" s="169" t="s">
        <v>872</v>
      </c>
      <c r="D193" s="169" t="s">
        <v>850</v>
      </c>
      <c r="E193" s="169" t="s">
        <v>170</v>
      </c>
      <c r="F193" s="169">
        <v>549</v>
      </c>
      <c r="G193" s="169">
        <v>9</v>
      </c>
      <c r="H193" s="169">
        <v>14</v>
      </c>
      <c r="I193" s="165">
        <v>20.100000000000001</v>
      </c>
      <c r="J193" s="165">
        <v>1581</v>
      </c>
      <c r="K193" s="166" t="s">
        <v>514</v>
      </c>
      <c r="L193" s="165">
        <v>2025</v>
      </c>
      <c r="M193" s="165" t="s">
        <v>851</v>
      </c>
      <c r="N193" s="165">
        <v>26</v>
      </c>
      <c r="O193" s="165">
        <v>116</v>
      </c>
      <c r="P193" s="165" t="s">
        <v>873</v>
      </c>
      <c r="Q193" s="165">
        <v>-70.884</v>
      </c>
      <c r="R193" s="165">
        <v>39.771999999999998</v>
      </c>
      <c r="S193" s="165" t="s">
        <v>172</v>
      </c>
      <c r="T193" s="165">
        <v>25</v>
      </c>
      <c r="U193" s="166" t="s">
        <v>516</v>
      </c>
      <c r="V193" s="167"/>
    </row>
    <row r="194" spans="1:22">
      <c r="A194" s="180" t="s">
        <v>450</v>
      </c>
      <c r="B194" s="169" t="s">
        <v>511</v>
      </c>
      <c r="C194" s="169" t="s">
        <v>874</v>
      </c>
      <c r="D194" s="169" t="s">
        <v>850</v>
      </c>
      <c r="E194" s="169" t="s">
        <v>173</v>
      </c>
      <c r="F194" s="169">
        <v>548</v>
      </c>
      <c r="G194" s="169">
        <v>9</v>
      </c>
      <c r="H194" s="169">
        <v>20</v>
      </c>
      <c r="I194" s="165">
        <v>2.2999999999999998</v>
      </c>
      <c r="J194" s="165">
        <v>1581</v>
      </c>
      <c r="K194" s="166" t="s">
        <v>514</v>
      </c>
      <c r="L194" s="165">
        <v>2025</v>
      </c>
      <c r="M194" s="165" t="s">
        <v>851</v>
      </c>
      <c r="N194" s="165">
        <v>26</v>
      </c>
      <c r="O194" s="165">
        <v>116</v>
      </c>
      <c r="P194" s="165" t="s">
        <v>771</v>
      </c>
      <c r="Q194" s="165">
        <v>-70.884</v>
      </c>
      <c r="R194" s="165">
        <v>39.771999999999998</v>
      </c>
      <c r="S194" s="165" t="s">
        <v>172</v>
      </c>
      <c r="T194" s="165">
        <v>25</v>
      </c>
      <c r="U194" s="166" t="s">
        <v>516</v>
      </c>
      <c r="V194" s="167"/>
    </row>
    <row r="195" spans="1:22">
      <c r="A195" s="180" t="s">
        <v>451</v>
      </c>
      <c r="B195" s="169" t="s">
        <v>511</v>
      </c>
      <c r="C195" s="169" t="s">
        <v>875</v>
      </c>
      <c r="D195" s="169" t="s">
        <v>850</v>
      </c>
      <c r="E195" s="169" t="s">
        <v>173</v>
      </c>
      <c r="F195" s="169">
        <v>548</v>
      </c>
      <c r="G195" s="169">
        <v>9</v>
      </c>
      <c r="H195" s="169">
        <v>20</v>
      </c>
      <c r="I195" s="165">
        <v>2.2999999999999998</v>
      </c>
      <c r="J195" s="165">
        <v>1581</v>
      </c>
      <c r="K195" s="166" t="s">
        <v>514</v>
      </c>
      <c r="L195" s="165">
        <v>2025</v>
      </c>
      <c r="M195" s="165" t="s">
        <v>851</v>
      </c>
      <c r="N195" s="165">
        <v>26</v>
      </c>
      <c r="O195" s="165">
        <v>116</v>
      </c>
      <c r="P195" s="165" t="s">
        <v>771</v>
      </c>
      <c r="Q195" s="165">
        <v>-70.884</v>
      </c>
      <c r="R195" s="165">
        <v>39.771999999999998</v>
      </c>
      <c r="S195" s="165" t="s">
        <v>172</v>
      </c>
      <c r="T195" s="165">
        <v>25</v>
      </c>
      <c r="U195" s="166" t="s">
        <v>516</v>
      </c>
      <c r="V195" s="167"/>
    </row>
    <row r="196" spans="1:22">
      <c r="A196" s="180" t="s">
        <v>452</v>
      </c>
      <c r="B196" s="169" t="s">
        <v>511</v>
      </c>
      <c r="C196" s="169" t="s">
        <v>876</v>
      </c>
      <c r="D196" s="169" t="s">
        <v>850</v>
      </c>
      <c r="E196" s="169" t="s">
        <v>173</v>
      </c>
      <c r="F196" s="169">
        <v>549</v>
      </c>
      <c r="G196" s="169">
        <v>10</v>
      </c>
      <c r="H196" s="169">
        <v>4</v>
      </c>
      <c r="I196" s="165">
        <v>60.4</v>
      </c>
      <c r="J196" s="165">
        <v>85</v>
      </c>
      <c r="K196" s="166" t="s">
        <v>514</v>
      </c>
      <c r="L196" s="165">
        <v>2025</v>
      </c>
      <c r="M196" s="165" t="s">
        <v>851</v>
      </c>
      <c r="N196" s="165">
        <v>26</v>
      </c>
      <c r="O196" s="165">
        <v>116</v>
      </c>
      <c r="P196" s="165" t="s">
        <v>877</v>
      </c>
      <c r="Q196" s="165">
        <v>-70.881</v>
      </c>
      <c r="R196" s="165">
        <v>40.363</v>
      </c>
      <c r="S196" s="165" t="s">
        <v>172</v>
      </c>
      <c r="T196" s="165">
        <v>25</v>
      </c>
      <c r="U196" s="166" t="s">
        <v>516</v>
      </c>
      <c r="V196" s="167"/>
    </row>
    <row r="197" spans="1:22">
      <c r="A197" s="180" t="s">
        <v>453</v>
      </c>
      <c r="B197" s="169" t="s">
        <v>511</v>
      </c>
      <c r="C197" s="169" t="s">
        <v>878</v>
      </c>
      <c r="D197" s="169" t="s">
        <v>850</v>
      </c>
      <c r="E197" s="169" t="s">
        <v>173</v>
      </c>
      <c r="F197" s="169">
        <v>549</v>
      </c>
      <c r="G197" s="169">
        <v>10</v>
      </c>
      <c r="H197" s="169">
        <v>4</v>
      </c>
      <c r="I197" s="165">
        <v>60.4</v>
      </c>
      <c r="J197" s="165">
        <v>85</v>
      </c>
      <c r="K197" s="166" t="s">
        <v>514</v>
      </c>
      <c r="L197" s="165">
        <v>2025</v>
      </c>
      <c r="M197" s="165" t="s">
        <v>851</v>
      </c>
      <c r="N197" s="165">
        <v>26</v>
      </c>
      <c r="O197" s="165">
        <v>116</v>
      </c>
      <c r="P197" s="165" t="s">
        <v>877</v>
      </c>
      <c r="Q197" s="165">
        <v>-70.881</v>
      </c>
      <c r="R197" s="165">
        <v>40.363</v>
      </c>
      <c r="S197" s="165" t="s">
        <v>172</v>
      </c>
      <c r="T197" s="165">
        <v>25</v>
      </c>
      <c r="U197" s="166" t="s">
        <v>516</v>
      </c>
      <c r="V197" s="167"/>
    </row>
    <row r="198" spans="1:22">
      <c r="A198" s="180" t="s">
        <v>454</v>
      </c>
      <c r="B198" s="169" t="s">
        <v>511</v>
      </c>
      <c r="C198" s="169" t="s">
        <v>879</v>
      </c>
      <c r="D198" s="169" t="s">
        <v>850</v>
      </c>
      <c r="E198" s="169" t="s">
        <v>170</v>
      </c>
      <c r="F198" s="169">
        <v>547</v>
      </c>
      <c r="G198" s="169">
        <v>10</v>
      </c>
      <c r="H198" s="169">
        <v>13</v>
      </c>
      <c r="I198" s="165">
        <v>23.2</v>
      </c>
      <c r="J198" s="165">
        <v>85</v>
      </c>
      <c r="K198" s="166" t="s">
        <v>514</v>
      </c>
      <c r="L198" s="165">
        <v>2025</v>
      </c>
      <c r="M198" s="165" t="s">
        <v>851</v>
      </c>
      <c r="N198" s="165">
        <v>26</v>
      </c>
      <c r="O198" s="165">
        <v>116</v>
      </c>
      <c r="P198" s="165" t="s">
        <v>880</v>
      </c>
      <c r="Q198" s="165">
        <v>-70.881</v>
      </c>
      <c r="R198" s="165">
        <v>40.363</v>
      </c>
      <c r="S198" s="165" t="s">
        <v>172</v>
      </c>
      <c r="T198" s="165">
        <v>25</v>
      </c>
      <c r="U198" s="166" t="s">
        <v>516</v>
      </c>
      <c r="V198" s="167"/>
    </row>
    <row r="199" spans="1:22">
      <c r="A199" s="180" t="s">
        <v>455</v>
      </c>
      <c r="B199" s="169" t="s">
        <v>511</v>
      </c>
      <c r="C199" s="169" t="s">
        <v>881</v>
      </c>
      <c r="D199" s="169" t="s">
        <v>850</v>
      </c>
      <c r="E199" s="169" t="s">
        <v>170</v>
      </c>
      <c r="F199" s="169">
        <v>548</v>
      </c>
      <c r="G199" s="169">
        <v>10</v>
      </c>
      <c r="H199" s="169">
        <v>20</v>
      </c>
      <c r="I199" s="165">
        <v>2.7</v>
      </c>
      <c r="J199" s="165">
        <v>85</v>
      </c>
      <c r="K199" s="166" t="s">
        <v>514</v>
      </c>
      <c r="L199" s="165">
        <v>2025</v>
      </c>
      <c r="M199" s="165" t="s">
        <v>851</v>
      </c>
      <c r="N199" s="165">
        <v>26</v>
      </c>
      <c r="O199" s="165">
        <v>116</v>
      </c>
      <c r="P199" s="165" t="s">
        <v>882</v>
      </c>
      <c r="Q199" s="165">
        <v>-70.881</v>
      </c>
      <c r="R199" s="165">
        <v>40.363</v>
      </c>
      <c r="S199" s="165" t="s">
        <v>172</v>
      </c>
      <c r="T199" s="165">
        <v>25</v>
      </c>
      <c r="U199" s="166" t="s">
        <v>516</v>
      </c>
      <c r="V199" s="167"/>
    </row>
    <row r="200" spans="1:22">
      <c r="A200" s="180" t="s">
        <v>456</v>
      </c>
      <c r="B200" s="169" t="s">
        <v>511</v>
      </c>
      <c r="C200" s="169" t="s">
        <v>883</v>
      </c>
      <c r="D200" s="169" t="s">
        <v>850</v>
      </c>
      <c r="E200" s="169" t="s">
        <v>170</v>
      </c>
      <c r="F200" s="169">
        <v>547</v>
      </c>
      <c r="G200" s="169">
        <v>15</v>
      </c>
      <c r="H200" s="169">
        <v>14</v>
      </c>
      <c r="I200" s="165">
        <v>20.5</v>
      </c>
      <c r="J200" s="165">
        <v>211</v>
      </c>
      <c r="K200" s="166" t="s">
        <v>514</v>
      </c>
      <c r="L200" s="165">
        <v>2025</v>
      </c>
      <c r="M200" s="165" t="s">
        <v>851</v>
      </c>
      <c r="N200" s="165">
        <v>27</v>
      </c>
      <c r="O200" s="165">
        <v>117</v>
      </c>
      <c r="P200" s="165" t="s">
        <v>884</v>
      </c>
      <c r="Q200" s="165">
        <v>-70.884</v>
      </c>
      <c r="R200" s="165">
        <v>40.045999999999999</v>
      </c>
      <c r="S200" s="165" t="s">
        <v>172</v>
      </c>
      <c r="T200" s="165">
        <v>25</v>
      </c>
      <c r="U200" s="166" t="s">
        <v>516</v>
      </c>
      <c r="V200" s="167"/>
    </row>
    <row r="201" spans="1:22">
      <c r="A201" s="180" t="s">
        <v>457</v>
      </c>
      <c r="B201" s="169" t="s">
        <v>511</v>
      </c>
      <c r="C201" s="169" t="s">
        <v>885</v>
      </c>
      <c r="D201" s="169" t="s">
        <v>850</v>
      </c>
      <c r="E201" s="169" t="s">
        <v>170</v>
      </c>
      <c r="F201" s="169">
        <v>548</v>
      </c>
      <c r="G201" s="169">
        <v>15</v>
      </c>
      <c r="H201" s="169">
        <v>21</v>
      </c>
      <c r="I201" s="165">
        <v>2.6</v>
      </c>
      <c r="J201" s="165">
        <v>211</v>
      </c>
      <c r="K201" s="166" t="s">
        <v>514</v>
      </c>
      <c r="L201" s="165">
        <v>2025</v>
      </c>
      <c r="M201" s="165" t="s">
        <v>851</v>
      </c>
      <c r="N201" s="165">
        <v>27</v>
      </c>
      <c r="O201" s="165">
        <v>117</v>
      </c>
      <c r="P201" s="165" t="s">
        <v>886</v>
      </c>
      <c r="Q201" s="165">
        <v>-70.884</v>
      </c>
      <c r="R201" s="165">
        <v>40.045999999999999</v>
      </c>
      <c r="S201" s="165" t="s">
        <v>172</v>
      </c>
      <c r="T201" s="165">
        <v>25</v>
      </c>
      <c r="U201" s="166" t="s">
        <v>516</v>
      </c>
      <c r="V201" s="167"/>
    </row>
    <row r="202" spans="1:22">
      <c r="A202" s="180" t="s">
        <v>458</v>
      </c>
      <c r="B202" s="169" t="s">
        <v>511</v>
      </c>
      <c r="C202" s="169" t="s">
        <v>887</v>
      </c>
      <c r="D202" s="169" t="s">
        <v>850</v>
      </c>
      <c r="E202" s="169" t="s">
        <v>170</v>
      </c>
      <c r="F202" s="169">
        <v>547</v>
      </c>
      <c r="G202" s="169">
        <v>16</v>
      </c>
      <c r="H202" s="169">
        <v>12</v>
      </c>
      <c r="I202" s="165">
        <v>16.100000000000001</v>
      </c>
      <c r="J202" s="165">
        <v>129</v>
      </c>
      <c r="K202" s="166" t="s">
        <v>514</v>
      </c>
      <c r="L202" s="165">
        <v>2025</v>
      </c>
      <c r="M202" s="165" t="s">
        <v>851</v>
      </c>
      <c r="N202" s="165">
        <v>28</v>
      </c>
      <c r="O202" s="165">
        <v>118</v>
      </c>
      <c r="P202" s="165" t="s">
        <v>888</v>
      </c>
      <c r="Q202" s="165">
        <v>-70.882999999999996</v>
      </c>
      <c r="R202" s="165">
        <v>40.256</v>
      </c>
      <c r="S202" s="165" t="s">
        <v>172</v>
      </c>
      <c r="T202" s="165">
        <v>25</v>
      </c>
      <c r="U202" s="166" t="s">
        <v>516</v>
      </c>
      <c r="V202" s="167"/>
    </row>
    <row r="203" spans="1:22">
      <c r="A203" s="180" t="s">
        <v>459</v>
      </c>
      <c r="B203" s="169" t="s">
        <v>511</v>
      </c>
      <c r="C203" s="169" t="s">
        <v>889</v>
      </c>
      <c r="D203" s="169" t="s">
        <v>850</v>
      </c>
      <c r="E203" s="169" t="s">
        <v>170</v>
      </c>
      <c r="F203" s="169">
        <v>548</v>
      </c>
      <c r="G203" s="169">
        <v>16</v>
      </c>
      <c r="H203" s="169">
        <v>20</v>
      </c>
      <c r="I203" s="165">
        <v>2.4</v>
      </c>
      <c r="J203" s="165">
        <v>129</v>
      </c>
      <c r="K203" s="166" t="s">
        <v>514</v>
      </c>
      <c r="L203" s="165">
        <v>2025</v>
      </c>
      <c r="M203" s="165" t="s">
        <v>851</v>
      </c>
      <c r="N203" s="165">
        <v>28</v>
      </c>
      <c r="O203" s="165">
        <v>118</v>
      </c>
      <c r="P203" s="165" t="s">
        <v>890</v>
      </c>
      <c r="Q203" s="165">
        <v>-70.882999999999996</v>
      </c>
      <c r="R203" s="165">
        <v>40.256</v>
      </c>
      <c r="S203" s="165" t="s">
        <v>172</v>
      </c>
      <c r="T203" s="165">
        <v>25</v>
      </c>
      <c r="U203" s="166" t="s">
        <v>516</v>
      </c>
      <c r="V203" s="167"/>
    </row>
    <row r="204" spans="1:22">
      <c r="A204" s="180" t="s">
        <v>460</v>
      </c>
      <c r="B204" s="169" t="s">
        <v>511</v>
      </c>
      <c r="C204" s="169" t="s">
        <v>891</v>
      </c>
      <c r="D204" s="169" t="s">
        <v>850</v>
      </c>
      <c r="E204" s="169" t="s">
        <v>170</v>
      </c>
      <c r="F204" s="169">
        <v>549</v>
      </c>
      <c r="G204" s="169">
        <v>17</v>
      </c>
      <c r="H204" s="169">
        <v>8</v>
      </c>
      <c r="I204" s="165">
        <v>50.4</v>
      </c>
      <c r="J204" s="165">
        <v>140</v>
      </c>
      <c r="K204" s="166" t="s">
        <v>514</v>
      </c>
      <c r="L204" s="165">
        <v>2025</v>
      </c>
      <c r="M204" s="165" t="s">
        <v>851</v>
      </c>
      <c r="N204" s="165">
        <v>28</v>
      </c>
      <c r="O204" s="165">
        <v>118</v>
      </c>
      <c r="P204" s="165" t="s">
        <v>764</v>
      </c>
      <c r="Q204" s="165">
        <v>-70.882999999999996</v>
      </c>
      <c r="R204" s="165">
        <v>40.151000000000003</v>
      </c>
      <c r="S204" s="165" t="s">
        <v>172</v>
      </c>
      <c r="T204" s="165">
        <v>25</v>
      </c>
      <c r="U204" s="166" t="s">
        <v>516</v>
      </c>
      <c r="V204" s="167"/>
    </row>
    <row r="205" spans="1:22">
      <c r="A205" s="180" t="s">
        <v>461</v>
      </c>
      <c r="B205" s="169" t="s">
        <v>511</v>
      </c>
      <c r="C205" s="169" t="s">
        <v>892</v>
      </c>
      <c r="D205" s="169" t="s">
        <v>850</v>
      </c>
      <c r="E205" s="169" t="s">
        <v>170</v>
      </c>
      <c r="F205" s="169">
        <v>547</v>
      </c>
      <c r="G205" s="169">
        <v>17</v>
      </c>
      <c r="H205" s="169">
        <v>13</v>
      </c>
      <c r="I205" s="165">
        <v>27.6</v>
      </c>
      <c r="J205" s="165">
        <v>140</v>
      </c>
      <c r="K205" s="166" t="s">
        <v>514</v>
      </c>
      <c r="L205" s="165">
        <v>2025</v>
      </c>
      <c r="M205" s="165" t="s">
        <v>851</v>
      </c>
      <c r="N205" s="165">
        <v>28</v>
      </c>
      <c r="O205" s="165">
        <v>118</v>
      </c>
      <c r="P205" s="165" t="s">
        <v>893</v>
      </c>
      <c r="Q205" s="165">
        <v>-70.882999999999996</v>
      </c>
      <c r="R205" s="165">
        <v>40.151000000000003</v>
      </c>
      <c r="S205" s="165" t="s">
        <v>172</v>
      </c>
      <c r="T205" s="165">
        <v>25</v>
      </c>
      <c r="U205" s="166" t="s">
        <v>516</v>
      </c>
      <c r="V205" s="167"/>
    </row>
    <row r="206" spans="1:22">
      <c r="A206" s="180" t="s">
        <v>462</v>
      </c>
      <c r="B206" s="169" t="s">
        <v>511</v>
      </c>
      <c r="C206" s="169" t="s">
        <v>894</v>
      </c>
      <c r="D206" s="169" t="s">
        <v>850</v>
      </c>
      <c r="E206" s="169" t="s">
        <v>170</v>
      </c>
      <c r="F206" s="169">
        <v>548</v>
      </c>
      <c r="G206" s="169">
        <v>17</v>
      </c>
      <c r="H206" s="169">
        <v>21</v>
      </c>
      <c r="I206" s="165">
        <v>2.2999999999999998</v>
      </c>
      <c r="J206" s="165">
        <v>140</v>
      </c>
      <c r="K206" s="166" t="s">
        <v>514</v>
      </c>
      <c r="L206" s="165">
        <v>2025</v>
      </c>
      <c r="M206" s="165" t="s">
        <v>851</v>
      </c>
      <c r="N206" s="165">
        <v>28</v>
      </c>
      <c r="O206" s="165">
        <v>118</v>
      </c>
      <c r="P206" s="165" t="s">
        <v>895</v>
      </c>
      <c r="Q206" s="165">
        <v>-70.882999999999996</v>
      </c>
      <c r="R206" s="165">
        <v>40.151000000000003</v>
      </c>
      <c r="S206" s="165" t="s">
        <v>172</v>
      </c>
      <c r="T206" s="165">
        <v>25</v>
      </c>
      <c r="U206" s="166" t="s">
        <v>516</v>
      </c>
      <c r="V206" s="167"/>
    </row>
    <row r="207" spans="1:22">
      <c r="A207" s="180" t="s">
        <v>463</v>
      </c>
      <c r="B207" s="169" t="s">
        <v>511</v>
      </c>
      <c r="C207" s="169" t="s">
        <v>896</v>
      </c>
      <c r="D207" s="169" t="s">
        <v>850</v>
      </c>
      <c r="E207" s="169" t="s">
        <v>170</v>
      </c>
      <c r="F207" s="169">
        <v>547</v>
      </c>
      <c r="G207" s="169">
        <v>18</v>
      </c>
      <c r="H207" s="169">
        <v>7</v>
      </c>
      <c r="I207" s="165">
        <v>20</v>
      </c>
      <c r="J207" s="165">
        <v>57</v>
      </c>
      <c r="K207" s="166" t="s">
        <v>514</v>
      </c>
      <c r="L207" s="165">
        <v>2025</v>
      </c>
      <c r="M207" s="165" t="s">
        <v>851</v>
      </c>
      <c r="N207" s="165">
        <v>28</v>
      </c>
      <c r="O207" s="165">
        <v>118</v>
      </c>
      <c r="P207" s="165" t="s">
        <v>897</v>
      </c>
      <c r="Q207" s="165">
        <v>-70.885000000000005</v>
      </c>
      <c r="R207" s="165">
        <v>40.863</v>
      </c>
      <c r="S207" s="165" t="s">
        <v>172</v>
      </c>
      <c r="T207" s="165">
        <v>25</v>
      </c>
      <c r="U207" s="166" t="s">
        <v>516</v>
      </c>
      <c r="V207" s="167"/>
    </row>
    <row r="208" spans="1:22">
      <c r="A208" s="180" t="s">
        <v>464</v>
      </c>
      <c r="B208" s="169" t="s">
        <v>511</v>
      </c>
      <c r="C208" s="169" t="s">
        <v>898</v>
      </c>
      <c r="D208" s="169" t="s">
        <v>850</v>
      </c>
      <c r="E208" s="169" t="s">
        <v>173</v>
      </c>
      <c r="F208" s="169">
        <v>548</v>
      </c>
      <c r="G208" s="169">
        <v>18</v>
      </c>
      <c r="H208" s="169">
        <v>15</v>
      </c>
      <c r="I208" s="165">
        <v>2</v>
      </c>
      <c r="J208" s="165">
        <v>57</v>
      </c>
      <c r="K208" s="166" t="s">
        <v>514</v>
      </c>
      <c r="L208" s="165">
        <v>2025</v>
      </c>
      <c r="M208" s="165" t="s">
        <v>851</v>
      </c>
      <c r="N208" s="165">
        <v>28</v>
      </c>
      <c r="O208" s="165">
        <v>118</v>
      </c>
      <c r="P208" s="165" t="s">
        <v>899</v>
      </c>
      <c r="Q208" s="165">
        <v>-70.885000000000005</v>
      </c>
      <c r="R208" s="165">
        <v>40.863</v>
      </c>
      <c r="S208" s="165" t="s">
        <v>172</v>
      </c>
      <c r="T208" s="165">
        <v>25</v>
      </c>
      <c r="U208" s="166" t="s">
        <v>516</v>
      </c>
      <c r="V208" s="167"/>
    </row>
    <row r="209" spans="1:22">
      <c r="A209" s="180" t="s">
        <v>465</v>
      </c>
      <c r="B209" s="169" t="s">
        <v>511</v>
      </c>
      <c r="C209" s="169" t="s">
        <v>900</v>
      </c>
      <c r="D209" s="169" t="s">
        <v>850</v>
      </c>
      <c r="E209" s="169" t="s">
        <v>173</v>
      </c>
      <c r="F209" s="169">
        <v>548</v>
      </c>
      <c r="G209" s="169">
        <v>18</v>
      </c>
      <c r="H209" s="169">
        <v>15</v>
      </c>
      <c r="I209" s="165">
        <v>2</v>
      </c>
      <c r="J209" s="165">
        <v>57</v>
      </c>
      <c r="K209" s="166" t="s">
        <v>514</v>
      </c>
      <c r="L209" s="165">
        <v>2025</v>
      </c>
      <c r="M209" s="165" t="s">
        <v>851</v>
      </c>
      <c r="N209" s="165">
        <v>28</v>
      </c>
      <c r="O209" s="165">
        <v>118</v>
      </c>
      <c r="P209" s="165" t="s">
        <v>899</v>
      </c>
      <c r="Q209" s="165">
        <v>-70.885000000000005</v>
      </c>
      <c r="R209" s="165">
        <v>40.863</v>
      </c>
      <c r="S209" s="165" t="s">
        <v>172</v>
      </c>
      <c r="T209" s="165">
        <v>25</v>
      </c>
      <c r="U209" s="166" t="s">
        <v>516</v>
      </c>
      <c r="V209" s="167"/>
    </row>
    <row r="210" spans="1:22">
      <c r="A210" s="180" t="s">
        <v>466</v>
      </c>
      <c r="B210" s="169" t="s">
        <v>511</v>
      </c>
      <c r="C210" s="169" t="s">
        <v>901</v>
      </c>
      <c r="D210" s="169" t="s">
        <v>850</v>
      </c>
      <c r="E210" s="169" t="s">
        <v>170</v>
      </c>
      <c r="F210" s="169">
        <v>547</v>
      </c>
      <c r="G210" s="169">
        <v>19</v>
      </c>
      <c r="H210" s="169">
        <v>1</v>
      </c>
      <c r="I210" s="165">
        <v>38.9</v>
      </c>
      <c r="J210" s="165">
        <v>47</v>
      </c>
      <c r="K210" s="166" t="s">
        <v>514</v>
      </c>
      <c r="L210" s="165">
        <v>2025</v>
      </c>
      <c r="M210" s="165" t="s">
        <v>851</v>
      </c>
      <c r="N210" s="165">
        <v>29</v>
      </c>
      <c r="O210" s="165">
        <v>119</v>
      </c>
      <c r="P210" s="165" t="s">
        <v>902</v>
      </c>
      <c r="Q210" s="165">
        <v>-70.882999999999996</v>
      </c>
      <c r="R210" s="165">
        <v>41.03</v>
      </c>
      <c r="S210" s="165" t="s">
        <v>172</v>
      </c>
      <c r="T210" s="165">
        <v>25</v>
      </c>
      <c r="U210" s="166" t="s">
        <v>516</v>
      </c>
      <c r="V210" s="167"/>
    </row>
    <row r="211" spans="1:22">
      <c r="A211" s="180" t="s">
        <v>467</v>
      </c>
      <c r="B211" s="169" t="s">
        <v>511</v>
      </c>
      <c r="C211" s="169" t="s">
        <v>903</v>
      </c>
      <c r="D211" s="169" t="s">
        <v>850</v>
      </c>
      <c r="E211" s="169" t="s">
        <v>170</v>
      </c>
      <c r="F211" s="169">
        <v>548</v>
      </c>
      <c r="G211" s="169">
        <v>19</v>
      </c>
      <c r="H211" s="169">
        <v>19</v>
      </c>
      <c r="I211" s="165">
        <v>1.9</v>
      </c>
      <c r="J211" s="165">
        <v>47</v>
      </c>
      <c r="K211" s="166" t="s">
        <v>514</v>
      </c>
      <c r="L211" s="165">
        <v>2025</v>
      </c>
      <c r="M211" s="165" t="s">
        <v>851</v>
      </c>
      <c r="N211" s="165">
        <v>29</v>
      </c>
      <c r="O211" s="165">
        <v>119</v>
      </c>
      <c r="P211" s="165" t="s">
        <v>904</v>
      </c>
      <c r="Q211" s="165">
        <v>-70.882999999999996</v>
      </c>
      <c r="R211" s="165">
        <v>41.03</v>
      </c>
      <c r="S211" s="165" t="s">
        <v>172</v>
      </c>
      <c r="T211" s="165">
        <v>25</v>
      </c>
      <c r="U211" s="166" t="s">
        <v>516</v>
      </c>
      <c r="V211" s="167"/>
    </row>
    <row r="212" spans="1:22">
      <c r="A212" s="180" t="s">
        <v>468</v>
      </c>
      <c r="B212" s="169" t="s">
        <v>511</v>
      </c>
      <c r="C212" s="169" t="s">
        <v>905</v>
      </c>
      <c r="D212" s="169" t="s">
        <v>850</v>
      </c>
      <c r="E212" s="169" t="s">
        <v>170</v>
      </c>
      <c r="F212" s="169">
        <v>547</v>
      </c>
      <c r="G212" s="169">
        <v>22</v>
      </c>
      <c r="H212" s="169">
        <v>2</v>
      </c>
      <c r="I212" s="165">
        <v>11.4</v>
      </c>
      <c r="J212" s="165">
        <v>16</v>
      </c>
      <c r="K212" s="166" t="s">
        <v>514</v>
      </c>
      <c r="L212" s="165">
        <v>2025</v>
      </c>
      <c r="M212" s="165" t="s">
        <v>851</v>
      </c>
      <c r="N212" s="165">
        <v>29</v>
      </c>
      <c r="O212" s="165">
        <v>119</v>
      </c>
      <c r="P212" s="165" t="s">
        <v>906</v>
      </c>
      <c r="Q212" s="165">
        <v>-70.566000000000003</v>
      </c>
      <c r="R212" s="165">
        <v>41.322000000000003</v>
      </c>
      <c r="S212" s="165" t="s">
        <v>172</v>
      </c>
      <c r="T212" s="165">
        <v>25</v>
      </c>
      <c r="U212" s="166" t="s">
        <v>516</v>
      </c>
      <c r="V212" s="167"/>
    </row>
    <row r="213" spans="1:22">
      <c r="A213" s="180" t="s">
        <v>469</v>
      </c>
      <c r="B213" s="169" t="s">
        <v>511</v>
      </c>
      <c r="C213" s="169" t="s">
        <v>907</v>
      </c>
      <c r="D213" s="169" t="s">
        <v>850</v>
      </c>
      <c r="E213" s="169" t="s">
        <v>170</v>
      </c>
      <c r="F213" s="169">
        <v>548</v>
      </c>
      <c r="G213" s="169">
        <v>22</v>
      </c>
      <c r="H213" s="169">
        <v>5</v>
      </c>
      <c r="I213" s="165">
        <v>2.4</v>
      </c>
      <c r="J213" s="165">
        <v>16</v>
      </c>
      <c r="K213" s="166" t="s">
        <v>514</v>
      </c>
      <c r="L213" s="165">
        <v>2025</v>
      </c>
      <c r="M213" s="165" t="s">
        <v>851</v>
      </c>
      <c r="N213" s="165">
        <v>29</v>
      </c>
      <c r="O213" s="165">
        <v>119</v>
      </c>
      <c r="P213" s="165" t="s">
        <v>908</v>
      </c>
      <c r="Q213" s="165">
        <v>-70.566000000000003</v>
      </c>
      <c r="R213" s="165">
        <v>41.322000000000003</v>
      </c>
      <c r="S213" s="165" t="s">
        <v>172</v>
      </c>
      <c r="T213" s="165">
        <v>25</v>
      </c>
      <c r="U213" s="166" t="s">
        <v>516</v>
      </c>
      <c r="V213" s="167"/>
    </row>
    <row r="214" spans="1:22" ht="15">
      <c r="A214" s="180" t="s">
        <v>470</v>
      </c>
      <c r="B214" s="173" t="s">
        <v>511</v>
      </c>
      <c r="C214" s="165" t="s">
        <v>909</v>
      </c>
      <c r="D214" s="174" t="s">
        <v>910</v>
      </c>
      <c r="E214" s="165" t="s">
        <v>170</v>
      </c>
      <c r="F214" s="165">
        <v>535</v>
      </c>
      <c r="G214" s="165" t="s">
        <v>911</v>
      </c>
      <c r="H214" s="165" t="s">
        <v>912</v>
      </c>
      <c r="I214" s="165">
        <v>0</v>
      </c>
      <c r="J214" s="173">
        <v>15</v>
      </c>
      <c r="K214" s="175" t="s">
        <v>913</v>
      </c>
      <c r="L214" s="165">
        <v>2024</v>
      </c>
      <c r="M214" s="165" t="s">
        <v>792</v>
      </c>
      <c r="N214" s="165">
        <v>24</v>
      </c>
      <c r="O214" s="165">
        <v>24</v>
      </c>
      <c r="P214" s="176">
        <v>0.90277777777777779</v>
      </c>
      <c r="Q214" s="174">
        <v>-70.565700000000007</v>
      </c>
      <c r="R214" s="174">
        <v>41.325000000000003</v>
      </c>
      <c r="S214" s="177" t="s">
        <v>172</v>
      </c>
      <c r="T214" s="177">
        <v>25</v>
      </c>
      <c r="U214" s="178" t="s">
        <v>516</v>
      </c>
      <c r="V214" s="167"/>
    </row>
    <row r="215" spans="1:22" ht="15">
      <c r="A215" s="180" t="s">
        <v>471</v>
      </c>
      <c r="B215" s="173" t="s">
        <v>511</v>
      </c>
      <c r="C215" s="165" t="s">
        <v>914</v>
      </c>
      <c r="D215" s="174" t="s">
        <v>910</v>
      </c>
      <c r="E215" s="165" t="s">
        <v>170</v>
      </c>
      <c r="F215" s="165">
        <v>282</v>
      </c>
      <c r="G215" s="165" t="s">
        <v>915</v>
      </c>
      <c r="H215" s="165" t="s">
        <v>916</v>
      </c>
      <c r="I215" s="165">
        <v>0</v>
      </c>
      <c r="J215" s="173">
        <v>15</v>
      </c>
      <c r="K215" s="175" t="s">
        <v>913</v>
      </c>
      <c r="L215" s="165">
        <v>2024</v>
      </c>
      <c r="M215" s="165" t="s">
        <v>171</v>
      </c>
      <c r="N215" s="165">
        <v>2</v>
      </c>
      <c r="O215" s="165">
        <v>33</v>
      </c>
      <c r="P215" s="176">
        <v>0.79166666666666663</v>
      </c>
      <c r="Q215" s="174">
        <v>-70.565700000000007</v>
      </c>
      <c r="R215" s="174">
        <v>41.325000000000003</v>
      </c>
      <c r="S215" s="177" t="s">
        <v>172</v>
      </c>
      <c r="T215" s="177">
        <v>25</v>
      </c>
      <c r="U215" s="178" t="s">
        <v>516</v>
      </c>
      <c r="V215" s="167" t="s">
        <v>917</v>
      </c>
    </row>
    <row r="216" spans="1:22" ht="15">
      <c r="A216" s="180" t="s">
        <v>472</v>
      </c>
      <c r="B216" s="173" t="s">
        <v>511</v>
      </c>
      <c r="C216" s="165" t="s">
        <v>918</v>
      </c>
      <c r="D216" s="174" t="s">
        <v>910</v>
      </c>
      <c r="E216" s="165" t="s">
        <v>173</v>
      </c>
      <c r="F216" s="165">
        <v>535</v>
      </c>
      <c r="G216" s="165" t="s">
        <v>919</v>
      </c>
      <c r="H216" s="165" t="s">
        <v>920</v>
      </c>
      <c r="I216" s="165">
        <v>13</v>
      </c>
      <c r="J216" s="173">
        <v>15</v>
      </c>
      <c r="K216" s="175" t="s">
        <v>913</v>
      </c>
      <c r="L216" s="165">
        <v>2024</v>
      </c>
      <c r="M216" s="173" t="s">
        <v>851</v>
      </c>
      <c r="N216" s="165">
        <v>2</v>
      </c>
      <c r="O216" s="165">
        <v>93</v>
      </c>
      <c r="P216" s="176">
        <v>0.72916666666666663</v>
      </c>
      <c r="Q216" s="174">
        <v>-70.565700000000007</v>
      </c>
      <c r="R216" s="174">
        <v>41.325000000000003</v>
      </c>
      <c r="S216" s="177" t="s">
        <v>172</v>
      </c>
      <c r="T216" s="177">
        <v>25</v>
      </c>
      <c r="U216" s="178" t="s">
        <v>516</v>
      </c>
      <c r="V216" s="167" t="s">
        <v>921</v>
      </c>
    </row>
    <row r="217" spans="1:22" ht="15">
      <c r="A217" s="180" t="s">
        <v>473</v>
      </c>
      <c r="B217" s="173" t="s">
        <v>511</v>
      </c>
      <c r="C217" s="165" t="s">
        <v>922</v>
      </c>
      <c r="D217" s="174" t="s">
        <v>910</v>
      </c>
      <c r="E217" s="165" t="s">
        <v>173</v>
      </c>
      <c r="F217" s="165">
        <v>535</v>
      </c>
      <c r="G217" s="165" t="s">
        <v>919</v>
      </c>
      <c r="H217" s="165" t="s">
        <v>920</v>
      </c>
      <c r="I217" s="165">
        <v>13</v>
      </c>
      <c r="J217" s="173">
        <v>15</v>
      </c>
      <c r="K217" s="175" t="s">
        <v>913</v>
      </c>
      <c r="L217" s="165">
        <v>2024</v>
      </c>
      <c r="M217" s="173" t="s">
        <v>851</v>
      </c>
      <c r="N217" s="165">
        <v>2</v>
      </c>
      <c r="O217" s="165">
        <v>93</v>
      </c>
      <c r="P217" s="176">
        <v>0.72916666666666663</v>
      </c>
      <c r="Q217" s="174">
        <v>-70.565700000000007</v>
      </c>
      <c r="R217" s="174">
        <v>41.325000000000003</v>
      </c>
      <c r="S217" s="177" t="s">
        <v>172</v>
      </c>
      <c r="T217" s="177">
        <v>25</v>
      </c>
      <c r="U217" s="178" t="s">
        <v>516</v>
      </c>
      <c r="V217" s="167" t="s">
        <v>921</v>
      </c>
    </row>
    <row r="218" spans="1:22" ht="15">
      <c r="A218" s="180" t="s">
        <v>474</v>
      </c>
      <c r="B218" s="173" t="s">
        <v>511</v>
      </c>
      <c r="C218" s="165" t="s">
        <v>923</v>
      </c>
      <c r="D218" s="174" t="s">
        <v>910</v>
      </c>
      <c r="E218" s="165" t="s">
        <v>170</v>
      </c>
      <c r="F218" s="165">
        <v>535</v>
      </c>
      <c r="G218" s="165" t="s">
        <v>919</v>
      </c>
      <c r="H218" s="165" t="s">
        <v>924</v>
      </c>
      <c r="I218" s="165">
        <v>6</v>
      </c>
      <c r="J218" s="173">
        <v>15</v>
      </c>
      <c r="K218" s="175" t="s">
        <v>913</v>
      </c>
      <c r="L218" s="165">
        <v>2024</v>
      </c>
      <c r="M218" s="173" t="s">
        <v>851</v>
      </c>
      <c r="N218" s="165">
        <v>2</v>
      </c>
      <c r="O218" s="165">
        <v>93</v>
      </c>
      <c r="P218" s="176">
        <v>0.72916666666666663</v>
      </c>
      <c r="Q218" s="174">
        <v>-70.565700000000007</v>
      </c>
      <c r="R218" s="174">
        <v>41.325000000000003</v>
      </c>
      <c r="S218" s="177" t="s">
        <v>172</v>
      </c>
      <c r="T218" s="177">
        <v>25</v>
      </c>
      <c r="U218" s="178" t="s">
        <v>516</v>
      </c>
      <c r="V218" s="167" t="s">
        <v>921</v>
      </c>
    </row>
    <row r="219" spans="1:22" ht="15">
      <c r="A219" s="180" t="s">
        <v>475</v>
      </c>
      <c r="B219" s="173" t="s">
        <v>511</v>
      </c>
      <c r="C219" s="165" t="s">
        <v>925</v>
      </c>
      <c r="D219" s="174" t="s">
        <v>910</v>
      </c>
      <c r="E219" s="165" t="s">
        <v>170</v>
      </c>
      <c r="F219" s="165">
        <v>535</v>
      </c>
      <c r="G219" s="165" t="s">
        <v>919</v>
      </c>
      <c r="H219" s="165" t="s">
        <v>926</v>
      </c>
      <c r="I219" s="165">
        <v>2.5</v>
      </c>
      <c r="J219" s="173">
        <v>15</v>
      </c>
      <c r="K219" s="175" t="s">
        <v>913</v>
      </c>
      <c r="L219" s="165">
        <v>2024</v>
      </c>
      <c r="M219" s="173" t="s">
        <v>851</v>
      </c>
      <c r="N219" s="165">
        <v>2</v>
      </c>
      <c r="O219" s="165">
        <v>93</v>
      </c>
      <c r="P219" s="176">
        <v>0.72916666666666663</v>
      </c>
      <c r="Q219" s="174">
        <v>-70.565700000000007</v>
      </c>
      <c r="R219" s="174">
        <v>41.325000000000003</v>
      </c>
      <c r="S219" s="177" t="s">
        <v>172</v>
      </c>
      <c r="T219" s="177">
        <v>25</v>
      </c>
      <c r="U219" s="178" t="s">
        <v>516</v>
      </c>
      <c r="V219" s="167" t="s">
        <v>921</v>
      </c>
    </row>
    <row r="220" spans="1:22" ht="15">
      <c r="A220" s="180" t="s">
        <v>477</v>
      </c>
      <c r="B220" s="173" t="s">
        <v>511</v>
      </c>
      <c r="C220" s="165" t="s">
        <v>927</v>
      </c>
      <c r="D220" s="174" t="s">
        <v>910</v>
      </c>
      <c r="E220" s="165" t="s">
        <v>170</v>
      </c>
      <c r="F220" s="165">
        <v>535</v>
      </c>
      <c r="G220" s="165" t="s">
        <v>928</v>
      </c>
      <c r="H220" s="165" t="s">
        <v>929</v>
      </c>
      <c r="I220" s="165">
        <v>13</v>
      </c>
      <c r="J220" s="173">
        <v>15</v>
      </c>
      <c r="K220" s="175" t="s">
        <v>913</v>
      </c>
      <c r="L220" s="165">
        <v>2024</v>
      </c>
      <c r="M220" s="173" t="s">
        <v>851</v>
      </c>
      <c r="N220" s="165">
        <v>22</v>
      </c>
      <c r="O220" s="165">
        <v>113</v>
      </c>
      <c r="P220" s="176">
        <v>0.73958333333333337</v>
      </c>
      <c r="Q220" s="174">
        <v>-70.565700000000007</v>
      </c>
      <c r="R220" s="174">
        <v>41.325000000000003</v>
      </c>
      <c r="S220" s="177" t="s">
        <v>172</v>
      </c>
      <c r="T220" s="177">
        <v>25</v>
      </c>
      <c r="U220" s="178" t="s">
        <v>516</v>
      </c>
      <c r="V220" s="167"/>
    </row>
    <row r="221" spans="1:22" ht="15">
      <c r="A221" s="180" t="s">
        <v>478</v>
      </c>
      <c r="B221" s="173" t="s">
        <v>511</v>
      </c>
      <c r="C221" s="165" t="s">
        <v>930</v>
      </c>
      <c r="D221" s="174" t="s">
        <v>910</v>
      </c>
      <c r="E221" s="165" t="s">
        <v>170</v>
      </c>
      <c r="F221" s="165">
        <v>535</v>
      </c>
      <c r="G221" s="165" t="s">
        <v>928</v>
      </c>
      <c r="H221" s="165" t="s">
        <v>931</v>
      </c>
      <c r="I221" s="165">
        <v>6</v>
      </c>
      <c r="J221" s="173">
        <v>15</v>
      </c>
      <c r="K221" s="175" t="s">
        <v>913</v>
      </c>
      <c r="L221" s="165">
        <v>2024</v>
      </c>
      <c r="M221" s="173" t="s">
        <v>851</v>
      </c>
      <c r="N221" s="165">
        <v>22</v>
      </c>
      <c r="O221" s="165">
        <v>113</v>
      </c>
      <c r="P221" s="176">
        <v>0.73958333333333337</v>
      </c>
      <c r="Q221" s="174">
        <v>-70.565700000000007</v>
      </c>
      <c r="R221" s="174">
        <v>41.325000000000003</v>
      </c>
      <c r="S221" s="177" t="s">
        <v>172</v>
      </c>
      <c r="T221" s="177">
        <v>25</v>
      </c>
      <c r="U221" s="178" t="s">
        <v>516</v>
      </c>
      <c r="V221" s="167"/>
    </row>
    <row r="222" spans="1:22" ht="15">
      <c r="A222" s="180" t="s">
        <v>479</v>
      </c>
      <c r="B222" s="173" t="s">
        <v>511</v>
      </c>
      <c r="C222" s="165" t="s">
        <v>932</v>
      </c>
      <c r="D222" s="174" t="s">
        <v>910</v>
      </c>
      <c r="E222" s="165" t="s">
        <v>170</v>
      </c>
      <c r="F222" s="165">
        <v>535</v>
      </c>
      <c r="G222" s="165" t="s">
        <v>928</v>
      </c>
      <c r="H222" s="165" t="s">
        <v>933</v>
      </c>
      <c r="I222" s="165">
        <v>2</v>
      </c>
      <c r="J222" s="173">
        <v>15</v>
      </c>
      <c r="K222" s="175" t="s">
        <v>913</v>
      </c>
      <c r="L222" s="165">
        <v>2024</v>
      </c>
      <c r="M222" s="173" t="s">
        <v>851</v>
      </c>
      <c r="N222" s="165">
        <v>22</v>
      </c>
      <c r="O222" s="165">
        <v>113</v>
      </c>
      <c r="P222" s="176">
        <v>0.73958333333333337</v>
      </c>
      <c r="Q222" s="174">
        <v>-70.565700000000007</v>
      </c>
      <c r="R222" s="174">
        <v>41.325000000000003</v>
      </c>
      <c r="S222" s="177" t="s">
        <v>172</v>
      </c>
      <c r="T222" s="177">
        <v>25</v>
      </c>
      <c r="U222" s="178" t="s">
        <v>516</v>
      </c>
      <c r="V222" s="167"/>
    </row>
    <row r="223" spans="1:22" ht="15">
      <c r="A223" s="180" t="s">
        <v>480</v>
      </c>
      <c r="B223" s="173" t="s">
        <v>511</v>
      </c>
      <c r="C223" s="165" t="s">
        <v>934</v>
      </c>
      <c r="D223" s="174" t="s">
        <v>910</v>
      </c>
      <c r="E223" s="165" t="s">
        <v>170</v>
      </c>
      <c r="F223" s="165">
        <v>535</v>
      </c>
      <c r="G223" s="165" t="s">
        <v>935</v>
      </c>
      <c r="H223" s="165" t="s">
        <v>936</v>
      </c>
      <c r="I223" s="165">
        <v>13</v>
      </c>
      <c r="J223" s="173">
        <v>15</v>
      </c>
      <c r="K223" s="175" t="s">
        <v>913</v>
      </c>
      <c r="L223" s="165">
        <v>2024</v>
      </c>
      <c r="M223" s="173" t="s">
        <v>937</v>
      </c>
      <c r="N223" s="165">
        <v>9</v>
      </c>
      <c r="O223" s="165">
        <v>191</v>
      </c>
      <c r="P223" s="176">
        <v>0.68055555555555547</v>
      </c>
      <c r="Q223" s="174">
        <v>-70.565700000000007</v>
      </c>
      <c r="R223" s="174">
        <v>41.325000000000003</v>
      </c>
      <c r="S223" s="177" t="s">
        <v>172</v>
      </c>
      <c r="T223" s="177">
        <v>25</v>
      </c>
      <c r="U223" s="178" t="s">
        <v>516</v>
      </c>
      <c r="V223" s="167"/>
    </row>
    <row r="224" spans="1:22" ht="15">
      <c r="A224" s="180" t="s">
        <v>481</v>
      </c>
      <c r="B224" s="173" t="s">
        <v>511</v>
      </c>
      <c r="C224" s="165" t="s">
        <v>938</v>
      </c>
      <c r="D224" s="174" t="s">
        <v>910</v>
      </c>
      <c r="E224" s="165" t="s">
        <v>170</v>
      </c>
      <c r="F224" s="165">
        <v>535</v>
      </c>
      <c r="G224" s="165" t="s">
        <v>935</v>
      </c>
      <c r="H224" s="165" t="s">
        <v>939</v>
      </c>
      <c r="I224" s="165">
        <v>6</v>
      </c>
      <c r="J224" s="173">
        <v>15</v>
      </c>
      <c r="K224" s="175" t="s">
        <v>913</v>
      </c>
      <c r="L224" s="165">
        <v>2024</v>
      </c>
      <c r="M224" s="173" t="s">
        <v>937</v>
      </c>
      <c r="N224" s="165">
        <v>9</v>
      </c>
      <c r="O224" s="165">
        <v>191</v>
      </c>
      <c r="P224" s="176">
        <v>0.68055555555555547</v>
      </c>
      <c r="Q224" s="174">
        <v>-70.565700000000007</v>
      </c>
      <c r="R224" s="174">
        <v>41.325000000000003</v>
      </c>
      <c r="S224" s="177" t="s">
        <v>172</v>
      </c>
      <c r="T224" s="177">
        <v>25</v>
      </c>
      <c r="U224" s="178" t="s">
        <v>516</v>
      </c>
      <c r="V224" s="167"/>
    </row>
    <row r="225" spans="1:22" ht="15">
      <c r="A225" s="180" t="s">
        <v>482</v>
      </c>
      <c r="B225" s="173" t="s">
        <v>511</v>
      </c>
      <c r="C225" s="165" t="s">
        <v>940</v>
      </c>
      <c r="D225" s="174" t="s">
        <v>910</v>
      </c>
      <c r="E225" s="165" t="s">
        <v>170</v>
      </c>
      <c r="F225" s="165">
        <v>535</v>
      </c>
      <c r="G225" s="165" t="s">
        <v>935</v>
      </c>
      <c r="H225" s="165" t="s">
        <v>941</v>
      </c>
      <c r="I225" s="165">
        <v>2</v>
      </c>
      <c r="J225" s="173">
        <v>15</v>
      </c>
      <c r="K225" s="175" t="s">
        <v>913</v>
      </c>
      <c r="L225" s="165">
        <v>2024</v>
      </c>
      <c r="M225" s="173" t="s">
        <v>937</v>
      </c>
      <c r="N225" s="165">
        <v>9</v>
      </c>
      <c r="O225" s="165">
        <v>191</v>
      </c>
      <c r="P225" s="176">
        <v>0.68055555555555547</v>
      </c>
      <c r="Q225" s="174">
        <v>-70.565700000000007</v>
      </c>
      <c r="R225" s="174">
        <v>41.325000000000003</v>
      </c>
      <c r="S225" s="177" t="s">
        <v>172</v>
      </c>
      <c r="T225" s="177">
        <v>25</v>
      </c>
      <c r="U225" s="178" t="s">
        <v>516</v>
      </c>
      <c r="V225" s="167"/>
    </row>
    <row r="226" spans="1:22" ht="15">
      <c r="A226" s="180" t="s">
        <v>483</v>
      </c>
      <c r="B226" s="173" t="s">
        <v>511</v>
      </c>
      <c r="C226" s="165" t="s">
        <v>942</v>
      </c>
      <c r="D226" s="174" t="s">
        <v>910</v>
      </c>
      <c r="E226" s="165" t="s">
        <v>173</v>
      </c>
      <c r="F226" s="165">
        <v>535</v>
      </c>
      <c r="G226" s="165" t="s">
        <v>943</v>
      </c>
      <c r="H226" s="165" t="s">
        <v>944</v>
      </c>
      <c r="I226" s="165">
        <v>0</v>
      </c>
      <c r="J226" s="173">
        <v>15</v>
      </c>
      <c r="K226" s="175" t="s">
        <v>913</v>
      </c>
      <c r="L226" s="165">
        <v>2024</v>
      </c>
      <c r="M226" s="173" t="s">
        <v>945</v>
      </c>
      <c r="N226" s="165">
        <v>2</v>
      </c>
      <c r="O226" s="165">
        <v>215</v>
      </c>
      <c r="P226" s="176">
        <v>0.63194444444444442</v>
      </c>
      <c r="Q226" s="174">
        <v>-70.565700000000007</v>
      </c>
      <c r="R226" s="174">
        <v>41.325000000000003</v>
      </c>
      <c r="S226" s="177" t="s">
        <v>172</v>
      </c>
      <c r="T226" s="177">
        <v>25</v>
      </c>
      <c r="U226" s="178" t="s">
        <v>516</v>
      </c>
      <c r="V226" s="167"/>
    </row>
    <row r="227" spans="1:22" ht="15">
      <c r="A227" s="180" t="s">
        <v>484</v>
      </c>
      <c r="B227" s="173" t="s">
        <v>511</v>
      </c>
      <c r="C227" s="165" t="s">
        <v>946</v>
      </c>
      <c r="D227" s="174" t="s">
        <v>910</v>
      </c>
      <c r="E227" s="165" t="s">
        <v>173</v>
      </c>
      <c r="F227" s="165">
        <v>535</v>
      </c>
      <c r="G227" s="165" t="s">
        <v>943</v>
      </c>
      <c r="H227" s="165" t="s">
        <v>944</v>
      </c>
      <c r="I227" s="165">
        <v>0</v>
      </c>
      <c r="J227" s="173">
        <v>15</v>
      </c>
      <c r="K227" s="175" t="s">
        <v>913</v>
      </c>
      <c r="L227" s="165">
        <v>2024</v>
      </c>
      <c r="M227" s="173" t="s">
        <v>945</v>
      </c>
      <c r="N227" s="165">
        <v>2</v>
      </c>
      <c r="O227" s="165">
        <v>215</v>
      </c>
      <c r="P227" s="176">
        <v>0.63194444444444442</v>
      </c>
      <c r="Q227" s="174">
        <v>-70.565700000000007</v>
      </c>
      <c r="R227" s="174">
        <v>41.325000000000003</v>
      </c>
      <c r="S227" s="177" t="s">
        <v>172</v>
      </c>
      <c r="T227" s="177">
        <v>25</v>
      </c>
      <c r="U227" s="178" t="s">
        <v>516</v>
      </c>
      <c r="V227" s="167"/>
    </row>
    <row r="228" spans="1:22" ht="15">
      <c r="A228" s="180" t="s">
        <v>485</v>
      </c>
      <c r="B228" s="173" t="s">
        <v>511</v>
      </c>
      <c r="C228" s="165" t="s">
        <v>947</v>
      </c>
      <c r="D228" s="174" t="s">
        <v>910</v>
      </c>
      <c r="E228" s="165" t="s">
        <v>170</v>
      </c>
      <c r="F228" s="165">
        <v>535</v>
      </c>
      <c r="G228" s="165" t="s">
        <v>948</v>
      </c>
      <c r="H228" s="165" t="s">
        <v>949</v>
      </c>
      <c r="I228" s="165">
        <v>12.5</v>
      </c>
      <c r="J228" s="173">
        <v>15</v>
      </c>
      <c r="K228" s="175" t="s">
        <v>913</v>
      </c>
      <c r="L228" s="165">
        <v>2024</v>
      </c>
      <c r="M228" s="173" t="s">
        <v>945</v>
      </c>
      <c r="N228" s="165">
        <v>12</v>
      </c>
      <c r="O228" s="165">
        <v>225</v>
      </c>
      <c r="P228" s="176">
        <v>0.72569444444444453</v>
      </c>
      <c r="Q228" s="174">
        <v>-70.565700000000007</v>
      </c>
      <c r="R228" s="174">
        <v>41.325000000000003</v>
      </c>
      <c r="S228" s="177" t="s">
        <v>172</v>
      </c>
      <c r="T228" s="177">
        <v>25</v>
      </c>
      <c r="U228" s="178" t="s">
        <v>516</v>
      </c>
      <c r="V228" s="167"/>
    </row>
    <row r="229" spans="1:22" ht="15">
      <c r="A229" s="180" t="s">
        <v>486</v>
      </c>
      <c r="B229" s="173" t="s">
        <v>511</v>
      </c>
      <c r="C229" s="165" t="s">
        <v>950</v>
      </c>
      <c r="D229" s="174" t="s">
        <v>910</v>
      </c>
      <c r="E229" s="165" t="s">
        <v>170</v>
      </c>
      <c r="F229" s="165">
        <v>535</v>
      </c>
      <c r="G229" s="165" t="s">
        <v>948</v>
      </c>
      <c r="H229" s="165" t="s">
        <v>951</v>
      </c>
      <c r="I229" s="165">
        <v>6</v>
      </c>
      <c r="J229" s="173">
        <v>15</v>
      </c>
      <c r="K229" s="175" t="s">
        <v>913</v>
      </c>
      <c r="L229" s="165">
        <v>2024</v>
      </c>
      <c r="M229" s="173" t="s">
        <v>945</v>
      </c>
      <c r="N229" s="165">
        <v>12</v>
      </c>
      <c r="O229" s="165">
        <v>225</v>
      </c>
      <c r="P229" s="176">
        <v>0.72569444444444453</v>
      </c>
      <c r="Q229" s="174">
        <v>-70.565700000000007</v>
      </c>
      <c r="R229" s="174">
        <v>41.325000000000003</v>
      </c>
      <c r="S229" s="177" t="s">
        <v>172</v>
      </c>
      <c r="T229" s="177">
        <v>25</v>
      </c>
      <c r="U229" s="178" t="s">
        <v>516</v>
      </c>
      <c r="V229" s="167"/>
    </row>
    <row r="230" spans="1:22" ht="15">
      <c r="A230" s="180" t="s">
        <v>487</v>
      </c>
      <c r="B230" s="173" t="s">
        <v>511</v>
      </c>
      <c r="C230" s="165" t="s">
        <v>952</v>
      </c>
      <c r="D230" s="174" t="s">
        <v>910</v>
      </c>
      <c r="E230" s="165" t="s">
        <v>170</v>
      </c>
      <c r="F230" s="165">
        <v>535</v>
      </c>
      <c r="G230" s="165" t="s">
        <v>948</v>
      </c>
      <c r="H230" s="165" t="s">
        <v>953</v>
      </c>
      <c r="I230" s="165">
        <v>2</v>
      </c>
      <c r="J230" s="173">
        <v>15</v>
      </c>
      <c r="K230" s="175" t="s">
        <v>913</v>
      </c>
      <c r="L230" s="165">
        <v>2024</v>
      </c>
      <c r="M230" s="173" t="s">
        <v>945</v>
      </c>
      <c r="N230" s="165">
        <v>12</v>
      </c>
      <c r="O230" s="165">
        <v>225</v>
      </c>
      <c r="P230" s="176">
        <v>0.72569444444444453</v>
      </c>
      <c r="Q230" s="174">
        <v>-70.565700000000007</v>
      </c>
      <c r="R230" s="174">
        <v>41.325000000000003</v>
      </c>
      <c r="S230" s="177" t="s">
        <v>172</v>
      </c>
      <c r="T230" s="177">
        <v>25</v>
      </c>
      <c r="U230" s="178" t="s">
        <v>516</v>
      </c>
      <c r="V230" s="167"/>
    </row>
    <row r="231" spans="1:22" ht="15">
      <c r="A231" s="180" t="s">
        <v>488</v>
      </c>
      <c r="B231" s="173" t="s">
        <v>511</v>
      </c>
      <c r="C231" s="165" t="s">
        <v>954</v>
      </c>
      <c r="D231" s="174" t="s">
        <v>910</v>
      </c>
      <c r="E231" s="165" t="s">
        <v>170</v>
      </c>
      <c r="F231" s="165">
        <v>535</v>
      </c>
      <c r="G231" s="165" t="s">
        <v>955</v>
      </c>
      <c r="H231" s="165" t="s">
        <v>956</v>
      </c>
      <c r="I231" s="165">
        <v>12.5</v>
      </c>
      <c r="J231" s="173">
        <v>15</v>
      </c>
      <c r="K231" s="175" t="s">
        <v>913</v>
      </c>
      <c r="L231" s="165">
        <v>2024</v>
      </c>
      <c r="M231" s="173" t="s">
        <v>945</v>
      </c>
      <c r="N231" s="165">
        <v>26</v>
      </c>
      <c r="O231" s="165">
        <v>239</v>
      </c>
      <c r="P231" s="176">
        <v>0.70138888888888884</v>
      </c>
      <c r="Q231" s="174">
        <v>-70.565700000000007</v>
      </c>
      <c r="R231" s="174">
        <v>41.325000000000003</v>
      </c>
      <c r="S231" s="177" t="s">
        <v>172</v>
      </c>
      <c r="T231" s="177">
        <v>25</v>
      </c>
      <c r="U231" s="178" t="s">
        <v>516</v>
      </c>
      <c r="V231" s="167"/>
    </row>
    <row r="232" spans="1:22" ht="15">
      <c r="A232" s="180" t="s">
        <v>489</v>
      </c>
      <c r="B232" s="173" t="s">
        <v>511</v>
      </c>
      <c r="C232" s="165" t="s">
        <v>957</v>
      </c>
      <c r="D232" s="174" t="s">
        <v>910</v>
      </c>
      <c r="E232" s="165" t="s">
        <v>170</v>
      </c>
      <c r="F232" s="165">
        <v>535</v>
      </c>
      <c r="G232" s="165" t="s">
        <v>955</v>
      </c>
      <c r="H232" s="165" t="s">
        <v>958</v>
      </c>
      <c r="I232" s="165">
        <v>6</v>
      </c>
      <c r="J232" s="173">
        <v>15</v>
      </c>
      <c r="K232" s="175" t="s">
        <v>913</v>
      </c>
      <c r="L232" s="165">
        <v>2024</v>
      </c>
      <c r="M232" s="173" t="s">
        <v>945</v>
      </c>
      <c r="N232" s="165">
        <v>26</v>
      </c>
      <c r="O232" s="165">
        <v>239</v>
      </c>
      <c r="P232" s="176">
        <v>0.70138888888888884</v>
      </c>
      <c r="Q232" s="174">
        <v>-70.565700000000007</v>
      </c>
      <c r="R232" s="174">
        <v>41.325000000000003</v>
      </c>
      <c r="S232" s="177" t="s">
        <v>172</v>
      </c>
      <c r="T232" s="177">
        <v>25</v>
      </c>
      <c r="U232" s="178" t="s">
        <v>516</v>
      </c>
      <c r="V232" s="167"/>
    </row>
    <row r="233" spans="1:22" ht="15">
      <c r="A233" s="180" t="s">
        <v>490</v>
      </c>
      <c r="B233" s="173" t="s">
        <v>511</v>
      </c>
      <c r="C233" s="165" t="s">
        <v>959</v>
      </c>
      <c r="D233" s="174" t="s">
        <v>910</v>
      </c>
      <c r="E233" s="165" t="s">
        <v>170</v>
      </c>
      <c r="F233" s="165">
        <v>535</v>
      </c>
      <c r="G233" s="165" t="s">
        <v>955</v>
      </c>
      <c r="H233" s="165" t="s">
        <v>960</v>
      </c>
      <c r="I233" s="165">
        <v>2</v>
      </c>
      <c r="J233" s="173">
        <v>15</v>
      </c>
      <c r="K233" s="175" t="s">
        <v>913</v>
      </c>
      <c r="L233" s="165">
        <v>2024</v>
      </c>
      <c r="M233" s="173" t="s">
        <v>945</v>
      </c>
      <c r="N233" s="165">
        <v>26</v>
      </c>
      <c r="O233" s="165">
        <v>239</v>
      </c>
      <c r="P233" s="176">
        <v>0.70138888888888884</v>
      </c>
      <c r="Q233" s="174">
        <v>-70.565700000000007</v>
      </c>
      <c r="R233" s="174">
        <v>41.325000000000003</v>
      </c>
      <c r="S233" s="177" t="s">
        <v>172</v>
      </c>
      <c r="T233" s="177">
        <v>25</v>
      </c>
      <c r="U233" s="178" t="s">
        <v>516</v>
      </c>
      <c r="V233" s="167"/>
    </row>
    <row r="234" spans="1:22" ht="15">
      <c r="A234" s="180" t="s">
        <v>491</v>
      </c>
      <c r="B234" s="173" t="s">
        <v>511</v>
      </c>
      <c r="C234" s="165" t="s">
        <v>961</v>
      </c>
      <c r="D234" s="174" t="s">
        <v>910</v>
      </c>
      <c r="E234" s="165" t="s">
        <v>170</v>
      </c>
      <c r="F234" s="165">
        <v>535</v>
      </c>
      <c r="G234" s="165" t="s">
        <v>962</v>
      </c>
      <c r="H234" s="165" t="s">
        <v>963</v>
      </c>
      <c r="I234" s="165">
        <v>13</v>
      </c>
      <c r="J234" s="173">
        <v>15</v>
      </c>
      <c r="K234" s="175" t="s">
        <v>913</v>
      </c>
      <c r="L234" s="165">
        <v>2024</v>
      </c>
      <c r="M234" s="173" t="s">
        <v>964</v>
      </c>
      <c r="N234" s="165">
        <v>9</v>
      </c>
      <c r="O234" s="165">
        <v>283</v>
      </c>
      <c r="P234" s="176">
        <v>0.70138888888888884</v>
      </c>
      <c r="Q234" s="174">
        <v>-70.565700000000007</v>
      </c>
      <c r="R234" s="174">
        <v>41.325000000000003</v>
      </c>
      <c r="S234" s="177" t="s">
        <v>172</v>
      </c>
      <c r="T234" s="177">
        <v>25</v>
      </c>
      <c r="U234" s="178" t="s">
        <v>516</v>
      </c>
      <c r="V234" s="167"/>
    </row>
    <row r="235" spans="1:22" ht="15">
      <c r="A235" s="180" t="s">
        <v>492</v>
      </c>
      <c r="B235" s="173" t="s">
        <v>511</v>
      </c>
      <c r="C235" s="165" t="s">
        <v>965</v>
      </c>
      <c r="D235" s="174" t="s">
        <v>910</v>
      </c>
      <c r="E235" s="165" t="s">
        <v>170</v>
      </c>
      <c r="F235" s="165">
        <v>535</v>
      </c>
      <c r="G235" s="165" t="s">
        <v>962</v>
      </c>
      <c r="H235" s="165" t="s">
        <v>966</v>
      </c>
      <c r="I235" s="165">
        <v>6</v>
      </c>
      <c r="J235" s="173">
        <v>15</v>
      </c>
      <c r="K235" s="175" t="s">
        <v>913</v>
      </c>
      <c r="L235" s="165">
        <v>2024</v>
      </c>
      <c r="M235" s="173" t="s">
        <v>964</v>
      </c>
      <c r="N235" s="165">
        <v>9</v>
      </c>
      <c r="O235" s="165">
        <v>283</v>
      </c>
      <c r="P235" s="176">
        <v>0.70138888888888884</v>
      </c>
      <c r="Q235" s="174">
        <v>-70.565700000000007</v>
      </c>
      <c r="R235" s="174">
        <v>41.325000000000003</v>
      </c>
      <c r="S235" s="177" t="s">
        <v>172</v>
      </c>
      <c r="T235" s="177">
        <v>25</v>
      </c>
      <c r="U235" s="178" t="s">
        <v>516</v>
      </c>
      <c r="V235" s="167"/>
    </row>
    <row r="236" spans="1:22" ht="15">
      <c r="A236" s="180" t="s">
        <v>493</v>
      </c>
      <c r="B236" s="173" t="s">
        <v>511</v>
      </c>
      <c r="C236" s="165" t="s">
        <v>967</v>
      </c>
      <c r="D236" s="174" t="s">
        <v>910</v>
      </c>
      <c r="E236" s="165" t="s">
        <v>170</v>
      </c>
      <c r="F236" s="165">
        <v>535</v>
      </c>
      <c r="G236" s="165" t="s">
        <v>962</v>
      </c>
      <c r="H236" s="165" t="s">
        <v>968</v>
      </c>
      <c r="I236" s="165">
        <v>2</v>
      </c>
      <c r="J236" s="173">
        <v>15</v>
      </c>
      <c r="K236" s="175" t="s">
        <v>913</v>
      </c>
      <c r="L236" s="165">
        <v>2024</v>
      </c>
      <c r="M236" s="173" t="s">
        <v>964</v>
      </c>
      <c r="N236" s="165">
        <v>9</v>
      </c>
      <c r="O236" s="165">
        <v>283</v>
      </c>
      <c r="P236" s="176">
        <v>0.70138888888888884</v>
      </c>
      <c r="Q236" s="174">
        <v>-70.565700000000007</v>
      </c>
      <c r="R236" s="174">
        <v>41.325000000000003</v>
      </c>
      <c r="S236" s="177" t="s">
        <v>172</v>
      </c>
      <c r="T236" s="177">
        <v>25</v>
      </c>
      <c r="U236" s="178" t="s">
        <v>516</v>
      </c>
      <c r="V236" s="167"/>
    </row>
    <row r="237" spans="1:22" ht="15">
      <c r="A237" s="180" t="s">
        <v>494</v>
      </c>
      <c r="B237" s="173" t="s">
        <v>511</v>
      </c>
      <c r="C237" s="165" t="s">
        <v>969</v>
      </c>
      <c r="D237" s="174" t="s">
        <v>910</v>
      </c>
      <c r="E237" s="165" t="s">
        <v>173</v>
      </c>
      <c r="F237" s="165">
        <v>535</v>
      </c>
      <c r="G237" s="165" t="s">
        <v>970</v>
      </c>
      <c r="H237" s="165" t="s">
        <v>971</v>
      </c>
      <c r="I237" s="165">
        <v>0</v>
      </c>
      <c r="J237" s="173">
        <v>15</v>
      </c>
      <c r="K237" s="175" t="s">
        <v>913</v>
      </c>
      <c r="L237" s="165">
        <v>2024</v>
      </c>
      <c r="M237" s="173" t="s">
        <v>964</v>
      </c>
      <c r="N237" s="165">
        <v>23</v>
      </c>
      <c r="O237" s="165">
        <v>297</v>
      </c>
      <c r="P237" s="176">
        <v>0.83333333333333337</v>
      </c>
      <c r="Q237" s="174">
        <v>-70.565700000000007</v>
      </c>
      <c r="R237" s="174">
        <v>41.325000000000003</v>
      </c>
      <c r="S237" s="177" t="s">
        <v>172</v>
      </c>
      <c r="T237" s="177">
        <v>25</v>
      </c>
      <c r="U237" s="178" t="s">
        <v>516</v>
      </c>
      <c r="V237" s="167"/>
    </row>
    <row r="238" spans="1:22" ht="15">
      <c r="A238" s="180" t="s">
        <v>495</v>
      </c>
      <c r="B238" s="173" t="s">
        <v>511</v>
      </c>
      <c r="C238" s="165" t="s">
        <v>972</v>
      </c>
      <c r="D238" s="174" t="s">
        <v>910</v>
      </c>
      <c r="E238" s="165" t="s">
        <v>173</v>
      </c>
      <c r="F238" s="165">
        <v>535</v>
      </c>
      <c r="G238" s="165" t="s">
        <v>970</v>
      </c>
      <c r="H238" s="165" t="s">
        <v>971</v>
      </c>
      <c r="I238" s="165">
        <v>0</v>
      </c>
      <c r="J238" s="173">
        <v>15</v>
      </c>
      <c r="K238" s="175" t="s">
        <v>913</v>
      </c>
      <c r="L238" s="165">
        <v>2024</v>
      </c>
      <c r="M238" s="173" t="s">
        <v>964</v>
      </c>
      <c r="N238" s="165">
        <v>23</v>
      </c>
      <c r="O238" s="165">
        <v>297</v>
      </c>
      <c r="P238" s="176">
        <v>0.83333333333333337</v>
      </c>
      <c r="Q238" s="174">
        <v>-70.565700000000007</v>
      </c>
      <c r="R238" s="174">
        <v>41.325000000000003</v>
      </c>
      <c r="S238" s="177" t="s">
        <v>172</v>
      </c>
      <c r="T238" s="177">
        <v>25</v>
      </c>
      <c r="U238" s="178" t="s">
        <v>516</v>
      </c>
      <c r="V238" s="167"/>
    </row>
    <row r="239" spans="1:22" ht="15">
      <c r="A239" s="180" t="s">
        <v>496</v>
      </c>
      <c r="B239" s="173" t="s">
        <v>511</v>
      </c>
      <c r="C239" s="165" t="s">
        <v>973</v>
      </c>
      <c r="D239" s="174" t="s">
        <v>910</v>
      </c>
      <c r="E239" s="165" t="s">
        <v>170</v>
      </c>
      <c r="F239" s="165">
        <v>535</v>
      </c>
      <c r="G239" s="165" t="s">
        <v>974</v>
      </c>
      <c r="H239" s="165" t="s">
        <v>975</v>
      </c>
      <c r="I239" s="165">
        <v>0</v>
      </c>
      <c r="J239" s="173">
        <v>15</v>
      </c>
      <c r="K239" s="175" t="s">
        <v>913</v>
      </c>
      <c r="L239" s="165">
        <v>2024</v>
      </c>
      <c r="M239" s="173" t="s">
        <v>976</v>
      </c>
      <c r="N239" s="165">
        <v>2</v>
      </c>
      <c r="O239" s="165">
        <v>337</v>
      </c>
      <c r="P239" s="176">
        <v>0.75</v>
      </c>
      <c r="Q239" s="174">
        <v>-70.565700000000007</v>
      </c>
      <c r="R239" s="174">
        <v>41.325000000000003</v>
      </c>
      <c r="S239" s="177" t="s">
        <v>172</v>
      </c>
      <c r="T239" s="177">
        <v>25</v>
      </c>
      <c r="U239" s="178" t="s">
        <v>516</v>
      </c>
      <c r="V239" s="167"/>
    </row>
    <row r="240" spans="1:22" ht="15">
      <c r="A240" s="180" t="s">
        <v>497</v>
      </c>
      <c r="B240" s="173" t="s">
        <v>511</v>
      </c>
      <c r="C240" s="165" t="s">
        <v>977</v>
      </c>
      <c r="D240" s="174" t="s">
        <v>910</v>
      </c>
      <c r="E240" s="165" t="s">
        <v>170</v>
      </c>
      <c r="F240" s="165">
        <v>535</v>
      </c>
      <c r="G240" s="165" t="s">
        <v>978</v>
      </c>
      <c r="H240" s="165" t="s">
        <v>979</v>
      </c>
      <c r="I240" s="181">
        <v>12</v>
      </c>
      <c r="J240" s="173">
        <v>15</v>
      </c>
      <c r="K240" s="175" t="s">
        <v>913</v>
      </c>
      <c r="L240" s="165">
        <v>2024</v>
      </c>
      <c r="M240" s="173" t="s">
        <v>976</v>
      </c>
      <c r="N240" s="165">
        <v>3</v>
      </c>
      <c r="O240" s="165">
        <v>338</v>
      </c>
      <c r="P240" s="176">
        <v>0.75</v>
      </c>
      <c r="Q240" s="174">
        <v>-70.565700000000007</v>
      </c>
      <c r="R240" s="174">
        <v>41.325000000000003</v>
      </c>
      <c r="S240" s="177" t="s">
        <v>172</v>
      </c>
      <c r="T240" s="177">
        <v>25</v>
      </c>
      <c r="U240" s="178" t="s">
        <v>516</v>
      </c>
      <c r="V240" s="167"/>
    </row>
    <row r="241" spans="1:22" ht="15">
      <c r="A241" s="180" t="s">
        <v>498</v>
      </c>
      <c r="B241" s="173" t="s">
        <v>511</v>
      </c>
      <c r="C241" s="165" t="s">
        <v>980</v>
      </c>
      <c r="D241" s="174" t="s">
        <v>910</v>
      </c>
      <c r="E241" s="165" t="s">
        <v>170</v>
      </c>
      <c r="F241" s="165">
        <v>535</v>
      </c>
      <c r="G241" s="165" t="s">
        <v>978</v>
      </c>
      <c r="H241" s="165" t="s">
        <v>981</v>
      </c>
      <c r="I241" s="181">
        <v>6</v>
      </c>
      <c r="J241" s="173">
        <v>15</v>
      </c>
      <c r="K241" s="175" t="s">
        <v>913</v>
      </c>
      <c r="L241" s="165">
        <v>2024</v>
      </c>
      <c r="M241" s="173" t="s">
        <v>976</v>
      </c>
      <c r="N241" s="165">
        <v>3</v>
      </c>
      <c r="O241" s="165">
        <v>338</v>
      </c>
      <c r="P241" s="176">
        <v>0.75</v>
      </c>
      <c r="Q241" s="174">
        <v>-70.565700000000007</v>
      </c>
      <c r="R241" s="174">
        <v>41.325000000000003</v>
      </c>
      <c r="S241" s="177" t="s">
        <v>172</v>
      </c>
      <c r="T241" s="177">
        <v>25</v>
      </c>
      <c r="U241" s="178" t="s">
        <v>516</v>
      </c>
      <c r="V241" s="167"/>
    </row>
    <row r="242" spans="1:22" ht="15">
      <c r="A242" s="180" t="s">
        <v>499</v>
      </c>
      <c r="B242" s="173" t="s">
        <v>511</v>
      </c>
      <c r="C242" s="165" t="s">
        <v>982</v>
      </c>
      <c r="D242" s="174" t="s">
        <v>910</v>
      </c>
      <c r="E242" s="165" t="s">
        <v>170</v>
      </c>
      <c r="F242" s="165">
        <v>535</v>
      </c>
      <c r="G242" s="165" t="s">
        <v>978</v>
      </c>
      <c r="H242" s="165" t="s">
        <v>983</v>
      </c>
      <c r="I242" s="181">
        <v>2</v>
      </c>
      <c r="J242" s="173">
        <v>15</v>
      </c>
      <c r="K242" s="175" t="s">
        <v>913</v>
      </c>
      <c r="L242" s="165">
        <v>2024</v>
      </c>
      <c r="M242" s="173" t="s">
        <v>976</v>
      </c>
      <c r="N242" s="165">
        <v>3</v>
      </c>
      <c r="O242" s="165">
        <v>338</v>
      </c>
      <c r="P242" s="176">
        <v>0.75</v>
      </c>
      <c r="Q242" s="174">
        <v>-70.565700000000007</v>
      </c>
      <c r="R242" s="174">
        <v>41.325000000000003</v>
      </c>
      <c r="S242" s="177" t="s">
        <v>172</v>
      </c>
      <c r="T242" s="177">
        <v>25</v>
      </c>
      <c r="U242" s="178" t="s">
        <v>516</v>
      </c>
      <c r="V242" s="167"/>
    </row>
    <row r="243" spans="1:22" ht="15">
      <c r="A243" s="180" t="s">
        <v>500</v>
      </c>
      <c r="B243" s="173" t="s">
        <v>511</v>
      </c>
      <c r="C243" s="165" t="s">
        <v>984</v>
      </c>
      <c r="D243" s="174" t="s">
        <v>910</v>
      </c>
      <c r="E243" s="165" t="s">
        <v>170</v>
      </c>
      <c r="F243" s="165">
        <v>535</v>
      </c>
      <c r="G243" s="165" t="s">
        <v>985</v>
      </c>
      <c r="H243" s="165" t="s">
        <v>986</v>
      </c>
      <c r="I243" s="181">
        <v>11</v>
      </c>
      <c r="J243" s="173">
        <v>15</v>
      </c>
      <c r="K243" s="175" t="s">
        <v>913</v>
      </c>
      <c r="L243" s="165">
        <v>2024</v>
      </c>
      <c r="M243" s="173" t="s">
        <v>976</v>
      </c>
      <c r="N243" s="165">
        <v>18</v>
      </c>
      <c r="O243" s="165">
        <v>353</v>
      </c>
      <c r="P243" s="176">
        <v>0.69791666666666663</v>
      </c>
      <c r="Q243" s="174">
        <v>-70.565700000000007</v>
      </c>
      <c r="R243" s="174">
        <v>41.325000000000003</v>
      </c>
      <c r="S243" s="177" t="s">
        <v>172</v>
      </c>
      <c r="T243" s="177">
        <v>25</v>
      </c>
      <c r="U243" s="178" t="s">
        <v>516</v>
      </c>
      <c r="V243" s="167"/>
    </row>
    <row r="244" spans="1:22" ht="15">
      <c r="A244" s="180" t="s">
        <v>501</v>
      </c>
      <c r="B244" s="173" t="s">
        <v>511</v>
      </c>
      <c r="C244" s="165" t="s">
        <v>987</v>
      </c>
      <c r="D244" s="174" t="s">
        <v>910</v>
      </c>
      <c r="E244" s="165" t="s">
        <v>170</v>
      </c>
      <c r="F244" s="165">
        <v>535</v>
      </c>
      <c r="G244" s="165" t="s">
        <v>985</v>
      </c>
      <c r="H244" s="165" t="s">
        <v>988</v>
      </c>
      <c r="I244" s="181">
        <v>6</v>
      </c>
      <c r="J244" s="173">
        <v>15</v>
      </c>
      <c r="K244" s="175" t="s">
        <v>913</v>
      </c>
      <c r="L244" s="165">
        <v>2024</v>
      </c>
      <c r="M244" s="173" t="s">
        <v>976</v>
      </c>
      <c r="N244" s="165">
        <v>18</v>
      </c>
      <c r="O244" s="165">
        <v>353</v>
      </c>
      <c r="P244" s="176">
        <v>0.69791666666666663</v>
      </c>
      <c r="Q244" s="174">
        <v>-70.565700000000007</v>
      </c>
      <c r="R244" s="174">
        <v>41.325000000000003</v>
      </c>
      <c r="S244" s="177" t="s">
        <v>172</v>
      </c>
      <c r="T244" s="177">
        <v>25</v>
      </c>
      <c r="U244" s="178" t="s">
        <v>516</v>
      </c>
      <c r="V244" s="167"/>
    </row>
    <row r="245" spans="1:22" ht="15">
      <c r="A245" s="180" t="s">
        <v>502</v>
      </c>
      <c r="B245" s="173" t="s">
        <v>511</v>
      </c>
      <c r="C245" s="165" t="s">
        <v>989</v>
      </c>
      <c r="D245" s="174" t="s">
        <v>910</v>
      </c>
      <c r="E245" s="165" t="s">
        <v>170</v>
      </c>
      <c r="F245" s="165">
        <v>535</v>
      </c>
      <c r="G245" s="165" t="s">
        <v>985</v>
      </c>
      <c r="H245" s="165" t="s">
        <v>990</v>
      </c>
      <c r="I245" s="181">
        <v>2</v>
      </c>
      <c r="J245" s="173">
        <v>15</v>
      </c>
      <c r="K245" s="175" t="s">
        <v>913</v>
      </c>
      <c r="L245" s="165">
        <v>2024</v>
      </c>
      <c r="M245" s="173" t="s">
        <v>976</v>
      </c>
      <c r="N245" s="165">
        <v>18</v>
      </c>
      <c r="O245" s="165">
        <v>353</v>
      </c>
      <c r="P245" s="176">
        <v>0.69791666666666663</v>
      </c>
      <c r="Q245" s="174">
        <v>-70.565700000000007</v>
      </c>
      <c r="R245" s="174">
        <v>41.325000000000003</v>
      </c>
      <c r="S245" s="177" t="s">
        <v>172</v>
      </c>
      <c r="T245" s="177">
        <v>25</v>
      </c>
      <c r="U245" s="178" t="s">
        <v>516</v>
      </c>
      <c r="V245" s="167"/>
    </row>
    <row r="246" spans="1:22" ht="15">
      <c r="A246" s="180" t="s">
        <v>503</v>
      </c>
      <c r="B246" s="173" t="s">
        <v>511</v>
      </c>
      <c r="C246" s="165" t="s">
        <v>991</v>
      </c>
      <c r="D246" s="174" t="s">
        <v>910</v>
      </c>
      <c r="E246" s="165" t="s">
        <v>170</v>
      </c>
      <c r="F246" s="165">
        <v>535</v>
      </c>
      <c r="G246" s="165" t="s">
        <v>992</v>
      </c>
      <c r="H246" s="165" t="s">
        <v>993</v>
      </c>
      <c r="I246" s="165">
        <v>0</v>
      </c>
      <c r="J246" s="173">
        <v>15</v>
      </c>
      <c r="K246" s="175" t="s">
        <v>913</v>
      </c>
      <c r="L246" s="165">
        <v>2025</v>
      </c>
      <c r="M246" s="173" t="s">
        <v>792</v>
      </c>
      <c r="N246" s="165">
        <v>13</v>
      </c>
      <c r="O246" s="165">
        <v>13</v>
      </c>
      <c r="P246" s="176">
        <v>0.66666666666666663</v>
      </c>
      <c r="Q246" s="174">
        <v>-70.565700000000007</v>
      </c>
      <c r="R246" s="174">
        <v>41.325000000000003</v>
      </c>
      <c r="S246" s="177" t="s">
        <v>172</v>
      </c>
      <c r="T246" s="177">
        <v>25</v>
      </c>
      <c r="U246" s="178" t="s">
        <v>516</v>
      </c>
      <c r="V246" s="167"/>
    </row>
    <row r="247" spans="1:22" ht="15">
      <c r="A247" s="180" t="s">
        <v>505</v>
      </c>
      <c r="B247" s="173" t="s">
        <v>511</v>
      </c>
      <c r="C247" s="179" t="s">
        <v>994</v>
      </c>
      <c r="D247" s="174" t="s">
        <v>910</v>
      </c>
      <c r="E247" s="165" t="s">
        <v>170</v>
      </c>
      <c r="F247" s="165">
        <v>535</v>
      </c>
      <c r="G247" s="165" t="s">
        <v>995</v>
      </c>
      <c r="H247" s="165" t="s">
        <v>996</v>
      </c>
      <c r="I247" s="165">
        <v>0</v>
      </c>
      <c r="J247" s="173">
        <v>15</v>
      </c>
      <c r="K247" s="175" t="s">
        <v>913</v>
      </c>
      <c r="L247" s="165">
        <v>2025</v>
      </c>
      <c r="M247" s="173" t="s">
        <v>997</v>
      </c>
      <c r="N247" s="165">
        <v>26</v>
      </c>
      <c r="O247" s="165">
        <v>85</v>
      </c>
      <c r="P247" s="176">
        <v>0.66666666666666663</v>
      </c>
      <c r="Q247" s="174">
        <v>-70.565700000000007</v>
      </c>
      <c r="R247" s="174">
        <v>41.325000000000003</v>
      </c>
      <c r="S247" s="177" t="s">
        <v>172</v>
      </c>
      <c r="T247" s="177">
        <v>25</v>
      </c>
      <c r="U247" s="178" t="s">
        <v>516</v>
      </c>
      <c r="V247" s="167"/>
    </row>
    <row r="248" spans="1:22" ht="15">
      <c r="A248" s="180" t="s">
        <v>506</v>
      </c>
      <c r="B248" s="173" t="s">
        <v>511</v>
      </c>
      <c r="C248" s="165" t="s">
        <v>998</v>
      </c>
      <c r="D248" s="174" t="s">
        <v>910</v>
      </c>
      <c r="E248" s="165" t="s">
        <v>170</v>
      </c>
      <c r="F248" s="165">
        <v>535</v>
      </c>
      <c r="G248" s="165" t="s">
        <v>999</v>
      </c>
      <c r="H248" s="165" t="s">
        <v>1000</v>
      </c>
      <c r="I248" s="181">
        <v>12</v>
      </c>
      <c r="J248" s="173">
        <v>15</v>
      </c>
      <c r="K248" s="175" t="s">
        <v>913</v>
      </c>
      <c r="L248" s="165">
        <v>2025</v>
      </c>
      <c r="M248" s="173" t="s">
        <v>851</v>
      </c>
      <c r="N248" s="165">
        <v>14</v>
      </c>
      <c r="O248" s="165">
        <v>104</v>
      </c>
      <c r="P248" s="176">
        <v>0.74444444444444446</v>
      </c>
      <c r="Q248" s="174">
        <v>-70.565700000000007</v>
      </c>
      <c r="R248" s="174">
        <v>41.325000000000003</v>
      </c>
      <c r="S248" s="177" t="s">
        <v>172</v>
      </c>
      <c r="T248" s="177">
        <v>25</v>
      </c>
      <c r="U248" s="178" t="s">
        <v>516</v>
      </c>
      <c r="V248" s="167"/>
    </row>
    <row r="249" spans="1:22" ht="15">
      <c r="A249" s="180" t="s">
        <v>507</v>
      </c>
      <c r="B249" s="173" t="s">
        <v>511</v>
      </c>
      <c r="C249" s="165" t="s">
        <v>1001</v>
      </c>
      <c r="D249" s="174" t="s">
        <v>910</v>
      </c>
      <c r="E249" s="165" t="s">
        <v>170</v>
      </c>
      <c r="F249" s="165">
        <v>535</v>
      </c>
      <c r="G249" s="165" t="s">
        <v>999</v>
      </c>
      <c r="H249" s="165" t="s">
        <v>1002</v>
      </c>
      <c r="I249" s="181">
        <v>6</v>
      </c>
      <c r="J249" s="173">
        <v>15</v>
      </c>
      <c r="K249" s="175" t="s">
        <v>913</v>
      </c>
      <c r="L249" s="165">
        <v>2025</v>
      </c>
      <c r="M249" s="173" t="s">
        <v>851</v>
      </c>
      <c r="N249" s="165">
        <v>14</v>
      </c>
      <c r="O249" s="165">
        <v>104</v>
      </c>
      <c r="P249" s="176">
        <v>0.74444444444444446</v>
      </c>
      <c r="Q249" s="174">
        <v>-70.565700000000007</v>
      </c>
      <c r="R249" s="174">
        <v>41.325000000000003</v>
      </c>
      <c r="S249" s="177" t="s">
        <v>172</v>
      </c>
      <c r="T249" s="177">
        <v>25</v>
      </c>
      <c r="U249" s="178" t="s">
        <v>516</v>
      </c>
      <c r="V249" s="167"/>
    </row>
    <row r="250" spans="1:22" ht="15">
      <c r="A250" s="180" t="s">
        <v>508</v>
      </c>
      <c r="B250" s="173" t="s">
        <v>511</v>
      </c>
      <c r="C250" s="165" t="s">
        <v>1003</v>
      </c>
      <c r="D250" s="174" t="s">
        <v>910</v>
      </c>
      <c r="E250" s="165" t="s">
        <v>170</v>
      </c>
      <c r="F250" s="165">
        <v>535</v>
      </c>
      <c r="G250" s="165" t="s">
        <v>999</v>
      </c>
      <c r="H250" s="165" t="s">
        <v>1004</v>
      </c>
      <c r="I250" s="181">
        <v>2</v>
      </c>
      <c r="J250" s="173">
        <v>15</v>
      </c>
      <c r="K250" s="175" t="s">
        <v>913</v>
      </c>
      <c r="L250" s="165">
        <v>2025</v>
      </c>
      <c r="M250" s="173" t="s">
        <v>851</v>
      </c>
      <c r="N250" s="165">
        <v>14</v>
      </c>
      <c r="O250" s="165">
        <v>104</v>
      </c>
      <c r="P250" s="176">
        <v>0.74444444444444446</v>
      </c>
      <c r="Q250" s="174">
        <v>-70.565700000000007</v>
      </c>
      <c r="R250" s="174">
        <v>41.325000000000003</v>
      </c>
      <c r="S250" s="177" t="s">
        <v>172</v>
      </c>
      <c r="T250" s="177">
        <v>25</v>
      </c>
      <c r="U250" s="178" t="s">
        <v>516</v>
      </c>
      <c r="V250" s="167"/>
    </row>
    <row r="251" spans="1:22" ht="15">
      <c r="A251" s="180" t="s">
        <v>509</v>
      </c>
      <c r="B251" s="173" t="s">
        <v>511</v>
      </c>
      <c r="C251" s="165" t="s">
        <v>1005</v>
      </c>
      <c r="D251" s="174" t="s">
        <v>910</v>
      </c>
      <c r="E251" s="165" t="s">
        <v>170</v>
      </c>
      <c r="F251" s="165">
        <v>535</v>
      </c>
      <c r="G251" s="165" t="s">
        <v>1006</v>
      </c>
      <c r="H251" s="165" t="s">
        <v>1007</v>
      </c>
      <c r="I251" s="165">
        <v>0</v>
      </c>
      <c r="J251" s="173">
        <v>15</v>
      </c>
      <c r="K251" s="175" t="s">
        <v>913</v>
      </c>
      <c r="L251" s="165">
        <v>2025</v>
      </c>
      <c r="M251" s="173" t="s">
        <v>579</v>
      </c>
      <c r="N251" s="165">
        <v>5</v>
      </c>
      <c r="O251" s="165">
        <v>125</v>
      </c>
      <c r="P251" s="176">
        <v>0.70833333333333337</v>
      </c>
      <c r="Q251" s="174">
        <v>-70.565700000000007</v>
      </c>
      <c r="R251" s="174">
        <v>41.325000000000003</v>
      </c>
      <c r="S251" s="177" t="s">
        <v>172</v>
      </c>
      <c r="T251" s="177">
        <v>25</v>
      </c>
      <c r="U251" s="178" t="s">
        <v>516</v>
      </c>
      <c r="V251" s="167"/>
    </row>
  </sheetData>
  <phoneticPr fontId="2" type="noConversion"/>
  <conditionalFormatting sqref="V86">
    <cfRule type="cellIs" dxfId="17" priority="13" operator="equal">
      <formula>"F"</formula>
    </cfRule>
    <cfRule type="cellIs" dxfId="16" priority="14" operator="equal">
      <formula>"R"</formula>
    </cfRule>
    <cfRule type="cellIs" dxfId="15" priority="15" operator="equal">
      <formula>"D"</formula>
    </cfRule>
    <cfRule type="cellIs" dxfId="14" priority="16" operator="equal">
      <formula>"Y"</formula>
    </cfRule>
    <cfRule type="cellIs" dxfId="13" priority="17" operator="equal">
      <formula>"N"</formula>
    </cfRule>
    <cfRule type="containsBlanks" dxfId="12" priority="18">
      <formula>LEN(TRIM(V86))=0</formula>
    </cfRule>
  </conditionalFormatting>
  <conditionalFormatting sqref="V112">
    <cfRule type="cellIs" dxfId="11" priority="7" operator="equal">
      <formula>"F"</formula>
    </cfRule>
    <cfRule type="cellIs" dxfId="10" priority="8" operator="equal">
      <formula>"R"</formula>
    </cfRule>
    <cfRule type="cellIs" dxfId="9" priority="9" operator="equal">
      <formula>"D"</formula>
    </cfRule>
    <cfRule type="cellIs" dxfId="8" priority="10" operator="equal">
      <formula>"Y"</formula>
    </cfRule>
    <cfRule type="cellIs" dxfId="7" priority="11" operator="equal">
      <formula>"N"</formula>
    </cfRule>
    <cfRule type="containsBlanks" dxfId="6" priority="12">
      <formula>LEN(TRIM(V112))=0</formula>
    </cfRule>
  </conditionalFormatting>
  <conditionalFormatting sqref="V178">
    <cfRule type="cellIs" dxfId="5" priority="1" operator="equal">
      <formula>"F"</formula>
    </cfRule>
    <cfRule type="cellIs" dxfId="4" priority="2" operator="equal">
      <formula>"R"</formula>
    </cfRule>
    <cfRule type="cellIs" dxfId="3" priority="3" operator="equal">
      <formula>"D"</formula>
    </cfRule>
    <cfRule type="cellIs" dxfId="2" priority="4" operator="equal">
      <formula>"Y"</formula>
    </cfRule>
    <cfRule type="cellIs" dxfId="1" priority="5" operator="equal">
      <formula>"N"</formula>
    </cfRule>
    <cfRule type="containsBlanks" dxfId="0" priority="6">
      <formula>LEN(TRIM(V178))=0</formula>
    </cfRule>
  </conditionalFormatting>
  <pageMargins left="0.75" right="0.75" top="1" bottom="1" header="0.5" footer="0.5"/>
  <pageSetup orientation="portrait"/>
  <legacy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O103"/>
  <sheetViews>
    <sheetView workbookViewId="0"/>
  </sheetViews>
  <sheetFormatPr defaultColWidth="10.85546875" defaultRowHeight="15"/>
  <cols>
    <col min="1" max="1" width="24.5703125" style="75" customWidth="1"/>
    <col min="2" max="2" width="17.140625" style="75" customWidth="1"/>
    <col min="3" max="3" width="20.42578125" style="75" customWidth="1"/>
    <col min="4" max="4" width="17.85546875" style="75" customWidth="1"/>
    <col min="5" max="11" width="10.85546875" style="75"/>
    <col min="12" max="12" width="16" style="75" customWidth="1"/>
    <col min="13" max="13" width="16.28515625" style="75" customWidth="1"/>
    <col min="14" max="14" width="55.140625" style="75" customWidth="1"/>
    <col min="15" max="16384" width="10.85546875" style="75"/>
  </cols>
  <sheetData>
    <row r="2" spans="1:15" ht="18.95" customHeight="1">
      <c r="A2" s="96" t="s">
        <v>123</v>
      </c>
    </row>
    <row r="4" spans="1:15" ht="17.100000000000001" customHeight="1">
      <c r="B4" s="97" t="s">
        <v>107</v>
      </c>
      <c r="C4" s="97" t="s">
        <v>110</v>
      </c>
      <c r="D4" s="97"/>
      <c r="E4" s="97"/>
    </row>
    <row r="5" spans="1:15" ht="32.1" customHeight="1">
      <c r="B5" s="98" t="s">
        <v>108</v>
      </c>
      <c r="C5" s="98" t="s">
        <v>109</v>
      </c>
      <c r="D5" s="97" t="s">
        <v>40</v>
      </c>
      <c r="E5" s="97" t="s">
        <v>41</v>
      </c>
      <c r="M5" s="98" t="s">
        <v>113</v>
      </c>
      <c r="N5" s="97" t="s">
        <v>103</v>
      </c>
      <c r="O5" s="97" t="s">
        <v>41</v>
      </c>
    </row>
    <row r="6" spans="1:15" ht="14.1" customHeight="1">
      <c r="A6" s="97" t="s">
        <v>39</v>
      </c>
      <c r="B6" s="75" t="s">
        <v>13</v>
      </c>
      <c r="C6" s="75" t="s">
        <v>13</v>
      </c>
      <c r="D6" s="75" t="s">
        <v>38</v>
      </c>
      <c r="M6" s="75" t="s">
        <v>52</v>
      </c>
      <c r="N6" s="75" t="s">
        <v>53</v>
      </c>
      <c r="O6" s="75" t="s">
        <v>117</v>
      </c>
    </row>
    <row r="7" spans="1:15" ht="14.1" customHeight="1">
      <c r="B7" s="75" t="s">
        <v>42</v>
      </c>
      <c r="C7" s="75" t="s">
        <v>18</v>
      </c>
      <c r="D7" s="75" t="s">
        <v>43</v>
      </c>
      <c r="E7" s="75" t="s">
        <v>44</v>
      </c>
      <c r="M7" s="75" t="s">
        <v>70</v>
      </c>
      <c r="N7" s="75" t="s">
        <v>71</v>
      </c>
      <c r="O7" s="75" t="s">
        <v>72</v>
      </c>
    </row>
    <row r="8" spans="1:15" ht="14.1" customHeight="1">
      <c r="B8" s="75" t="s">
        <v>36</v>
      </c>
      <c r="C8" s="75" t="s">
        <v>7</v>
      </c>
      <c r="D8" s="75" t="s">
        <v>45</v>
      </c>
      <c r="M8" s="75" t="s">
        <v>194</v>
      </c>
      <c r="N8" s="75" t="s">
        <v>119</v>
      </c>
      <c r="O8" s="75" t="s">
        <v>73</v>
      </c>
    </row>
    <row r="9" spans="1:15" ht="14.1" customHeight="1">
      <c r="B9" s="75" t="s">
        <v>12</v>
      </c>
      <c r="C9" s="75" t="s">
        <v>49</v>
      </c>
      <c r="D9" s="75" t="s">
        <v>50</v>
      </c>
      <c r="M9" s="75" t="s">
        <v>195</v>
      </c>
      <c r="N9" s="75" t="s">
        <v>120</v>
      </c>
      <c r="O9" s="75" t="s">
        <v>112</v>
      </c>
    </row>
    <row r="10" spans="1:15" ht="14.1" customHeight="1">
      <c r="B10" s="75" t="s">
        <v>14</v>
      </c>
      <c r="C10" s="75" t="s">
        <v>14</v>
      </c>
      <c r="D10" s="75" t="s">
        <v>51</v>
      </c>
      <c r="M10" s="75" t="s">
        <v>74</v>
      </c>
      <c r="N10" s="75" t="s">
        <v>75</v>
      </c>
      <c r="O10" s="75" t="s">
        <v>76</v>
      </c>
    </row>
    <row r="11" spans="1:15" ht="14.1" customHeight="1">
      <c r="B11" s="75" t="s">
        <v>5</v>
      </c>
      <c r="C11" s="75" t="s">
        <v>5</v>
      </c>
      <c r="D11" s="75" t="s">
        <v>147</v>
      </c>
      <c r="M11" s="75" t="s">
        <v>196</v>
      </c>
      <c r="N11" s="75" t="s">
        <v>121</v>
      </c>
      <c r="O11" s="75" t="s">
        <v>115</v>
      </c>
    </row>
    <row r="12" spans="1:15" ht="14.1" customHeight="1">
      <c r="B12" s="75" t="s">
        <v>37</v>
      </c>
      <c r="C12" s="75" t="s">
        <v>11</v>
      </c>
      <c r="D12" s="75" t="s">
        <v>59</v>
      </c>
      <c r="M12" s="75" t="s">
        <v>77</v>
      </c>
      <c r="N12" s="75" t="s">
        <v>78</v>
      </c>
      <c r="O12" s="75" t="s">
        <v>114</v>
      </c>
    </row>
    <row r="13" spans="1:15" ht="14.1" customHeight="1">
      <c r="B13" s="75" t="s">
        <v>4</v>
      </c>
      <c r="C13" s="75" t="s">
        <v>4</v>
      </c>
      <c r="D13" s="75" t="s">
        <v>254</v>
      </c>
      <c r="M13" s="75" t="s">
        <v>197</v>
      </c>
      <c r="N13" s="75" t="s">
        <v>122</v>
      </c>
      <c r="O13" s="75" t="s">
        <v>111</v>
      </c>
    </row>
    <row r="14" spans="1:15" ht="14.1" customHeight="1">
      <c r="B14" s="75" t="s">
        <v>89</v>
      </c>
      <c r="C14" s="75" t="s">
        <v>35</v>
      </c>
      <c r="D14" s="75" t="s">
        <v>94</v>
      </c>
      <c r="E14" s="75" t="s">
        <v>98</v>
      </c>
      <c r="M14" s="75" t="s">
        <v>203</v>
      </c>
      <c r="N14" s="75" t="s">
        <v>79</v>
      </c>
      <c r="O14" s="75" t="s">
        <v>80</v>
      </c>
    </row>
    <row r="15" spans="1:15" ht="14.1" customHeight="1">
      <c r="B15" s="75" t="s">
        <v>91</v>
      </c>
      <c r="C15" s="75" t="s">
        <v>92</v>
      </c>
      <c r="D15" s="75" t="s">
        <v>95</v>
      </c>
      <c r="E15" s="75" t="s">
        <v>99</v>
      </c>
      <c r="M15" s="75" t="s">
        <v>204</v>
      </c>
      <c r="N15" s="75" t="s">
        <v>81</v>
      </c>
      <c r="O15" s="75" t="s">
        <v>82</v>
      </c>
    </row>
    <row r="16" spans="1:15" ht="14.1" customHeight="1">
      <c r="B16" s="75" t="s">
        <v>90</v>
      </c>
      <c r="C16" s="75" t="s">
        <v>93</v>
      </c>
      <c r="D16" s="75" t="s">
        <v>96</v>
      </c>
      <c r="E16" s="75" t="s">
        <v>175</v>
      </c>
      <c r="M16" s="75" t="s">
        <v>198</v>
      </c>
      <c r="N16" s="75" t="s">
        <v>83</v>
      </c>
      <c r="O16" s="75" t="s">
        <v>84</v>
      </c>
    </row>
    <row r="17" spans="1:15" ht="14.1" customHeight="1">
      <c r="B17" s="75" t="s">
        <v>15</v>
      </c>
      <c r="C17" s="75" t="s">
        <v>15</v>
      </c>
      <c r="D17" s="75" t="s">
        <v>255</v>
      </c>
      <c r="M17" s="75" t="s">
        <v>199</v>
      </c>
      <c r="N17" s="75" t="s">
        <v>85</v>
      </c>
      <c r="O17" s="75" t="s">
        <v>86</v>
      </c>
    </row>
    <row r="18" spans="1:15" ht="14.1" customHeight="1">
      <c r="M18" s="75" t="s">
        <v>200</v>
      </c>
      <c r="N18" s="75" t="s">
        <v>87</v>
      </c>
      <c r="O18" s="75" t="s">
        <v>28</v>
      </c>
    </row>
    <row r="19" spans="1:15" ht="14.1" customHeight="1">
      <c r="M19" s="75" t="s">
        <v>201</v>
      </c>
      <c r="N19" s="75" t="s">
        <v>88</v>
      </c>
      <c r="O19" s="75" t="s">
        <v>116</v>
      </c>
    </row>
    <row r="20" spans="1:15" ht="14.1" customHeight="1">
      <c r="A20" s="97" t="s">
        <v>104</v>
      </c>
      <c r="B20" s="75" t="s">
        <v>46</v>
      </c>
      <c r="C20" s="75" t="s">
        <v>6</v>
      </c>
      <c r="D20" s="75" t="s">
        <v>270</v>
      </c>
      <c r="M20" s="75" t="s">
        <v>202</v>
      </c>
      <c r="N20" s="75" t="s">
        <v>97</v>
      </c>
      <c r="O20" s="75" t="s">
        <v>118</v>
      </c>
    </row>
    <row r="21" spans="1:15" ht="14.1" customHeight="1">
      <c r="B21" s="75" t="s">
        <v>47</v>
      </c>
      <c r="C21" s="75" t="s">
        <v>19</v>
      </c>
      <c r="D21" s="75" t="s">
        <v>48</v>
      </c>
    </row>
    <row r="22" spans="1:15" ht="14.1" customHeight="1">
      <c r="B22" s="75" t="s">
        <v>54</v>
      </c>
      <c r="C22" s="75" t="s">
        <v>56</v>
      </c>
      <c r="D22" s="75" t="s">
        <v>266</v>
      </c>
    </row>
    <row r="23" spans="1:15" ht="14.1" customHeight="1">
      <c r="B23" s="75" t="s">
        <v>55</v>
      </c>
      <c r="C23" s="75" t="s">
        <v>57</v>
      </c>
      <c r="D23" s="75" t="s">
        <v>269</v>
      </c>
    </row>
    <row r="24" spans="1:15" ht="14.1" customHeight="1">
      <c r="B24" s="75" t="s">
        <v>60</v>
      </c>
      <c r="C24" s="75" t="s">
        <v>62</v>
      </c>
      <c r="D24" s="75" t="s">
        <v>267</v>
      </c>
    </row>
    <row r="25" spans="1:15" ht="14.1" customHeight="1">
      <c r="B25" s="75" t="s">
        <v>61</v>
      </c>
      <c r="C25" s="75" t="s">
        <v>63</v>
      </c>
      <c r="D25" s="75" t="s">
        <v>268</v>
      </c>
    </row>
    <row r="26" spans="1:15" ht="14.1" customHeight="1">
      <c r="B26" s="75" t="s">
        <v>174</v>
      </c>
      <c r="C26" s="75" t="s">
        <v>100</v>
      </c>
      <c r="D26" s="75" t="s">
        <v>256</v>
      </c>
    </row>
    <row r="27" spans="1:15" ht="14.1" customHeight="1">
      <c r="C27" s="75" t="s">
        <v>101</v>
      </c>
      <c r="D27" s="75" t="s">
        <v>102</v>
      </c>
    </row>
    <row r="28" spans="1:15" ht="14.1" customHeight="1"/>
    <row r="29" spans="1:15" ht="14.1" customHeight="1"/>
    <row r="30" spans="1:15" ht="14.1" customHeight="1"/>
    <row r="31" spans="1:15" ht="14.1" customHeight="1">
      <c r="A31" s="97" t="s">
        <v>105</v>
      </c>
      <c r="B31" s="75" t="s">
        <v>16</v>
      </c>
      <c r="C31" s="75" t="s">
        <v>16</v>
      </c>
      <c r="D31" s="75" t="s">
        <v>249</v>
      </c>
    </row>
    <row r="32" spans="1:15" ht="14.1" customHeight="1">
      <c r="B32" s="75" t="s">
        <v>8</v>
      </c>
      <c r="C32" s="75" t="s">
        <v>8</v>
      </c>
      <c r="D32" s="75" t="s">
        <v>250</v>
      </c>
    </row>
    <row r="33" spans="1:5" ht="14.1" customHeight="1">
      <c r="B33" s="75" t="s">
        <v>64</v>
      </c>
      <c r="C33" s="75" t="s">
        <v>21</v>
      </c>
      <c r="D33" s="75" t="s">
        <v>68</v>
      </c>
      <c r="E33" s="75" t="s">
        <v>69</v>
      </c>
    </row>
    <row r="34" spans="1:5" ht="14.1" customHeight="1">
      <c r="B34" s="75" t="s">
        <v>65</v>
      </c>
      <c r="C34" s="75" t="s">
        <v>20</v>
      </c>
      <c r="D34" s="75" t="s">
        <v>67</v>
      </c>
      <c r="E34" s="75" t="s">
        <v>66</v>
      </c>
    </row>
    <row r="35" spans="1:5" ht="14.1" customHeight="1">
      <c r="B35" s="75" t="s">
        <v>9</v>
      </c>
      <c r="C35" s="75" t="s">
        <v>9</v>
      </c>
      <c r="D35" s="75" t="s">
        <v>251</v>
      </c>
    </row>
    <row r="36" spans="1:5" ht="14.1" customHeight="1">
      <c r="B36" s="75" t="s">
        <v>10</v>
      </c>
      <c r="C36" s="75" t="s">
        <v>10</v>
      </c>
      <c r="D36" s="75" t="s">
        <v>252</v>
      </c>
    </row>
    <row r="37" spans="1:5" ht="14.1" customHeight="1"/>
    <row r="38" spans="1:5" ht="14.1" customHeight="1">
      <c r="A38" s="97" t="s">
        <v>106</v>
      </c>
      <c r="B38" s="75" t="s">
        <v>58</v>
      </c>
      <c r="C38" s="75" t="s">
        <v>17</v>
      </c>
      <c r="D38" s="75" t="s">
        <v>253</v>
      </c>
    </row>
    <row r="41" spans="1:5" ht="18.95" customHeight="1">
      <c r="A41" s="96" t="s">
        <v>132</v>
      </c>
    </row>
    <row r="42" spans="1:5" ht="15.95" customHeight="1">
      <c r="A42" s="75" t="s">
        <v>149</v>
      </c>
    </row>
    <row r="43" spans="1:5" ht="15.95" customHeight="1">
      <c r="A43" s="75" t="s">
        <v>150</v>
      </c>
    </row>
    <row r="44" spans="1:5" ht="18.95" customHeight="1">
      <c r="A44" s="97"/>
    </row>
    <row r="45" spans="1:5" ht="18.95" customHeight="1">
      <c r="A45" s="96" t="s">
        <v>133</v>
      </c>
    </row>
    <row r="46" spans="1:5" ht="15.95" customHeight="1">
      <c r="A46" s="75" t="s">
        <v>124</v>
      </c>
    </row>
    <row r="47" spans="1:5" ht="15.95" customHeight="1">
      <c r="A47" s="75" t="s">
        <v>125</v>
      </c>
    </row>
    <row r="48" spans="1:5" ht="15.95" customHeight="1">
      <c r="A48" s="75" t="s">
        <v>126</v>
      </c>
    </row>
    <row r="49" spans="1:1" ht="15.95" customHeight="1">
      <c r="A49" s="75" t="s">
        <v>151</v>
      </c>
    </row>
    <row r="50" spans="1:1" ht="15.95" customHeight="1">
      <c r="A50" s="75" t="s">
        <v>152</v>
      </c>
    </row>
    <row r="51" spans="1:1" ht="15.95" customHeight="1"/>
    <row r="52" spans="1:1" ht="18.95" customHeight="1">
      <c r="A52" s="96" t="s">
        <v>134</v>
      </c>
    </row>
    <row r="53" spans="1:1" ht="15.95" customHeight="1">
      <c r="A53" s="75" t="s">
        <v>127</v>
      </c>
    </row>
    <row r="54" spans="1:1" ht="15.95" customHeight="1">
      <c r="A54" s="75" t="s">
        <v>128</v>
      </c>
    </row>
    <row r="55" spans="1:1" ht="15.95" customHeight="1">
      <c r="A55" s="75" t="s">
        <v>129</v>
      </c>
    </row>
    <row r="56" spans="1:1" ht="15.95" customHeight="1">
      <c r="A56" s="75" t="s">
        <v>130</v>
      </c>
    </row>
    <row r="57" spans="1:1" ht="15.95" customHeight="1">
      <c r="A57" s="75" t="s">
        <v>131</v>
      </c>
    </row>
    <row r="58" spans="1:1" ht="15.95" customHeight="1"/>
    <row r="59" spans="1:1" ht="18.95" customHeight="1">
      <c r="A59" s="96" t="s">
        <v>176</v>
      </c>
    </row>
    <row r="60" spans="1:1" ht="15.95" customHeight="1">
      <c r="A60" s="75" t="s">
        <v>258</v>
      </c>
    </row>
    <row r="61" spans="1:1" ht="15.95" customHeight="1">
      <c r="A61" s="75" t="s">
        <v>153</v>
      </c>
    </row>
    <row r="62" spans="1:1" ht="15.95" customHeight="1"/>
    <row r="63" spans="1:1" ht="15.95" customHeight="1">
      <c r="A63" s="75" t="s">
        <v>192</v>
      </c>
    </row>
    <row r="65" spans="1:1" ht="18.95" customHeight="1">
      <c r="A65" s="96" t="s">
        <v>247</v>
      </c>
    </row>
    <row r="66" spans="1:1" ht="15.95" customHeight="1">
      <c r="A66" s="75" t="s">
        <v>248</v>
      </c>
    </row>
    <row r="67" spans="1:1">
      <c r="A67" s="75" t="s">
        <v>156</v>
      </c>
    </row>
    <row r="69" spans="1:1" ht="18.95" customHeight="1">
      <c r="A69" s="96" t="s">
        <v>135</v>
      </c>
    </row>
    <row r="70" spans="1:1" ht="15.95" customHeight="1">
      <c r="A70" s="75" t="s">
        <v>246</v>
      </c>
    </row>
    <row r="71" spans="1:1" ht="15.95" customHeight="1"/>
    <row r="72" spans="1:1" ht="15.95" customHeight="1">
      <c r="A72" s="75" t="s">
        <v>136</v>
      </c>
    </row>
    <row r="73" spans="1:1" ht="15.95" customHeight="1">
      <c r="A73" s="75" t="s">
        <v>145</v>
      </c>
    </row>
    <row r="74" spans="1:1" ht="15.95" customHeight="1"/>
    <row r="75" spans="1:1" ht="15.95" customHeight="1">
      <c r="A75" s="75" t="s">
        <v>137</v>
      </c>
    </row>
    <row r="76" spans="1:1" ht="15.95" customHeight="1">
      <c r="A76" s="75" t="s">
        <v>138</v>
      </c>
    </row>
    <row r="77" spans="1:1" ht="15.95" customHeight="1">
      <c r="A77" s="75" t="s">
        <v>191</v>
      </c>
    </row>
    <row r="78" spans="1:1" ht="15.95" customHeight="1"/>
    <row r="79" spans="1:1" ht="15.95" customHeight="1">
      <c r="A79" s="75" t="s">
        <v>139</v>
      </c>
    </row>
    <row r="80" spans="1:1" ht="15.95" customHeight="1">
      <c r="A80" s="75" t="s">
        <v>140</v>
      </c>
    </row>
    <row r="81" spans="1:5" ht="15.95" customHeight="1">
      <c r="A81" s="75" t="s">
        <v>141</v>
      </c>
    </row>
    <row r="82" spans="1:5" ht="15.95" customHeight="1"/>
    <row r="83" spans="1:5" ht="15.95" customHeight="1">
      <c r="A83" s="75" t="s">
        <v>142</v>
      </c>
    </row>
    <row r="84" spans="1:5" ht="15.95" customHeight="1">
      <c r="A84" s="75" t="s">
        <v>143</v>
      </c>
    </row>
    <row r="85" spans="1:5" ht="15.95" customHeight="1">
      <c r="A85" s="75" t="s">
        <v>144</v>
      </c>
    </row>
    <row r="86" spans="1:5" ht="15.95" customHeight="1"/>
    <row r="87" spans="1:5" ht="18.95" customHeight="1">
      <c r="A87" s="96" t="s">
        <v>146</v>
      </c>
    </row>
    <row r="88" spans="1:5" ht="15.95" customHeight="1">
      <c r="A88" s="75" t="s">
        <v>180</v>
      </c>
      <c r="D88" s="99"/>
      <c r="E88" s="100"/>
    </row>
    <row r="89" spans="1:5" ht="15.95" customHeight="1">
      <c r="A89" s="100" t="s">
        <v>181</v>
      </c>
    </row>
    <row r="90" spans="1:5" ht="15.95" customHeight="1">
      <c r="A90" s="75" t="s">
        <v>262</v>
      </c>
    </row>
    <row r="91" spans="1:5" ht="15.95" customHeight="1">
      <c r="A91" s="100" t="s">
        <v>263</v>
      </c>
    </row>
    <row r="92" spans="1:5" ht="15.95" customHeight="1">
      <c r="A92" s="102" t="s">
        <v>182</v>
      </c>
    </row>
    <row r="93" spans="1:5" ht="15.95" customHeight="1">
      <c r="A93" s="102" t="s">
        <v>261</v>
      </c>
      <c r="D93" s="101"/>
    </row>
    <row r="94" spans="1:5" ht="15.95" customHeight="1">
      <c r="A94" s="103" t="s">
        <v>264</v>
      </c>
    </row>
    <row r="95" spans="1:5" ht="15.95" customHeight="1">
      <c r="A95" s="102" t="s">
        <v>183</v>
      </c>
    </row>
    <row r="96" spans="1:5" ht="15.95" customHeight="1">
      <c r="A96" s="102" t="s">
        <v>188</v>
      </c>
    </row>
    <row r="97" spans="1:1" ht="15.95" customHeight="1">
      <c r="A97" s="75" t="s">
        <v>189</v>
      </c>
    </row>
    <row r="98" spans="1:1">
      <c r="A98" s="95" t="s">
        <v>190</v>
      </c>
    </row>
    <row r="99" spans="1:1">
      <c r="A99" s="103"/>
    </row>
    <row r="100" spans="1:1">
      <c r="A100" s="75" t="s">
        <v>184</v>
      </c>
    </row>
    <row r="101" spans="1:1">
      <c r="A101" s="75" t="s">
        <v>185</v>
      </c>
    </row>
    <row r="102" spans="1:1">
      <c r="A102" s="75" t="s">
        <v>154</v>
      </c>
    </row>
    <row r="103" spans="1:1">
      <c r="A103" s="75" t="s">
        <v>186</v>
      </c>
    </row>
  </sheetData>
  <hyperlinks>
    <hyperlink ref="A89" r:id="rId1" xr:uid="{1B741657-6206-469D-BB77-C1A9CF5990F1}"/>
  </hyperlinks>
  <pageMargins left="0.75" right="0.75" top="1" bottom="1" header="0.5" footer="0.5"/>
  <pageSetup orientation="portrait" horizontalDpi="4294967292" verticalDpi="4294967292"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BD1E2BB92CBC144967077C2021A537D" ma:contentTypeVersion="19" ma:contentTypeDescription="Create a new document." ma:contentTypeScope="" ma:versionID="4b2ea803c18ca04cbf42857f6565e3e4">
  <xsd:schema xmlns:xsd="http://www.w3.org/2001/XMLSchema" xmlns:xs="http://www.w3.org/2001/XMLSchema" xmlns:p="http://schemas.microsoft.com/office/2006/metadata/properties" xmlns:ns1="http://schemas.microsoft.com/sharepoint/v3" xmlns:ns3="c852713b-0caa-4ac0-ba75-048f00e27b76" xmlns:ns4="a3f7648c-ef34-4383-9913-3e4132c38d7f" targetNamespace="http://schemas.microsoft.com/office/2006/metadata/properties" ma:root="true" ma:fieldsID="723fccf9653727d53c71cbeb47770f3f" ns1:_="" ns3:_="" ns4:_="">
    <xsd:import namespace="http://schemas.microsoft.com/sharepoint/v3"/>
    <xsd:import namespace="c852713b-0caa-4ac0-ba75-048f00e27b76"/>
    <xsd:import namespace="a3f7648c-ef34-4383-9913-3e4132c38d7f"/>
    <xsd:element name="properties">
      <xsd:complexType>
        <xsd:sequence>
          <xsd:element name="documentManagement">
            <xsd:complexType>
              <xsd:all>
                <xsd:element ref="ns3:MediaServiceMetadata" minOccurs="0"/>
                <xsd:element ref="ns3:MediaServiceFastMetadata" minOccurs="0"/>
                <xsd:element ref="ns1:_ip_UnifiedCompliancePolicyProperties" minOccurs="0"/>
                <xsd:element ref="ns1:_ip_UnifiedCompliancePolicyUIAction"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4:SharedWithUsers" minOccurs="0"/>
                <xsd:element ref="ns4:SharedWithDetails" minOccurs="0"/>
                <xsd:element ref="ns4:SharingHintHash"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52713b-0caa-4ac0-ba75-048f00e27b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f7648c-ef34-4383-9913-3e4132c38d7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c852713b-0caa-4ac0-ba75-048f00e27b76" xsi:nil="true"/>
  </documentManagement>
</p:properties>
</file>

<file path=customXml/itemProps1.xml><?xml version="1.0" encoding="utf-8"?>
<ds:datastoreItem xmlns:ds="http://schemas.openxmlformats.org/officeDocument/2006/customXml" ds:itemID="{D0BB46CC-0EA5-4F19-A000-EF1669A63BF1}">
  <ds:schemaRefs>
    <ds:schemaRef ds:uri="http://schemas.microsoft.com/sharepoint/v3/contenttype/forms"/>
  </ds:schemaRefs>
</ds:datastoreItem>
</file>

<file path=customXml/itemProps2.xml><?xml version="1.0" encoding="utf-8"?>
<ds:datastoreItem xmlns:ds="http://schemas.openxmlformats.org/officeDocument/2006/customXml" ds:itemID="{5E39EF35-FB5F-453B-AEBC-2093C0C0F7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852713b-0caa-4ac0-ba75-048f00e27b76"/>
    <ds:schemaRef ds:uri="a3f7648c-ef34-4383-9913-3e4132c38d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562002-5AF1-4D8D-A3E3-DD9A9080D241}">
  <ds:schemaRefs>
    <ds:schemaRef ds:uri="http://purl.org/dc/terms/"/>
    <ds:schemaRef ds:uri="a3f7648c-ef34-4383-9913-3e4132c38d7f"/>
    <ds:schemaRef ds:uri="http://schemas.microsoft.com/office/2006/documentManagement/types"/>
    <ds:schemaRef ds:uri="http://schemas.microsoft.com/office/infopath/2007/PartnerControls"/>
    <ds:schemaRef ds:uri="http://purl.org/dc/elements/1.1/"/>
    <ds:schemaRef ds:uri="http://schemas.microsoft.com/office/2006/metadata/properties"/>
    <ds:schemaRef ds:uri="c852713b-0caa-4ac0-ba75-048f00e27b76"/>
    <ds:schemaRef ds:uri="http://schemas.microsoft.com/sharepoint/v3"/>
    <ds:schemaRef ds:uri="http://schemas.openxmlformats.org/package/2006/metadata/core-properties"/>
    <ds:schemaRef ds:uri="http://www.w3.org/XML/1998/namespace"/>
    <ds:schemaRef ds:uri="http://purl.org/dc/dcmitype/"/>
  </ds:schemaRefs>
</ds:datastoreItem>
</file>

<file path=docMetadata/LabelInfo.xml><?xml version="1.0" encoding="utf-8"?>
<clbl:labelList xmlns:clbl="http://schemas.microsoft.com/office/2020/mipLabelMetadata">
  <clbl:label id="{7005d458-45be-48ae-8140-d43da96dd17b}" enabled="0" method="" siteId="{7005d458-45be-48ae-8140-d43da96dd17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Report</vt:lpstr>
      <vt:lpstr>Analysis precision</vt:lpstr>
      <vt:lpstr>Replicate filter precision</vt:lpstr>
      <vt:lpstr>Effective LOQ</vt:lpstr>
      <vt:lpstr>SS from PSO</vt:lpstr>
      <vt:lpstr>information</vt:lpstr>
      <vt:lpstr>Eff LOQ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Thomas</dc:creator>
  <cp:lastModifiedBy>Taylor Crockford</cp:lastModifiedBy>
  <cp:lastPrinted>2019-04-01T17:07:20Z</cp:lastPrinted>
  <dcterms:created xsi:type="dcterms:W3CDTF">2003-07-28T19:31:27Z</dcterms:created>
  <dcterms:modified xsi:type="dcterms:W3CDTF">2026-02-03T21:16:59Z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0x0101002BD1E2BB92CBC144967077C2021A537D</vt:lpwstr>
  </property>
</Properties>
</file>