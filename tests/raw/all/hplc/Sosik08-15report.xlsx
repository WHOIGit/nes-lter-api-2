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sosiknas1\Lab_data\LTER\HPLC\data\"/>
    </mc:Choice>
  </mc:AlternateContent>
  <bookViews>
    <workbookView xWindow="0" yWindow="0" windowWidth="28800" windowHeight="14232"/>
  </bookViews>
  <sheets>
    <sheet name="Report" sheetId="47" r:id="rId1"/>
    <sheet name="Analysis precision" sheetId="61" r:id="rId2"/>
    <sheet name="Replicate filter precision" sheetId="62" r:id="rId3"/>
    <sheet name="Eff LOQ chart" sheetId="57" r:id="rId4"/>
    <sheet name="Effective LOQ" sheetId="46" r:id="rId5"/>
    <sheet name="SS from clients" sheetId="45" r:id="rId6"/>
    <sheet name="information" sheetId="56" r:id="rId7"/>
  </sheets>
  <calcPr calcId="162913"/>
  <fileRecoveryPr autoRecover="0"/>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C3" i="61" l="1"/>
  <c r="C2" i="61"/>
  <c r="C1" i="61"/>
  <c r="BJ66" i="62" l="1"/>
  <c r="BI66" i="62"/>
  <c r="BH66" i="62"/>
  <c r="BG66" i="62"/>
  <c r="BF66" i="62"/>
  <c r="BE66" i="62"/>
  <c r="BD66" i="62"/>
  <c r="BC66" i="62"/>
  <c r="BB66" i="62"/>
  <c r="BA66" i="62"/>
  <c r="AZ66" i="62"/>
  <c r="AY66" i="62"/>
  <c r="AX66" i="62"/>
  <c r="AW66" i="62"/>
  <c r="AV66" i="62"/>
  <c r="AU66" i="62"/>
  <c r="AT66" i="62"/>
  <c r="AS66" i="62"/>
  <c r="AR66" i="62"/>
  <c r="AQ66" i="62"/>
  <c r="AP66" i="62"/>
  <c r="AO66" i="62"/>
  <c r="AN66" i="62"/>
  <c r="AM66" i="62"/>
  <c r="AL66" i="62"/>
  <c r="AK66" i="62"/>
  <c r="AJ66" i="62"/>
  <c r="AI66" i="62"/>
  <c r="AH66" i="62"/>
  <c r="AG66" i="62"/>
  <c r="AF66" i="62"/>
  <c r="AE66" i="62"/>
  <c r="AD66" i="62"/>
  <c r="AC66" i="62"/>
  <c r="AB66" i="62"/>
  <c r="AA66" i="62"/>
  <c r="Z66" i="62"/>
  <c r="Y66" i="62"/>
  <c r="X66" i="62"/>
  <c r="W66" i="62"/>
  <c r="V66" i="62"/>
  <c r="BJ65" i="62"/>
  <c r="BI65" i="62"/>
  <c r="BH65" i="62"/>
  <c r="BG65" i="62"/>
  <c r="BF65" i="62"/>
  <c r="BE65" i="62"/>
  <c r="BD65" i="62"/>
  <c r="BC65" i="62"/>
  <c r="BB65" i="62"/>
  <c r="BA65" i="62"/>
  <c r="AZ65" i="62"/>
  <c r="AY65" i="62"/>
  <c r="AX65" i="62"/>
  <c r="AW65" i="62"/>
  <c r="AV65" i="62"/>
  <c r="AU65" i="62"/>
  <c r="AT65" i="62"/>
  <c r="AS65" i="62"/>
  <c r="AR65" i="62"/>
  <c r="AQ65" i="62"/>
  <c r="AP65" i="62"/>
  <c r="AO65" i="62"/>
  <c r="AN65" i="62"/>
  <c r="AM65" i="62"/>
  <c r="AL65" i="62"/>
  <c r="AK65" i="62"/>
  <c r="AJ65" i="62"/>
  <c r="AI65" i="62"/>
  <c r="AH65" i="62"/>
  <c r="AG65" i="62"/>
  <c r="AF65" i="62"/>
  <c r="AE65" i="62"/>
  <c r="AD65" i="62"/>
  <c r="AC65" i="62"/>
  <c r="AB65" i="62"/>
  <c r="AA65" i="62"/>
  <c r="Z65" i="62"/>
  <c r="Y65" i="62"/>
  <c r="X65" i="62"/>
  <c r="W65" i="62"/>
  <c r="V65" i="62"/>
  <c r="BJ61" i="62"/>
  <c r="BI61" i="62"/>
  <c r="BH61" i="62"/>
  <c r="BG61" i="62"/>
  <c r="BF61" i="62"/>
  <c r="BE61" i="62"/>
  <c r="BD61" i="62"/>
  <c r="BC61" i="62"/>
  <c r="BB61" i="62"/>
  <c r="BA61" i="62"/>
  <c r="AZ61" i="62"/>
  <c r="AY61" i="62"/>
  <c r="AX61" i="62"/>
  <c r="AW61" i="62"/>
  <c r="AV61" i="62"/>
  <c r="AU61" i="62"/>
  <c r="AT61" i="62"/>
  <c r="AS61" i="62"/>
  <c r="AR61" i="62"/>
  <c r="AQ61" i="62"/>
  <c r="AP61" i="62"/>
  <c r="AO61" i="62"/>
  <c r="AN61" i="62"/>
  <c r="AM61" i="62"/>
  <c r="AL61" i="62"/>
  <c r="AK61" i="62"/>
  <c r="AJ61" i="62"/>
  <c r="AI61" i="62"/>
  <c r="AH61" i="62"/>
  <c r="AG61" i="62"/>
  <c r="AF61" i="62"/>
  <c r="AE61" i="62"/>
  <c r="AD61" i="62"/>
  <c r="AC61" i="62"/>
  <c r="AB61" i="62"/>
  <c r="AA61" i="62"/>
  <c r="Z61" i="62"/>
  <c r="Y61" i="62"/>
  <c r="X61" i="62"/>
  <c r="W61" i="62"/>
  <c r="V61" i="62"/>
  <c r="BJ60" i="62"/>
  <c r="BI60" i="62"/>
  <c r="BH60" i="62"/>
  <c r="BG60" i="62"/>
  <c r="BF60" i="62"/>
  <c r="BE60" i="62"/>
  <c r="BE62" i="62" s="1"/>
  <c r="BD60" i="62"/>
  <c r="BC60" i="62"/>
  <c r="BB60" i="62"/>
  <c r="BA60" i="62"/>
  <c r="AZ60" i="62"/>
  <c r="AY60" i="62"/>
  <c r="AX60" i="62"/>
  <c r="AW60" i="62"/>
  <c r="AW62" i="62" s="1"/>
  <c r="AV60" i="62"/>
  <c r="AU60" i="62"/>
  <c r="AT60" i="62"/>
  <c r="AS60" i="62"/>
  <c r="AR60" i="62"/>
  <c r="AQ60" i="62"/>
  <c r="AP60" i="62"/>
  <c r="AO60" i="62"/>
  <c r="AN60" i="62"/>
  <c r="AM60" i="62"/>
  <c r="AL60" i="62"/>
  <c r="AK60" i="62"/>
  <c r="AJ60" i="62"/>
  <c r="AI60" i="62"/>
  <c r="AH60" i="62"/>
  <c r="AG60" i="62"/>
  <c r="AG62" i="62" s="1"/>
  <c r="AF60" i="62"/>
  <c r="AE60" i="62"/>
  <c r="AD60" i="62"/>
  <c r="AC60" i="62"/>
  <c r="AB60" i="62"/>
  <c r="AA60" i="62"/>
  <c r="Z60" i="62"/>
  <c r="Y60" i="62"/>
  <c r="X60" i="62"/>
  <c r="W60" i="62"/>
  <c r="V60" i="62"/>
  <c r="BJ56" i="62"/>
  <c r="BI56" i="62"/>
  <c r="BH56" i="62"/>
  <c r="BG56" i="62"/>
  <c r="BF56" i="62"/>
  <c r="BE56" i="62"/>
  <c r="BD56" i="62"/>
  <c r="BC56" i="62"/>
  <c r="BB56" i="62"/>
  <c r="BA56" i="62"/>
  <c r="AZ56" i="62"/>
  <c r="AY56" i="62"/>
  <c r="AX56" i="62"/>
  <c r="AW56" i="62"/>
  <c r="AV56" i="62"/>
  <c r="AU56" i="62"/>
  <c r="AT56" i="62"/>
  <c r="AS56" i="62"/>
  <c r="AR56" i="62"/>
  <c r="AQ56" i="62"/>
  <c r="AP56" i="62"/>
  <c r="AO56" i="62"/>
  <c r="AN56" i="62"/>
  <c r="AM56" i="62"/>
  <c r="AL56" i="62"/>
  <c r="AK56" i="62"/>
  <c r="AJ56" i="62"/>
  <c r="AI56" i="62"/>
  <c r="AH56" i="62"/>
  <c r="AG56" i="62"/>
  <c r="AF56" i="62"/>
  <c r="AE56" i="62"/>
  <c r="AD56" i="62"/>
  <c r="AC56" i="62"/>
  <c r="AB56" i="62"/>
  <c r="AA56" i="62"/>
  <c r="Z56" i="62"/>
  <c r="Y56" i="62"/>
  <c r="X56" i="62"/>
  <c r="W56" i="62"/>
  <c r="V56" i="62"/>
  <c r="BJ55" i="62"/>
  <c r="BI55" i="62"/>
  <c r="BH55" i="62"/>
  <c r="BG55" i="62"/>
  <c r="BF55" i="62"/>
  <c r="BE55" i="62"/>
  <c r="BD55" i="62"/>
  <c r="BC55" i="62"/>
  <c r="BB55" i="62"/>
  <c r="BA55" i="62"/>
  <c r="AZ55" i="62"/>
  <c r="AY55" i="62"/>
  <c r="AX55" i="62"/>
  <c r="AW55" i="62"/>
  <c r="AV55" i="62"/>
  <c r="AU55" i="62"/>
  <c r="AT55" i="62"/>
  <c r="AS55" i="62"/>
  <c r="AR55" i="62"/>
  <c r="AQ55" i="62"/>
  <c r="AP55" i="62"/>
  <c r="AO55" i="62"/>
  <c r="AN55" i="62"/>
  <c r="AM55" i="62"/>
  <c r="AL55" i="62"/>
  <c r="AK55" i="62"/>
  <c r="AJ55" i="62"/>
  <c r="AI55" i="62"/>
  <c r="AH55" i="62"/>
  <c r="AG55" i="62"/>
  <c r="AF55" i="62"/>
  <c r="AE55" i="62"/>
  <c r="AD55" i="62"/>
  <c r="AC55" i="62"/>
  <c r="AB55" i="62"/>
  <c r="AA55" i="62"/>
  <c r="Z55" i="62"/>
  <c r="Y55" i="62"/>
  <c r="X55" i="62"/>
  <c r="W55" i="62"/>
  <c r="V55" i="62"/>
  <c r="BJ51" i="62"/>
  <c r="BI51" i="62"/>
  <c r="BH51" i="62"/>
  <c r="BG51" i="62"/>
  <c r="BF51" i="62"/>
  <c r="BE51" i="62"/>
  <c r="BD51" i="62"/>
  <c r="BC51" i="62"/>
  <c r="BB51" i="62"/>
  <c r="BA51" i="62"/>
  <c r="AZ51" i="62"/>
  <c r="AY51" i="62"/>
  <c r="AX51" i="62"/>
  <c r="AW51" i="62"/>
  <c r="AV51" i="62"/>
  <c r="AU51" i="62"/>
  <c r="AT51" i="62"/>
  <c r="AS51" i="62"/>
  <c r="AR51" i="62"/>
  <c r="AQ51" i="62"/>
  <c r="AP51" i="62"/>
  <c r="AO51" i="62"/>
  <c r="AN51" i="62"/>
  <c r="AM51" i="62"/>
  <c r="AL51" i="62"/>
  <c r="AK51" i="62"/>
  <c r="AJ51" i="62"/>
  <c r="AI51" i="62"/>
  <c r="AH51" i="62"/>
  <c r="AG51" i="62"/>
  <c r="AF51" i="62"/>
  <c r="AE51" i="62"/>
  <c r="AD51" i="62"/>
  <c r="AC51" i="62"/>
  <c r="AB51" i="62"/>
  <c r="AA51" i="62"/>
  <c r="Z51" i="62"/>
  <c r="Y51" i="62"/>
  <c r="X51" i="62"/>
  <c r="W51" i="62"/>
  <c r="V51" i="62"/>
  <c r="BJ50" i="62"/>
  <c r="BI50" i="62"/>
  <c r="BH50" i="62"/>
  <c r="BG50" i="62"/>
  <c r="BF50" i="62"/>
  <c r="BE50" i="62"/>
  <c r="BD50" i="62"/>
  <c r="BC50" i="62"/>
  <c r="BB50" i="62"/>
  <c r="BA50" i="62"/>
  <c r="AZ50" i="62"/>
  <c r="AY50" i="62"/>
  <c r="AX50" i="62"/>
  <c r="AW50" i="62"/>
  <c r="AV50" i="62"/>
  <c r="AU50" i="62"/>
  <c r="AT50" i="62"/>
  <c r="AS50" i="62"/>
  <c r="AS52" i="62" s="1"/>
  <c r="AR50" i="62"/>
  <c r="AQ50" i="62"/>
  <c r="AP50" i="62"/>
  <c r="AO50" i="62"/>
  <c r="AN50" i="62"/>
  <c r="AM50" i="62"/>
  <c r="AL50" i="62"/>
  <c r="AK50" i="62"/>
  <c r="AJ50" i="62"/>
  <c r="AI50" i="62"/>
  <c r="AH50" i="62"/>
  <c r="AG50" i="62"/>
  <c r="AF50" i="62"/>
  <c r="AE50" i="62"/>
  <c r="AD50" i="62"/>
  <c r="AC50" i="62"/>
  <c r="AB50" i="62"/>
  <c r="AA50" i="62"/>
  <c r="Z50" i="62"/>
  <c r="Y50" i="62"/>
  <c r="X50" i="62"/>
  <c r="W50" i="62"/>
  <c r="V50" i="62"/>
  <c r="BJ46" i="62"/>
  <c r="BI46" i="62"/>
  <c r="BH46" i="62"/>
  <c r="BG46" i="62"/>
  <c r="BF46" i="62"/>
  <c r="BE46" i="62"/>
  <c r="BD46" i="62"/>
  <c r="BC46" i="62"/>
  <c r="BB46" i="62"/>
  <c r="BA46" i="62"/>
  <c r="AZ46" i="62"/>
  <c r="AY46" i="62"/>
  <c r="AX46" i="62"/>
  <c r="AW46" i="62"/>
  <c r="AV46" i="62"/>
  <c r="AU46" i="62"/>
  <c r="AT46" i="62"/>
  <c r="AS46" i="62"/>
  <c r="AR46" i="62"/>
  <c r="AQ46" i="62"/>
  <c r="AP46" i="62"/>
  <c r="AO46" i="62"/>
  <c r="AN46" i="62"/>
  <c r="AM46" i="62"/>
  <c r="AL46" i="62"/>
  <c r="AK46" i="62"/>
  <c r="AJ46" i="62"/>
  <c r="AI46" i="62"/>
  <c r="AH46" i="62"/>
  <c r="AG46" i="62"/>
  <c r="AF46" i="62"/>
  <c r="AE46" i="62"/>
  <c r="AD46" i="62"/>
  <c r="AC46" i="62"/>
  <c r="AB46" i="62"/>
  <c r="AA46" i="62"/>
  <c r="Z46" i="62"/>
  <c r="Y46" i="62"/>
  <c r="X46" i="62"/>
  <c r="W46" i="62"/>
  <c r="V46" i="62"/>
  <c r="BJ45" i="62"/>
  <c r="BI45" i="62"/>
  <c r="BH45" i="62"/>
  <c r="BG45" i="62"/>
  <c r="BF45" i="62"/>
  <c r="BE45" i="62"/>
  <c r="BD45" i="62"/>
  <c r="BC45" i="62"/>
  <c r="BB45" i="62"/>
  <c r="BA45" i="62"/>
  <c r="AZ45" i="62"/>
  <c r="AY45" i="62"/>
  <c r="AX45" i="62"/>
  <c r="AW45" i="62"/>
  <c r="AW47" i="62" s="1"/>
  <c r="AV45" i="62"/>
  <c r="AU45" i="62"/>
  <c r="AT45" i="62"/>
  <c r="AS45" i="62"/>
  <c r="AR45" i="62"/>
  <c r="AQ45" i="62"/>
  <c r="AQ47" i="62" s="1"/>
  <c r="AP45" i="62"/>
  <c r="AO45" i="62"/>
  <c r="AN45" i="62"/>
  <c r="AM45" i="62"/>
  <c r="AL45" i="62"/>
  <c r="AK45" i="62"/>
  <c r="AJ45" i="62"/>
  <c r="AI45" i="62"/>
  <c r="AI47" i="62" s="1"/>
  <c r="AH45" i="62"/>
  <c r="AG45" i="62"/>
  <c r="AF45" i="62"/>
  <c r="AE45" i="62"/>
  <c r="AD45" i="62"/>
  <c r="AC45" i="62"/>
  <c r="AB45" i="62"/>
  <c r="AA45" i="62"/>
  <c r="Z45" i="62"/>
  <c r="Y45" i="62"/>
  <c r="X45" i="62"/>
  <c r="W45" i="62"/>
  <c r="V45" i="62"/>
  <c r="BJ41" i="62"/>
  <c r="BI41" i="62"/>
  <c r="BH41" i="62"/>
  <c r="BG41" i="62"/>
  <c r="BF41" i="62"/>
  <c r="BE41" i="62"/>
  <c r="BD41" i="62"/>
  <c r="BC41" i="62"/>
  <c r="BB41" i="62"/>
  <c r="BA41" i="62"/>
  <c r="AZ41" i="62"/>
  <c r="AY41" i="62"/>
  <c r="AX41" i="62"/>
  <c r="AW41" i="62"/>
  <c r="AV41" i="62"/>
  <c r="AU41" i="62"/>
  <c r="AT41" i="62"/>
  <c r="AS41" i="62"/>
  <c r="AR41" i="62"/>
  <c r="AQ41" i="62"/>
  <c r="AP41" i="62"/>
  <c r="AO41" i="62"/>
  <c r="AN41" i="62"/>
  <c r="AM41" i="62"/>
  <c r="AL41" i="62"/>
  <c r="AK41" i="62"/>
  <c r="AJ41" i="62"/>
  <c r="AI41" i="62"/>
  <c r="AH41" i="62"/>
  <c r="AG41" i="62"/>
  <c r="AF41" i="62"/>
  <c r="AE41" i="62"/>
  <c r="AD41" i="62"/>
  <c r="AC41" i="62"/>
  <c r="AB41" i="62"/>
  <c r="AA41" i="62"/>
  <c r="Z41" i="62"/>
  <c r="Y41" i="62"/>
  <c r="X41" i="62"/>
  <c r="W41" i="62"/>
  <c r="V41" i="62"/>
  <c r="BJ40" i="62"/>
  <c r="BI40" i="62"/>
  <c r="BH40" i="62"/>
  <c r="BG40" i="62"/>
  <c r="BF40" i="62"/>
  <c r="BE40" i="62"/>
  <c r="BD40" i="62"/>
  <c r="BC40" i="62"/>
  <c r="BB40" i="62"/>
  <c r="BA40" i="62"/>
  <c r="AZ40" i="62"/>
  <c r="AY40" i="62"/>
  <c r="AX40" i="62"/>
  <c r="AW40" i="62"/>
  <c r="AV40" i="62"/>
  <c r="AU40" i="62"/>
  <c r="AT40" i="62"/>
  <c r="AS40" i="62"/>
  <c r="AR40" i="62"/>
  <c r="AQ40" i="62"/>
  <c r="AP40" i="62"/>
  <c r="AO40" i="62"/>
  <c r="AN40" i="62"/>
  <c r="AM40" i="62"/>
  <c r="AL40" i="62"/>
  <c r="AK40" i="62"/>
  <c r="AJ40" i="62"/>
  <c r="AI40" i="62"/>
  <c r="AH40" i="62"/>
  <c r="AG40" i="62"/>
  <c r="AF40" i="62"/>
  <c r="AE40" i="62"/>
  <c r="AD40" i="62"/>
  <c r="AC40" i="62"/>
  <c r="AB40" i="62"/>
  <c r="AA40" i="62"/>
  <c r="Z40" i="62"/>
  <c r="Y40" i="62"/>
  <c r="X40" i="62"/>
  <c r="W40" i="62"/>
  <c r="V40" i="62"/>
  <c r="BJ36" i="62"/>
  <c r="BI36" i="62"/>
  <c r="BH36" i="62"/>
  <c r="BG36" i="62"/>
  <c r="BF36" i="62"/>
  <c r="BE36" i="62"/>
  <c r="BD36" i="62"/>
  <c r="BC36" i="62"/>
  <c r="BB36" i="62"/>
  <c r="BA36" i="62"/>
  <c r="AZ36" i="62"/>
  <c r="AY36" i="62"/>
  <c r="AX36" i="62"/>
  <c r="AW36" i="62"/>
  <c r="AV36" i="62"/>
  <c r="AU36" i="62"/>
  <c r="AT36" i="62"/>
  <c r="AS36" i="62"/>
  <c r="AR36" i="62"/>
  <c r="AQ36" i="62"/>
  <c r="AP36" i="62"/>
  <c r="AO36" i="62"/>
  <c r="AN36" i="62"/>
  <c r="AM36" i="62"/>
  <c r="AL36" i="62"/>
  <c r="AK36" i="62"/>
  <c r="AJ36" i="62"/>
  <c r="AI36" i="62"/>
  <c r="AH36" i="62"/>
  <c r="AG36" i="62"/>
  <c r="AF36" i="62"/>
  <c r="AE36" i="62"/>
  <c r="AD36" i="62"/>
  <c r="AC36" i="62"/>
  <c r="AB36" i="62"/>
  <c r="AA36" i="62"/>
  <c r="Z36" i="62"/>
  <c r="Y36" i="62"/>
  <c r="X36" i="62"/>
  <c r="W36" i="62"/>
  <c r="V36" i="62"/>
  <c r="BJ35" i="62"/>
  <c r="BI35" i="62"/>
  <c r="BH35" i="62"/>
  <c r="BG35" i="62"/>
  <c r="BF35" i="62"/>
  <c r="BE35" i="62"/>
  <c r="BD35" i="62"/>
  <c r="BC35" i="62"/>
  <c r="BB35" i="62"/>
  <c r="BA35" i="62"/>
  <c r="AZ35" i="62"/>
  <c r="AY35" i="62"/>
  <c r="AX35" i="62"/>
  <c r="AW35" i="62"/>
  <c r="AV35" i="62"/>
  <c r="AU35" i="62"/>
  <c r="AT35" i="62"/>
  <c r="AS35" i="62"/>
  <c r="AR35" i="62"/>
  <c r="AQ35" i="62"/>
  <c r="AP35" i="62"/>
  <c r="AO35" i="62"/>
  <c r="AN35" i="62"/>
  <c r="AM35" i="62"/>
  <c r="AL35" i="62"/>
  <c r="AK35" i="62"/>
  <c r="AJ35" i="62"/>
  <c r="AI35" i="62"/>
  <c r="AI37" i="62" s="1"/>
  <c r="AH35" i="62"/>
  <c r="AG35" i="62"/>
  <c r="AF35" i="62"/>
  <c r="AE35" i="62"/>
  <c r="AD35" i="62"/>
  <c r="AC35" i="62"/>
  <c r="AB35" i="62"/>
  <c r="AA35" i="62"/>
  <c r="Z35" i="62"/>
  <c r="Y35" i="62"/>
  <c r="X35" i="62"/>
  <c r="W35" i="62"/>
  <c r="V35" i="62"/>
  <c r="BJ31" i="62"/>
  <c r="BI31" i="62"/>
  <c r="BH31" i="62"/>
  <c r="BG31" i="62"/>
  <c r="BF31" i="62"/>
  <c r="BE31" i="62"/>
  <c r="BD31" i="62"/>
  <c r="BC31" i="62"/>
  <c r="BB31" i="62"/>
  <c r="BA31" i="62"/>
  <c r="AZ31" i="62"/>
  <c r="AY31" i="62"/>
  <c r="AX31" i="62"/>
  <c r="AW31" i="62"/>
  <c r="AV31" i="62"/>
  <c r="AU31" i="62"/>
  <c r="AT31" i="62"/>
  <c r="AS31" i="62"/>
  <c r="AR31" i="62"/>
  <c r="AQ31" i="62"/>
  <c r="AP31" i="62"/>
  <c r="AO31" i="62"/>
  <c r="AN31" i="62"/>
  <c r="AM31" i="62"/>
  <c r="AL31" i="62"/>
  <c r="AK31" i="62"/>
  <c r="AJ31" i="62"/>
  <c r="AI31" i="62"/>
  <c r="AH31" i="62"/>
  <c r="AG31" i="62"/>
  <c r="AF31" i="62"/>
  <c r="AE31" i="62"/>
  <c r="AD31" i="62"/>
  <c r="AC31" i="62"/>
  <c r="AB31" i="62"/>
  <c r="AA31" i="62"/>
  <c r="Z31" i="62"/>
  <c r="Y31" i="62"/>
  <c r="X31" i="62"/>
  <c r="W31" i="62"/>
  <c r="V31" i="62"/>
  <c r="BJ30" i="62"/>
  <c r="BI30" i="62"/>
  <c r="BH30" i="62"/>
  <c r="BG30" i="62"/>
  <c r="BF30" i="62"/>
  <c r="BE30" i="62"/>
  <c r="BD30" i="62"/>
  <c r="BC30" i="62"/>
  <c r="BB30" i="62"/>
  <c r="BA30" i="62"/>
  <c r="AZ30" i="62"/>
  <c r="AY30" i="62"/>
  <c r="AX30" i="62"/>
  <c r="AW30" i="62"/>
  <c r="AV30" i="62"/>
  <c r="AU30" i="62"/>
  <c r="AT30" i="62"/>
  <c r="AS30" i="62"/>
  <c r="AR30" i="62"/>
  <c r="AQ30" i="62"/>
  <c r="AP30" i="62"/>
  <c r="AO30" i="62"/>
  <c r="AN30" i="62"/>
  <c r="AM30" i="62"/>
  <c r="AL30" i="62"/>
  <c r="AK30" i="62"/>
  <c r="AJ30" i="62"/>
  <c r="AI30" i="62"/>
  <c r="AH30" i="62"/>
  <c r="AG30" i="62"/>
  <c r="AF30" i="62"/>
  <c r="AE30" i="62"/>
  <c r="AD30" i="62"/>
  <c r="AC30" i="62"/>
  <c r="AB30" i="62"/>
  <c r="AA30" i="62"/>
  <c r="Z30" i="62"/>
  <c r="Y30" i="62"/>
  <c r="X30" i="62"/>
  <c r="W30" i="62"/>
  <c r="V30" i="62"/>
  <c r="BJ26" i="62"/>
  <c r="BI26" i="62"/>
  <c r="BH26" i="62"/>
  <c r="BG26" i="62"/>
  <c r="BF26" i="62"/>
  <c r="BE26" i="62"/>
  <c r="BD26" i="62"/>
  <c r="BC26" i="62"/>
  <c r="BB26" i="62"/>
  <c r="BA26" i="62"/>
  <c r="AZ26" i="62"/>
  <c r="AY26" i="62"/>
  <c r="AX26" i="62"/>
  <c r="AW26" i="62"/>
  <c r="AV26" i="62"/>
  <c r="AU26" i="62"/>
  <c r="AT26" i="62"/>
  <c r="AS26" i="62"/>
  <c r="AR26" i="62"/>
  <c r="AQ26" i="62"/>
  <c r="AP26" i="62"/>
  <c r="AO26" i="62"/>
  <c r="AN26" i="62"/>
  <c r="AM26" i="62"/>
  <c r="AL26" i="62"/>
  <c r="AK26" i="62"/>
  <c r="AJ26" i="62"/>
  <c r="AI26" i="62"/>
  <c r="AH26" i="62"/>
  <c r="AG26" i="62"/>
  <c r="AF26" i="62"/>
  <c r="AE26" i="62"/>
  <c r="AD26" i="62"/>
  <c r="AC26" i="62"/>
  <c r="AB26" i="62"/>
  <c r="AA26" i="62"/>
  <c r="Z26" i="62"/>
  <c r="Y26" i="62"/>
  <c r="X26" i="62"/>
  <c r="W26" i="62"/>
  <c r="V26" i="62"/>
  <c r="BJ25" i="62"/>
  <c r="BI25" i="62"/>
  <c r="BH25" i="62"/>
  <c r="BG25" i="62"/>
  <c r="BF25" i="62"/>
  <c r="BE25" i="62"/>
  <c r="BD25" i="62"/>
  <c r="BC25" i="62"/>
  <c r="BB25" i="62"/>
  <c r="BA25" i="62"/>
  <c r="AZ25" i="62"/>
  <c r="AZ27" i="62" s="1"/>
  <c r="AY25" i="62"/>
  <c r="AX25" i="62"/>
  <c r="AW25" i="62"/>
  <c r="AV25" i="62"/>
  <c r="AU25" i="62"/>
  <c r="AT25" i="62"/>
  <c r="AS25" i="62"/>
  <c r="AR25" i="62"/>
  <c r="AQ25" i="62"/>
  <c r="AP25" i="62"/>
  <c r="AO25" i="62"/>
  <c r="AN25" i="62"/>
  <c r="AM25" i="62"/>
  <c r="AL25" i="62"/>
  <c r="AK25" i="62"/>
  <c r="AJ25" i="62"/>
  <c r="AI25" i="62"/>
  <c r="AH25" i="62"/>
  <c r="AG25" i="62"/>
  <c r="AF25" i="62"/>
  <c r="AE25" i="62"/>
  <c r="AD25" i="62"/>
  <c r="AC25" i="62"/>
  <c r="AB25" i="62"/>
  <c r="AA25" i="62"/>
  <c r="Z25" i="62"/>
  <c r="Y25" i="62"/>
  <c r="X25" i="62"/>
  <c r="W25" i="62"/>
  <c r="V25" i="62"/>
  <c r="BJ21" i="62"/>
  <c r="BI21" i="62"/>
  <c r="BH21" i="62"/>
  <c r="BG21" i="62"/>
  <c r="BF21" i="62"/>
  <c r="BE21" i="62"/>
  <c r="BD21" i="62"/>
  <c r="BC21" i="62"/>
  <c r="BB21" i="62"/>
  <c r="BA21" i="62"/>
  <c r="AZ21" i="62"/>
  <c r="AY21" i="62"/>
  <c r="AX21" i="62"/>
  <c r="AW21" i="62"/>
  <c r="AV21" i="62"/>
  <c r="AU21" i="62"/>
  <c r="AT21" i="62"/>
  <c r="AS21" i="62"/>
  <c r="AR21" i="62"/>
  <c r="AQ21" i="62"/>
  <c r="AP21" i="62"/>
  <c r="AO21" i="62"/>
  <c r="AN21" i="62"/>
  <c r="AM21" i="62"/>
  <c r="AL21" i="62"/>
  <c r="AK21" i="62"/>
  <c r="AJ21" i="62"/>
  <c r="AI21" i="62"/>
  <c r="AH21" i="62"/>
  <c r="AG21" i="62"/>
  <c r="AF21" i="62"/>
  <c r="AE21" i="62"/>
  <c r="AD21" i="62"/>
  <c r="AC21" i="62"/>
  <c r="AB21" i="62"/>
  <c r="AA21" i="62"/>
  <c r="Z21" i="62"/>
  <c r="Y21" i="62"/>
  <c r="X21" i="62"/>
  <c r="W21" i="62"/>
  <c r="V21" i="62"/>
  <c r="BJ20" i="62"/>
  <c r="BI20" i="62"/>
  <c r="BH20" i="62"/>
  <c r="BG20" i="62"/>
  <c r="BF20" i="62"/>
  <c r="BE20" i="62"/>
  <c r="BD20" i="62"/>
  <c r="BC20" i="62"/>
  <c r="BB20" i="62"/>
  <c r="BA20" i="62"/>
  <c r="AZ20" i="62"/>
  <c r="AY20" i="62"/>
  <c r="AX20" i="62"/>
  <c r="AX22" i="62" s="1"/>
  <c r="AW20" i="62"/>
  <c r="AV20" i="62"/>
  <c r="AU20" i="62"/>
  <c r="AT20" i="62"/>
  <c r="AS20" i="62"/>
  <c r="AR20" i="62"/>
  <c r="AQ20" i="62"/>
  <c r="AP20" i="62"/>
  <c r="AO20" i="62"/>
  <c r="AN20" i="62"/>
  <c r="AM20" i="62"/>
  <c r="AL20" i="62"/>
  <c r="AK20" i="62"/>
  <c r="AJ20" i="62"/>
  <c r="AI20" i="62"/>
  <c r="AH20" i="62"/>
  <c r="AG20" i="62"/>
  <c r="AF20" i="62"/>
  <c r="AE20" i="62"/>
  <c r="AD20" i="62"/>
  <c r="AC20" i="62"/>
  <c r="AB20" i="62"/>
  <c r="AA20" i="62"/>
  <c r="Z20" i="62"/>
  <c r="Y20" i="62"/>
  <c r="X20" i="62"/>
  <c r="W20" i="62"/>
  <c r="V20" i="62"/>
  <c r="BJ16" i="62"/>
  <c r="BI16" i="62"/>
  <c r="BH16" i="62"/>
  <c r="BG16" i="62"/>
  <c r="BF16" i="62"/>
  <c r="BE16" i="62"/>
  <c r="BD16" i="62"/>
  <c r="BC16" i="62"/>
  <c r="BB16" i="62"/>
  <c r="BA16" i="62"/>
  <c r="AZ16" i="62"/>
  <c r="AY16" i="62"/>
  <c r="AX16" i="62"/>
  <c r="AW16" i="62"/>
  <c r="AV16" i="62"/>
  <c r="AU16" i="62"/>
  <c r="AT16" i="62"/>
  <c r="AS16" i="62"/>
  <c r="AR16" i="62"/>
  <c r="AQ16" i="62"/>
  <c r="AP16" i="62"/>
  <c r="AO16" i="62"/>
  <c r="AN16" i="62"/>
  <c r="AM16" i="62"/>
  <c r="AL16" i="62"/>
  <c r="AK16" i="62"/>
  <c r="AJ16" i="62"/>
  <c r="AI16" i="62"/>
  <c r="AH16" i="62"/>
  <c r="AG16" i="62"/>
  <c r="AF16" i="62"/>
  <c r="AE16" i="62"/>
  <c r="AD16" i="62"/>
  <c r="AC16" i="62"/>
  <c r="AB16" i="62"/>
  <c r="AA16" i="62"/>
  <c r="Z16" i="62"/>
  <c r="Y16" i="62"/>
  <c r="X16" i="62"/>
  <c r="W16" i="62"/>
  <c r="V16" i="62"/>
  <c r="BJ15" i="62"/>
  <c r="BI15" i="62"/>
  <c r="BH15" i="62"/>
  <c r="BG15" i="62"/>
  <c r="BF15" i="62"/>
  <c r="BE15" i="62"/>
  <c r="BD15" i="62"/>
  <c r="BC15" i="62"/>
  <c r="BB15" i="62"/>
  <c r="BA15" i="62"/>
  <c r="AZ15" i="62"/>
  <c r="AY15" i="62"/>
  <c r="AX15" i="62"/>
  <c r="AW15" i="62"/>
  <c r="AV15" i="62"/>
  <c r="AU15" i="62"/>
  <c r="AT15" i="62"/>
  <c r="AS15" i="62"/>
  <c r="AR15" i="62"/>
  <c r="AQ15" i="62"/>
  <c r="AP15" i="62"/>
  <c r="AO15" i="62"/>
  <c r="AN15" i="62"/>
  <c r="AM15" i="62"/>
  <c r="AL15" i="62"/>
  <c r="AK15" i="62"/>
  <c r="AJ15" i="62"/>
  <c r="AI15" i="62"/>
  <c r="AH15" i="62"/>
  <c r="AG15" i="62"/>
  <c r="AF15" i="62"/>
  <c r="AE15" i="62"/>
  <c r="AD15" i="62"/>
  <c r="AC15" i="62"/>
  <c r="AB15" i="62"/>
  <c r="AA15" i="62"/>
  <c r="Z15" i="62"/>
  <c r="Y15" i="62"/>
  <c r="X15" i="62"/>
  <c r="W15" i="62"/>
  <c r="V15" i="62"/>
  <c r="BJ11" i="62"/>
  <c r="BI11" i="62"/>
  <c r="BH11" i="62"/>
  <c r="BG11" i="62"/>
  <c r="BF11" i="62"/>
  <c r="BE11" i="62"/>
  <c r="BD11" i="62"/>
  <c r="BC11" i="62"/>
  <c r="BB11" i="62"/>
  <c r="BB12" i="62" s="1"/>
  <c r="BA11" i="62"/>
  <c r="AZ11" i="62"/>
  <c r="AY11" i="62"/>
  <c r="AX11" i="62"/>
  <c r="AW11" i="62"/>
  <c r="AV11" i="62"/>
  <c r="AU11" i="62"/>
  <c r="AT11" i="62"/>
  <c r="AS11" i="62"/>
  <c r="AR11" i="62"/>
  <c r="AQ11" i="62"/>
  <c r="AP11" i="62"/>
  <c r="AO11" i="62"/>
  <c r="AN11" i="62"/>
  <c r="AM11" i="62"/>
  <c r="AL11" i="62"/>
  <c r="AL12" i="62" s="1"/>
  <c r="AK11" i="62"/>
  <c r="AJ11" i="62"/>
  <c r="AI11" i="62"/>
  <c r="AH11" i="62"/>
  <c r="AG11" i="62"/>
  <c r="AF11" i="62"/>
  <c r="AE11" i="62"/>
  <c r="AD11" i="62"/>
  <c r="AC11" i="62"/>
  <c r="AB11" i="62"/>
  <c r="AA11" i="62"/>
  <c r="Z11" i="62"/>
  <c r="Y11" i="62"/>
  <c r="X11" i="62"/>
  <c r="W11" i="62"/>
  <c r="V11" i="62"/>
  <c r="V12" i="62" s="1"/>
  <c r="BJ10" i="62"/>
  <c r="BI10" i="62"/>
  <c r="BH10" i="62"/>
  <c r="BG10" i="62"/>
  <c r="BF10" i="62"/>
  <c r="BE10" i="62"/>
  <c r="BD10" i="62"/>
  <c r="BC10" i="62"/>
  <c r="BB10" i="62"/>
  <c r="BA10" i="62"/>
  <c r="AZ10" i="62"/>
  <c r="AY10" i="62"/>
  <c r="AX10" i="62"/>
  <c r="AW10" i="62"/>
  <c r="AV10" i="62"/>
  <c r="AU10" i="62"/>
  <c r="AT10" i="62"/>
  <c r="AS10" i="62"/>
  <c r="AR10" i="62"/>
  <c r="AQ10" i="62"/>
  <c r="AP10" i="62"/>
  <c r="AO10" i="62"/>
  <c r="AN10" i="62"/>
  <c r="AM10" i="62"/>
  <c r="AL10" i="62"/>
  <c r="AK10" i="62"/>
  <c r="AJ10" i="62"/>
  <c r="AI10" i="62"/>
  <c r="AH10" i="62"/>
  <c r="AG10" i="62"/>
  <c r="AF10" i="62"/>
  <c r="AE10" i="62"/>
  <c r="AD10" i="62"/>
  <c r="AC10" i="62"/>
  <c r="AB10" i="62"/>
  <c r="AA10" i="62"/>
  <c r="Z10" i="62"/>
  <c r="Y10" i="62"/>
  <c r="X10" i="62"/>
  <c r="W10" i="62"/>
  <c r="V10" i="62"/>
  <c r="AM12" i="62" l="1"/>
  <c r="AU12" i="62"/>
  <c r="AA17" i="62"/>
  <c r="AI17" i="62"/>
  <c r="AQ17" i="62"/>
  <c r="AU17" i="62"/>
  <c r="BC17" i="62"/>
  <c r="AC22" i="62"/>
  <c r="AS22" i="62"/>
  <c r="BA22" i="62"/>
  <c r="W27" i="62"/>
  <c r="AE27" i="62"/>
  <c r="AM27" i="62"/>
  <c r="AU27" i="62"/>
  <c r="BC27" i="62"/>
  <c r="AC32" i="62"/>
  <c r="AK32" i="62"/>
  <c r="AS32" i="62"/>
  <c r="BE32" i="62"/>
  <c r="BG37" i="62"/>
  <c r="AC42" i="62"/>
  <c r="BG47" i="62"/>
  <c r="AV17" i="62"/>
  <c r="Z22" i="62"/>
  <c r="AP22" i="62"/>
  <c r="BF22" i="62"/>
  <c r="AD32" i="62"/>
  <c r="AL32" i="62"/>
  <c r="BJ32" i="62"/>
  <c r="V52" i="62"/>
  <c r="AD52" i="62"/>
  <c r="Z62" i="62"/>
  <c r="AH62" i="62"/>
  <c r="W12" i="62"/>
  <c r="AE12" i="62"/>
  <c r="W17" i="62"/>
  <c r="AE17" i="62"/>
  <c r="AM17" i="62"/>
  <c r="AY17" i="62"/>
  <c r="BG17" i="62"/>
  <c r="AK22" i="62"/>
  <c r="BI22" i="62"/>
  <c r="AA27" i="62"/>
  <c r="AI27" i="62"/>
  <c r="AQ27" i="62"/>
  <c r="AY27" i="62"/>
  <c r="BG27" i="62"/>
  <c r="Y32" i="62"/>
  <c r="AG32" i="62"/>
  <c r="AO32" i="62"/>
  <c r="AW32" i="62"/>
  <c r="BA32" i="62"/>
  <c r="BI32" i="62"/>
  <c r="AA37" i="62"/>
  <c r="AY37" i="62"/>
  <c r="AK42" i="62"/>
  <c r="AA47" i="62"/>
  <c r="AY47" i="62"/>
  <c r="BA52" i="62"/>
  <c r="AA57" i="62"/>
  <c r="BC57" i="62"/>
  <c r="AB22" i="62"/>
  <c r="AJ22" i="62"/>
  <c r="AR22" i="62"/>
  <c r="AZ22" i="62"/>
  <c r="BH22" i="62"/>
  <c r="AC37" i="62"/>
  <c r="AK37" i="62"/>
  <c r="AS37" i="62"/>
  <c r="BA37" i="62"/>
  <c r="BI37" i="62"/>
  <c r="AC47" i="62"/>
  <c r="AK47" i="62"/>
  <c r="AS47" i="62"/>
  <c r="BA47" i="62"/>
  <c r="BI47" i="62"/>
  <c r="AC57" i="62"/>
  <c r="AK57" i="62"/>
  <c r="AS57" i="62"/>
  <c r="BA57" i="62"/>
  <c r="BI57" i="62"/>
  <c r="Y12" i="62"/>
  <c r="AJ27" i="62"/>
  <c r="AL37" i="62"/>
  <c r="Y52" i="62"/>
  <c r="X12" i="62"/>
  <c r="AF12" i="62"/>
  <c r="AN12" i="62"/>
  <c r="AV12" i="62"/>
  <c r="BD12" i="62"/>
  <c r="BC12" i="62"/>
  <c r="Y62" i="62"/>
  <c r="AO62" i="62"/>
  <c r="W67" i="62"/>
  <c r="AE67" i="62"/>
  <c r="AW12" i="62"/>
  <c r="AR27" i="62"/>
  <c r="BF32" i="62"/>
  <c r="AT37" i="62"/>
  <c r="AO42" i="62"/>
  <c r="AD47" i="62"/>
  <c r="AO52" i="62"/>
  <c r="BE52" i="62"/>
  <c r="AA22" i="62"/>
  <c r="AI22" i="62"/>
  <c r="AQ22" i="62"/>
  <c r="AY22" i="62"/>
  <c r="BG22" i="62"/>
  <c r="AA32" i="62"/>
  <c r="AI32" i="62"/>
  <c r="AQ32" i="62"/>
  <c r="AY32" i="62"/>
  <c r="BG32" i="62"/>
  <c r="Z42" i="62"/>
  <c r="AH42" i="62"/>
  <c r="AP42" i="62"/>
  <c r="AX42" i="62"/>
  <c r="BF42" i="62"/>
  <c r="Z52" i="62"/>
  <c r="AH52" i="62"/>
  <c r="AP52" i="62"/>
  <c r="AX52" i="62"/>
  <c r="BF52" i="62"/>
  <c r="W57" i="62"/>
  <c r="AE57" i="62"/>
  <c r="AM57" i="62"/>
  <c r="AU57" i="62"/>
  <c r="AB62" i="62"/>
  <c r="AJ62" i="62"/>
  <c r="AR62" i="62"/>
  <c r="AZ62" i="62"/>
  <c r="BH62" i="62"/>
  <c r="AG12" i="62"/>
  <c r="AX32" i="62"/>
  <c r="V37" i="62"/>
  <c r="BE42" i="62"/>
  <c r="AG52" i="62"/>
  <c r="AW52" i="62"/>
  <c r="AA12" i="62"/>
  <c r="AI12" i="62"/>
  <c r="AQ12" i="62"/>
  <c r="AY12" i="62"/>
  <c r="BG12" i="62"/>
  <c r="V17" i="62"/>
  <c r="BK17" i="62" s="1"/>
  <c r="AD17" i="62"/>
  <c r="AL17" i="62"/>
  <c r="AT17" i="62"/>
  <c r="BB17" i="62"/>
  <c r="BJ17" i="62"/>
  <c r="X37" i="62"/>
  <c r="AF37" i="62"/>
  <c r="AN37" i="62"/>
  <c r="AV37" i="62"/>
  <c r="BD37" i="62"/>
  <c r="X47" i="62"/>
  <c r="AF47" i="62"/>
  <c r="AN47" i="62"/>
  <c r="AV47" i="62"/>
  <c r="BD47" i="62"/>
  <c r="AA67" i="62"/>
  <c r="AI67" i="62"/>
  <c r="AQ67" i="62"/>
  <c r="AY67" i="62"/>
  <c r="BG67" i="62"/>
  <c r="AP32" i="62"/>
  <c r="BJ37" i="62"/>
  <c r="AG42" i="62"/>
  <c r="V47" i="62"/>
  <c r="BK47" i="62" s="1"/>
  <c r="AK12" i="62"/>
  <c r="AS12" i="62"/>
  <c r="BA12" i="62"/>
  <c r="BI12" i="62"/>
  <c r="X17" i="62"/>
  <c r="AF17" i="62"/>
  <c r="AN17" i="62"/>
  <c r="BD17" i="62"/>
  <c r="V32" i="62"/>
  <c r="AT32" i="62"/>
  <c r="BB32" i="62"/>
  <c r="AS42" i="62"/>
  <c r="BA42" i="62"/>
  <c r="BI42" i="62"/>
  <c r="AB42" i="62"/>
  <c r="AJ42" i="62"/>
  <c r="AR42" i="62"/>
  <c r="AZ42" i="62"/>
  <c r="BH42" i="62"/>
  <c r="Y47" i="62"/>
  <c r="AG47" i="62"/>
  <c r="AO47" i="62"/>
  <c r="BE47" i="62"/>
  <c r="AB52" i="62"/>
  <c r="AJ52" i="62"/>
  <c r="AR52" i="62"/>
  <c r="AZ52" i="62"/>
  <c r="BH52" i="62"/>
  <c r="V62" i="62"/>
  <c r="AD62" i="62"/>
  <c r="AL62" i="62"/>
  <c r="AT62" i="62"/>
  <c r="BB62" i="62"/>
  <c r="BJ62" i="62"/>
  <c r="AO12" i="62"/>
  <c r="BH27" i="62"/>
  <c r="Z32" i="62"/>
  <c r="BB37" i="62"/>
  <c r="Y42" i="62"/>
  <c r="Z47" i="62"/>
  <c r="AH47" i="62"/>
  <c r="AP47" i="62"/>
  <c r="AX47" i="62"/>
  <c r="BF47" i="62"/>
  <c r="AC52" i="62"/>
  <c r="AK52" i="62"/>
  <c r="BI52" i="62"/>
  <c r="Z57" i="62"/>
  <c r="AH57" i="62"/>
  <c r="AP57" i="62"/>
  <c r="AC67" i="62"/>
  <c r="AK67" i="62"/>
  <c r="AS67" i="62"/>
  <c r="BA67" i="62"/>
  <c r="BI67" i="62"/>
  <c r="BE12" i="62"/>
  <c r="AH22" i="62"/>
  <c r="AB27" i="62"/>
  <c r="AH32" i="62"/>
  <c r="AD37" i="62"/>
  <c r="AW42" i="62"/>
  <c r="AD12" i="62"/>
  <c r="AT12" i="62"/>
  <c r="BJ12" i="62"/>
  <c r="Z17" i="62"/>
  <c r="AH17" i="62"/>
  <c r="AP17" i="62"/>
  <c r="AX17" i="62"/>
  <c r="BF17" i="62"/>
  <c r="Y17" i="62"/>
  <c r="AG17" i="62"/>
  <c r="AO17" i="62"/>
  <c r="AW17" i="62"/>
  <c r="BE17" i="62"/>
  <c r="W22" i="62"/>
  <c r="AE22" i="62"/>
  <c r="AM22" i="62"/>
  <c r="AU22" i="62"/>
  <c r="BC22" i="62"/>
  <c r="Y27" i="62"/>
  <c r="AG27" i="62"/>
  <c r="AO27" i="62"/>
  <c r="AW27" i="62"/>
  <c r="BE27" i="62"/>
  <c r="X32" i="62"/>
  <c r="AF32" i="62"/>
  <c r="AN32" i="62"/>
  <c r="AV32" i="62"/>
  <c r="BD32" i="62"/>
  <c r="W32" i="62"/>
  <c r="AE32" i="62"/>
  <c r="AM32" i="62"/>
  <c r="AU32" i="62"/>
  <c r="BC32" i="62"/>
  <c r="AQ37" i="62"/>
  <c r="V42" i="62"/>
  <c r="BK42" i="62" s="1"/>
  <c r="AD42" i="62"/>
  <c r="AL42" i="62"/>
  <c r="AT42" i="62"/>
  <c r="BB42" i="62"/>
  <c r="BJ42" i="62"/>
  <c r="AL52" i="62"/>
  <c r="AT52" i="62"/>
  <c r="BB52" i="62"/>
  <c r="BJ52" i="62"/>
  <c r="AI57" i="62"/>
  <c r="AQ57" i="62"/>
  <c r="AY57" i="62"/>
  <c r="BG57" i="62"/>
  <c r="X62" i="62"/>
  <c r="AF62" i="62"/>
  <c r="AN62" i="62"/>
  <c r="AV62" i="62"/>
  <c r="BD62" i="62"/>
  <c r="AL47" i="62"/>
  <c r="AT47" i="62"/>
  <c r="BB47" i="62"/>
  <c r="BJ47" i="62"/>
  <c r="AX57" i="62"/>
  <c r="BF57" i="62"/>
  <c r="AA62" i="62"/>
  <c r="AI62" i="62"/>
  <c r="AQ62" i="62"/>
  <c r="AY62" i="62"/>
  <c r="BG62" i="62"/>
  <c r="AB67" i="62"/>
  <c r="AJ67" i="62"/>
  <c r="AR67" i="62"/>
  <c r="AZ67" i="62"/>
  <c r="BH67" i="62"/>
  <c r="X27" i="62"/>
  <c r="AF27" i="62"/>
  <c r="AN27" i="62"/>
  <c r="AV27" i="62"/>
  <c r="BD27" i="62"/>
  <c r="AB32" i="62"/>
  <c r="AJ32" i="62"/>
  <c r="AR32" i="62"/>
  <c r="AZ32" i="62"/>
  <c r="BH32" i="62"/>
  <c r="W37" i="62"/>
  <c r="AE37" i="62"/>
  <c r="AM37" i="62"/>
  <c r="AU37" i="62"/>
  <c r="BC37" i="62"/>
  <c r="AA42" i="62"/>
  <c r="AI42" i="62"/>
  <c r="AQ42" i="62"/>
  <c r="AY42" i="62"/>
  <c r="BG42" i="62"/>
  <c r="W47" i="62"/>
  <c r="AE47" i="62"/>
  <c r="AM47" i="62"/>
  <c r="AU47" i="62"/>
  <c r="BC47" i="62"/>
  <c r="AA52" i="62"/>
  <c r="AI52" i="62"/>
  <c r="AQ52" i="62"/>
  <c r="AY52" i="62"/>
  <c r="BG52" i="62"/>
  <c r="AB57" i="62"/>
  <c r="AJ57" i="62"/>
  <c r="AR57" i="62"/>
  <c r="AZ57" i="62"/>
  <c r="BH57" i="62"/>
  <c r="AC62" i="62"/>
  <c r="AK62" i="62"/>
  <c r="AS62" i="62"/>
  <c r="BA62" i="62"/>
  <c r="BI62" i="62"/>
  <c r="V67" i="62"/>
  <c r="AD67" i="62"/>
  <c r="AL67" i="62"/>
  <c r="AT67" i="62"/>
  <c r="BB67" i="62"/>
  <c r="BJ67" i="62"/>
  <c r="AM67" i="62"/>
  <c r="AU67" i="62"/>
  <c r="BC67" i="62"/>
  <c r="Z12" i="62"/>
  <c r="AH12" i="62"/>
  <c r="AP12" i="62"/>
  <c r="AX12" i="62"/>
  <c r="BF12" i="62"/>
  <c r="V22" i="62"/>
  <c r="AD22" i="62"/>
  <c r="AL22" i="62"/>
  <c r="AT22" i="62"/>
  <c r="BB22" i="62"/>
  <c r="BJ22" i="62"/>
  <c r="Z27" i="62"/>
  <c r="AH27" i="62"/>
  <c r="AP27" i="62"/>
  <c r="AX27" i="62"/>
  <c r="BF27" i="62"/>
  <c r="Z37" i="62"/>
  <c r="AH37" i="62"/>
  <c r="AP37" i="62"/>
  <c r="AX37" i="62"/>
  <c r="BF37" i="62"/>
  <c r="Y37" i="62"/>
  <c r="AG37" i="62"/>
  <c r="AO37" i="62"/>
  <c r="AW37" i="62"/>
  <c r="BE37" i="62"/>
  <c r="V57" i="62"/>
  <c r="AD57" i="62"/>
  <c r="AL57" i="62"/>
  <c r="AT57" i="62"/>
  <c r="BB57" i="62"/>
  <c r="BJ57" i="62"/>
  <c r="W62" i="62"/>
  <c r="AE62" i="62"/>
  <c r="AM62" i="62"/>
  <c r="AU62" i="62"/>
  <c r="BC62" i="62"/>
  <c r="X67" i="62"/>
  <c r="AF67" i="62"/>
  <c r="AN67" i="62"/>
  <c r="AV67" i="62"/>
  <c r="BD67" i="62"/>
  <c r="Y67" i="62"/>
  <c r="AG67" i="62"/>
  <c r="AO67" i="62"/>
  <c r="AW67" i="62"/>
  <c r="BE67" i="62"/>
  <c r="AB12" i="62"/>
  <c r="AJ12" i="62"/>
  <c r="AR12" i="62"/>
  <c r="AZ12" i="62"/>
  <c r="BH12" i="62"/>
  <c r="AB17" i="62"/>
  <c r="AJ17" i="62"/>
  <c r="AR17" i="62"/>
  <c r="AZ17" i="62"/>
  <c r="BH17" i="62"/>
  <c r="X22" i="62"/>
  <c r="AF22" i="62"/>
  <c r="AN22" i="62"/>
  <c r="AV22" i="62"/>
  <c r="BD22" i="62"/>
  <c r="W42" i="62"/>
  <c r="AE42" i="62"/>
  <c r="AM42" i="62"/>
  <c r="AU42" i="62"/>
  <c r="BC42" i="62"/>
  <c r="W52" i="62"/>
  <c r="AE52" i="62"/>
  <c r="AM52" i="62"/>
  <c r="AU52" i="62"/>
  <c r="BC52" i="62"/>
  <c r="X57" i="62"/>
  <c r="AF57" i="62"/>
  <c r="AN57" i="62"/>
  <c r="AV57" i="62"/>
  <c r="BD57" i="62"/>
  <c r="Z67" i="62"/>
  <c r="AH67" i="62"/>
  <c r="AP67" i="62"/>
  <c r="AX67" i="62"/>
  <c r="BF67" i="62"/>
  <c r="AC12" i="62"/>
  <c r="AC17" i="62"/>
  <c r="AK17" i="62"/>
  <c r="AS17" i="62"/>
  <c r="BA17" i="62"/>
  <c r="BI17" i="62"/>
  <c r="Y22" i="62"/>
  <c r="AG22" i="62"/>
  <c r="AO22" i="62"/>
  <c r="AW22" i="62"/>
  <c r="BE22" i="62"/>
  <c r="V27" i="62"/>
  <c r="AD27" i="62"/>
  <c r="AL27" i="62"/>
  <c r="AT27" i="62"/>
  <c r="BB27" i="62"/>
  <c r="BJ27" i="62"/>
  <c r="AC27" i="62"/>
  <c r="AK27" i="62"/>
  <c r="AS27" i="62"/>
  <c r="BA27" i="62"/>
  <c r="BI27" i="62"/>
  <c r="AB37" i="62"/>
  <c r="AJ37" i="62"/>
  <c r="AR37" i="62"/>
  <c r="AZ37" i="62"/>
  <c r="BH37" i="62"/>
  <c r="X42" i="62"/>
  <c r="AF42" i="62"/>
  <c r="AN42" i="62"/>
  <c r="AV42" i="62"/>
  <c r="BD42" i="62"/>
  <c r="AB47" i="62"/>
  <c r="AJ47" i="62"/>
  <c r="AR47" i="62"/>
  <c r="AZ47" i="62"/>
  <c r="BH47" i="62"/>
  <c r="X52" i="62"/>
  <c r="AF52" i="62"/>
  <c r="AN52" i="62"/>
  <c r="AV52" i="62"/>
  <c r="BD52" i="62"/>
  <c r="Y57" i="62"/>
  <c r="AG57" i="62"/>
  <c r="AO57" i="62"/>
  <c r="AW57" i="62"/>
  <c r="BE57" i="62"/>
  <c r="AP62" i="62"/>
  <c r="AX62" i="62"/>
  <c r="BF62" i="62"/>
  <c r="BK62" i="62"/>
  <c r="BL62" i="62" a="1"/>
  <c r="BL62" i="62" s="1"/>
  <c r="BK57" i="62"/>
  <c r="BK67" i="62"/>
  <c r="BK52" i="62"/>
  <c r="BK37" i="62"/>
  <c r="BL12" i="62" a="1"/>
  <c r="BL12" i="62" s="1"/>
  <c r="BL32" i="62" a="1"/>
  <c r="BL32" i="62" s="1"/>
  <c r="BK12" i="62"/>
  <c r="BK32" i="62"/>
  <c r="BL52" i="62" l="1" a="1"/>
  <c r="BL52" i="62" s="1"/>
  <c r="BL27" i="62" a="1"/>
  <c r="BL27" i="62" s="1"/>
  <c r="BL67" i="62" a="1"/>
  <c r="BL67" i="62" s="1"/>
  <c r="BL37" i="62" a="1"/>
  <c r="BL37" i="62" s="1"/>
  <c r="BL22" i="62" a="1"/>
  <c r="BL22" i="62" s="1"/>
  <c r="C2" i="62" s="1"/>
  <c r="BL47" i="62" a="1"/>
  <c r="BL47" i="62" s="1"/>
  <c r="BL17" i="62" a="1"/>
  <c r="BL17" i="62" s="1"/>
  <c r="BL57" i="62" a="1"/>
  <c r="BL57" i="62" s="1"/>
  <c r="BL42" i="62" a="1"/>
  <c r="BL42" i="62" s="1"/>
  <c r="BK22" i="62"/>
  <c r="C3" i="62" s="1"/>
  <c r="BK27" i="62"/>
  <c r="C1" i="62" l="1"/>
</calcChain>
</file>

<file path=xl/comments1.xml><?xml version="1.0" encoding="utf-8"?>
<comments xmlns="http://schemas.openxmlformats.org/spreadsheetml/2006/main">
  <authors>
    <author>csthoma1</author>
    <author>Taylor</author>
  </authors>
  <commentList>
    <comment ref="F30" authorId="0" shapeId="0">
      <text>
        <r>
          <rPr>
            <b/>
            <sz val="9"/>
            <color indexed="81"/>
            <rFont val="Tahoma"/>
            <family val="2"/>
          </rPr>
          <t>csthoma1:</t>
        </r>
        <r>
          <rPr>
            <sz val="9"/>
            <color indexed="81"/>
            <rFont val="Tahoma"/>
            <family val="2"/>
          </rPr>
          <t xml:space="preserve">
note in original spreadsheet: " Volume filtered approximate, could be off by up to 15 ml"</t>
        </r>
      </text>
    </comment>
    <comment ref="F50" authorId="0" shapeId="0">
      <text>
        <r>
          <rPr>
            <b/>
            <sz val="9"/>
            <color indexed="81"/>
            <rFont val="Tahoma"/>
            <family val="2"/>
          </rPr>
          <t>csthoma1:</t>
        </r>
        <r>
          <rPr>
            <sz val="9"/>
            <color indexed="81"/>
            <rFont val="Tahoma"/>
            <family val="2"/>
          </rPr>
          <t xml:space="preserve">
note in original spreadsheet: "vol filt could potentially be incorrect"</t>
        </r>
      </text>
    </comment>
    <comment ref="A67" authorId="0" shapeId="0">
      <text>
        <r>
          <rPr>
            <b/>
            <sz val="9"/>
            <color indexed="81"/>
            <rFont val="Tahoma"/>
            <family val="2"/>
          </rPr>
          <t>csthoma1:</t>
        </r>
        <r>
          <rPr>
            <sz val="9"/>
            <color indexed="81"/>
            <rFont val="Tahoma"/>
            <family val="2"/>
          </rPr>
          <t xml:space="preserve">
see bottom of spreadsheet</t>
        </r>
      </text>
    </comment>
    <comment ref="C67" authorId="1" shapeId="0">
      <text>
        <r>
          <rPr>
            <b/>
            <sz val="9"/>
            <color indexed="81"/>
            <rFont val="Tahoma"/>
            <family val="2"/>
          </rPr>
          <t>Taylor:</t>
        </r>
        <r>
          <rPr>
            <sz val="9"/>
            <color indexed="81"/>
            <rFont val="Tahoma"/>
            <family val="2"/>
          </rPr>
          <t xml:space="preserve">
Need to assign new HSL ID number</t>
        </r>
      </text>
    </comment>
    <comment ref="A68" authorId="0" shapeId="0">
      <text>
        <r>
          <rPr>
            <b/>
            <sz val="9"/>
            <color indexed="81"/>
            <rFont val="Tahoma"/>
            <family val="2"/>
          </rPr>
          <t>csthoma1:</t>
        </r>
        <r>
          <rPr>
            <sz val="9"/>
            <color indexed="81"/>
            <rFont val="Tahoma"/>
            <family val="2"/>
          </rPr>
          <t xml:space="preserve">
see bottom of spreadsheet</t>
        </r>
      </text>
    </comment>
    <comment ref="C68" authorId="1" shapeId="0">
      <text>
        <r>
          <rPr>
            <b/>
            <sz val="9"/>
            <color indexed="81"/>
            <rFont val="Tahoma"/>
            <family val="2"/>
          </rPr>
          <t>Taylor:</t>
        </r>
        <r>
          <rPr>
            <sz val="9"/>
            <color indexed="81"/>
            <rFont val="Tahoma"/>
            <family val="2"/>
          </rPr>
          <t xml:space="preserve">
Changed from HSL_285 to HSL_1049 after receiving back from Goddard
</t>
        </r>
      </text>
    </comment>
  </commentList>
</comments>
</file>

<file path=xl/comments2.xml><?xml version="1.0" encoding="utf-8"?>
<comments xmlns="http://schemas.openxmlformats.org/spreadsheetml/2006/main">
  <authors>
    <author>csthoma1</author>
  </authors>
  <commentList>
    <comment ref="G39" authorId="0" shapeId="0">
      <text>
        <r>
          <rPr>
            <b/>
            <sz val="9"/>
            <color indexed="81"/>
            <rFont val="Tahoma"/>
            <family val="2"/>
          </rPr>
          <t>csthoma1:</t>
        </r>
        <r>
          <rPr>
            <sz val="9"/>
            <color indexed="81"/>
            <rFont val="Tahoma"/>
            <family val="2"/>
          </rPr>
          <t xml:space="preserve">
note in original spreadsheet: " Volume filtered approximate, could be off by up to 15 ml"</t>
        </r>
      </text>
    </comment>
    <comment ref="G59" authorId="0" shapeId="0">
      <text>
        <r>
          <rPr>
            <b/>
            <sz val="9"/>
            <color indexed="81"/>
            <rFont val="Tahoma"/>
            <family val="2"/>
          </rPr>
          <t>csthoma1:</t>
        </r>
        <r>
          <rPr>
            <sz val="9"/>
            <color indexed="81"/>
            <rFont val="Tahoma"/>
            <family val="2"/>
          </rPr>
          <t xml:space="preserve">
note in original spreadsheet: "vol filt could potentially be incorrect"</t>
        </r>
      </text>
    </comment>
  </commentList>
</comments>
</file>

<file path=xl/sharedStrings.xml><?xml version="1.0" encoding="utf-8"?>
<sst xmlns="http://schemas.openxmlformats.org/spreadsheetml/2006/main" count="3809" uniqueCount="675">
  <si>
    <t>DV chl a</t>
  </si>
  <si>
    <t>MV chla</t>
  </si>
  <si>
    <t>ug/L</t>
  </si>
  <si>
    <t>Vc (ml)</t>
  </si>
  <si>
    <t>Perid</t>
  </si>
  <si>
    <t>Fuco</t>
  </si>
  <si>
    <t>Chl c3</t>
  </si>
  <si>
    <t>But fuco</t>
  </si>
  <si>
    <t>Neo</t>
  </si>
  <si>
    <t>Pras</t>
  </si>
  <si>
    <t>Viola</t>
  </si>
  <si>
    <t>Hex fuco</t>
  </si>
  <si>
    <t>Diadino</t>
  </si>
  <si>
    <t>Allo</t>
  </si>
  <si>
    <t>Diato</t>
  </si>
  <si>
    <t>Zea</t>
  </si>
  <si>
    <t>Lut</t>
  </si>
  <si>
    <t>Gyr diester</t>
  </si>
  <si>
    <t>Caro</t>
  </si>
  <si>
    <t>Chlide a</t>
  </si>
  <si>
    <t>Phytin a</t>
  </si>
  <si>
    <t>Phide a</t>
  </si>
  <si>
    <t>Effective LOQ for filtration volumes used</t>
  </si>
  <si>
    <t>Vol Filtered (ml)</t>
  </si>
  <si>
    <t>MV chl b</t>
  </si>
  <si>
    <t>ug/l</t>
  </si>
  <si>
    <t>[TChl]</t>
  </si>
  <si>
    <t>[PPC]</t>
  </si>
  <si>
    <t>[PSC]</t>
  </si>
  <si>
    <t>[TAcc]/[Tchla]</t>
  </si>
  <si>
    <t>[PSP]</t>
  </si>
  <si>
    <t>[TAcc]</t>
  </si>
  <si>
    <t>comments</t>
  </si>
  <si>
    <t>[TChl]/[TCaro]</t>
  </si>
  <si>
    <t>[Allo]</t>
  </si>
  <si>
    <t>[Diato]</t>
  </si>
  <si>
    <t>[Fuco]</t>
  </si>
  <si>
    <t>[Zea]</t>
  </si>
  <si>
    <t>[Lut]</t>
  </si>
  <si>
    <t>[Neo]</t>
  </si>
  <si>
    <t>[Pras]</t>
  </si>
  <si>
    <t>[Viola]</t>
  </si>
  <si>
    <t>[DP]</t>
  </si>
  <si>
    <t>[But fuco]</t>
  </si>
  <si>
    <t>[Hex fuco]</t>
  </si>
  <si>
    <t>[Perid]</t>
  </si>
  <si>
    <t>Primary pigments</t>
  </si>
  <si>
    <t>Secondary pigments</t>
  </si>
  <si>
    <t>Tertiary pigments</t>
  </si>
  <si>
    <t>Ancillary pigment</t>
  </si>
  <si>
    <t>Pigment ratios</t>
  </si>
  <si>
    <t>Pigment Sums</t>
  </si>
  <si>
    <t>TChl a</t>
  </si>
  <si>
    <t>But-fuco</t>
  </si>
  <si>
    <t>Hex-fuco</t>
  </si>
  <si>
    <t>Chlorophyll c3</t>
  </si>
  <si>
    <t>Peridinin</t>
  </si>
  <si>
    <t>Neoxanthin</t>
  </si>
  <si>
    <t>Prasinoxanthin</t>
  </si>
  <si>
    <t>Violaxanthin</t>
  </si>
  <si>
    <t>Zeaxanthin</t>
  </si>
  <si>
    <t>Lutein</t>
  </si>
  <si>
    <t>GSFC Lab sample code</t>
  </si>
  <si>
    <t>alloxanthin</t>
  </si>
  <si>
    <t>Primary Pigments</t>
  </si>
  <si>
    <t>full name</t>
  </si>
  <si>
    <t>notes</t>
  </si>
  <si>
    <t>alpha-beta-Car</t>
  </si>
  <si>
    <t>carotenes</t>
  </si>
  <si>
    <t>alpha (beta, epsilon) + beta (beta, beta) carotene. Unresolved and therefore undifferentiated</t>
  </si>
  <si>
    <t>19'-butanoyloxyfucoxanthin</t>
  </si>
  <si>
    <t>Chl_c3</t>
  </si>
  <si>
    <t>Chlide_a</t>
  </si>
  <si>
    <t>chlorophyllide a</t>
  </si>
  <si>
    <t>Diad</t>
  </si>
  <si>
    <t>diadinoxanthin</t>
  </si>
  <si>
    <t>diatoxanthin</t>
  </si>
  <si>
    <t>DP</t>
  </si>
  <si>
    <t>total diagnostic pigments</t>
  </si>
  <si>
    <t>DV_Chl_a</t>
  </si>
  <si>
    <t>DV_Chl_b</t>
  </si>
  <si>
    <t>DVChl a</t>
  </si>
  <si>
    <t>DVChl b</t>
  </si>
  <si>
    <t>divinyl chlorophyll a</t>
  </si>
  <si>
    <t>divinyl chlorophyll b</t>
  </si>
  <si>
    <t>Gyro</t>
  </si>
  <si>
    <t>Gyroxanthin diester</t>
  </si>
  <si>
    <t>19'-hexanoyloxyfucoxanthin</t>
  </si>
  <si>
    <t>MV_Chl_a</t>
  </si>
  <si>
    <t>MV_Chl_b</t>
  </si>
  <si>
    <t>Chl a</t>
  </si>
  <si>
    <t>Chl b</t>
  </si>
  <si>
    <t>monovinyl chlorophyll a</t>
  </si>
  <si>
    <t>monovinyl chlorophyll b</t>
  </si>
  <si>
    <t>Phide_a</t>
  </si>
  <si>
    <t>Phytin_a</t>
  </si>
  <si>
    <t>pheophytin a + pheophytin a'</t>
  </si>
  <si>
    <t>total pheophytin a</t>
  </si>
  <si>
    <t>total pheophorbide a</t>
  </si>
  <si>
    <t>multiple peaks</t>
  </si>
  <si>
    <t>PPC</t>
  </si>
  <si>
    <t>photoprotective carotenoids</t>
  </si>
  <si>
    <t>allo + diadino + diato + zea + alpha-beta-car</t>
  </si>
  <si>
    <t>[PPC]/[Tcar]</t>
  </si>
  <si>
    <t>PSC</t>
  </si>
  <si>
    <t>photosynthetic carotenoids</t>
  </si>
  <si>
    <t>but-fuco + fuco + hex-fuco + perid</t>
  </si>
  <si>
    <t>PSP</t>
  </si>
  <si>
    <t>phosynthetic pigments</t>
  </si>
  <si>
    <t>total accessory pigments</t>
  </si>
  <si>
    <t>PPC + PSC + Tot_Chl_b + Tot_Chl_c</t>
  </si>
  <si>
    <t>ratio of total accessory pigments to total chlorophll a</t>
  </si>
  <si>
    <t>[Tacc]/[Tchla]</t>
  </si>
  <si>
    <t xml:space="preserve">total carotenoids </t>
  </si>
  <si>
    <t>PPC + PSC</t>
  </si>
  <si>
    <t>total chlorophylls</t>
  </si>
  <si>
    <t>Tot_Chl_a +Tot_Chl_b +Tot_Chl_c</t>
  </si>
  <si>
    <t>ratio of total chlorophyll to total carotenoids</t>
  </si>
  <si>
    <t>raito of total chlorophyll a to total pigments</t>
  </si>
  <si>
    <t>Tot_Chl_a</t>
  </si>
  <si>
    <t>Tot_Chl_c</t>
  </si>
  <si>
    <t>Tot_Chl_b</t>
  </si>
  <si>
    <t>TChl b</t>
  </si>
  <si>
    <t>TChl c</t>
  </si>
  <si>
    <t>total chlorophyll a</t>
  </si>
  <si>
    <t>total chlorophyll b</t>
  </si>
  <si>
    <t>total chlorophyll c</t>
  </si>
  <si>
    <t>total pigments</t>
  </si>
  <si>
    <t>DV_Chl_a + MV_Chl_a + Chlide_a + Chl_a allomers + Chl_a epimers</t>
  </si>
  <si>
    <t>DV_Chl_b + MV_Chl_b + Chl_b epimers</t>
  </si>
  <si>
    <t>Chl c12</t>
  </si>
  <si>
    <t>Chlorophyll c2 + chlorophyll c1 + MGDVP</t>
  </si>
  <si>
    <t>MGDVP</t>
  </si>
  <si>
    <t>Mg-2,4-divnyl pheoporphyrin a5 monomethyl ester</t>
  </si>
  <si>
    <t>description</t>
  </si>
  <si>
    <t>Secondary Pigments</t>
  </si>
  <si>
    <t>Tertiary Pigments</t>
  </si>
  <si>
    <t>Ancillary Pigment</t>
  </si>
  <si>
    <t>[Alpha_beta_Car]</t>
  </si>
  <si>
    <t>[Diadino]</t>
  </si>
  <si>
    <t>[Tot_Chl_a]</t>
  </si>
  <si>
    <t>[Tot_Chl_b]</t>
  </si>
  <si>
    <t>[Tot_Chl_c]</t>
  </si>
  <si>
    <t>[MV_Chl_a]</t>
  </si>
  <si>
    <t>[MV_Chl _b]</t>
  </si>
  <si>
    <t>[DV_Chl_b]</t>
  </si>
  <si>
    <t>[DV_Chl_a]</t>
  </si>
  <si>
    <t>[Chlide_a]</t>
  </si>
  <si>
    <t>[Gyro]</t>
  </si>
  <si>
    <t>[Phide_a]</t>
  </si>
  <si>
    <t>[Phytin_a]</t>
  </si>
  <si>
    <t>SeaBASS and</t>
  </si>
  <si>
    <t>current report abbreviation</t>
  </si>
  <si>
    <t>previous report abbreviation</t>
  </si>
  <si>
    <t>SeaHARRE and/or</t>
  </si>
  <si>
    <t>TChla_Tpg</t>
  </si>
  <si>
    <t>TChl</t>
  </si>
  <si>
    <t>TCar</t>
  </si>
  <si>
    <t>TAcc</t>
  </si>
  <si>
    <t>TAcc_TChla</t>
  </si>
  <si>
    <t>TChl_TCar</t>
  </si>
  <si>
    <t>[TPg]</t>
  </si>
  <si>
    <t>[PSP]/[TPg]</t>
  </si>
  <si>
    <t>[PPC]/[Tpg]</t>
  </si>
  <si>
    <t>SeaBASS abbreviation</t>
  </si>
  <si>
    <t>TPg</t>
  </si>
  <si>
    <t>PSC + TChl</t>
  </si>
  <si>
    <t>[PSC]/[TCar]</t>
  </si>
  <si>
    <t>[TChla]/[TPg]</t>
  </si>
  <si>
    <t>PPC_TCar</t>
  </si>
  <si>
    <t>PPC_TPg</t>
  </si>
  <si>
    <t>PSC_TCar</t>
  </si>
  <si>
    <t>PSP_TPg</t>
  </si>
  <si>
    <t>PSC + allo + zea + Tot_Chl_b</t>
  </si>
  <si>
    <t>TAcc + Tot_Chl_a</t>
  </si>
  <si>
    <t>ratio of photprotective carotenoids to total carotenoids</t>
  </si>
  <si>
    <t>ratio of photoprotective carotenoids to total pigments</t>
  </si>
  <si>
    <t>ratio of photsynthetic carotenoids to total carotenoids</t>
  </si>
  <si>
    <t>ratio of photsynthetic pigments to to total pigments</t>
  </si>
  <si>
    <t>Abbreviations</t>
  </si>
  <si>
    <t>The analysis precision page summarizes our results for the same sample extract injected twice. Typically, we reinject the first sample analyzed on a given at the end of the day (the ".5" injection). For example, sample 03-0001</t>
  </si>
  <si>
    <t>and 03-0001.5 are replicate injections of the same extract, injected approximately 24 hours apart (all samples extracted on a particular day require about 24 hours to complete the HPLC analyses). We do this to measure our</t>
  </si>
  <si>
    <t>analysis precision and any effects caused by a sample's residence time in the refrigerated autosampler compartment. Please note that individual results with very large CV% are usually caused by pigments present in very</t>
  </si>
  <si>
    <t xml:space="preserve">On the effective LOQ page, we calculate an effective limit of quantitation based on our calculated LOQs (calculated in ng/injection), our typical extraction volume for this sample set, and the various filtration volumes </t>
  </si>
  <si>
    <t>used with your samples. We make these calculations because our LOQ information is most useful to the data user if it is available in units of concentration (ug/L seawater). The same LOQ can end up looking very different for</t>
  </si>
  <si>
    <t>different filtration volumes. For example, the LOQ of 0.25 ng will result in very different effective LOQs when carried through our calculation equation to represent the ug/L seawater. For an extraction volume of 2.5 ml and a</t>
  </si>
  <si>
    <t>filtration volume of 2800 ml, the calculated effective LOQ would be 0.002 ug/L. However, if the filtration volume were only 100 ml, the effective LOQ would calculate to be 0.042 ug/L. Without these calculations, the end user</t>
  </si>
  <si>
    <t>has no way of knowing that both of these concentrations were acquired at detection-limited concentrations.</t>
  </si>
  <si>
    <t>Replicate filters</t>
  </si>
  <si>
    <t>Replicate injections</t>
  </si>
  <si>
    <t>Effective Limit of Quantitation</t>
  </si>
  <si>
    <t>Analysis method description</t>
  </si>
  <si>
    <t>The HPLC used for pigment analysis is an Agilent RR1200 with a programmable autoinjector (900 ul syringe head), refrigerated autosampler compartment, thermostatted column compartment, quaternary pump with in-line vacuum</t>
  </si>
  <si>
    <t>The 4.6 x 150 mm HPLC Eclipse XDB column (Agilent Technologies, Palo Alto, CA) is filled with a C8 stationary phase (3.5 um stationary phase); the mobile phase consists of a linear gradient from 5-95% solvent B over</t>
  </si>
  <si>
    <t>27 minutes, for which solvent A is 70 parts methanol, 30 parts 28 mM tetrabutylammononium acetate (pH 6.5) and solvent B is methanol. The column temperature is 60 C and the photo diode array detector is set to</t>
  </si>
  <si>
    <t>plot chromatograms at 450, 665, and 222 nm to acquire visible absorbance spectra between 350 and 750 nm.</t>
  </si>
  <si>
    <t>Vitamin E acetate is used as the internal standard (ISTD) for determining extraction volumes. Its absorbance is monitored at 222 nm; it has negligible absorbance at 450 nm and none at 665 nm. Therefore, it does not interfere</t>
  </si>
  <si>
    <t>at wavelengths used to quantify pigments and can be used in very high concentrations with S:N ratios much higher than are possible with pigments. The high signal:noise ratio contributes to excellent analysis precision, for which</t>
  </si>
  <si>
    <t>injection repeatability averages 0.6%. It is stable under conditions of extraction and analysis.</t>
  </si>
  <si>
    <t>Calibration is performed with individual pigment standards, whose concentrations have been determined spectrophotometrically using absorption coefficients in common with those used by most other laboratories (Hooker et al. 2005)</t>
  </si>
  <si>
    <t>and the commercial vendor, DHI Water and Environment (Horsholm, Denmark). Standards are either purchased from DHI (in solution with concentrations provided) or purchased in solid form and suspended in solvent at GSFC.</t>
  </si>
  <si>
    <t>Thirty-six peaks are individually quantified by HPLC, from which 26 pigments are reported (some pigments contain individual components that are summed and reported as one pigment).</t>
  </si>
  <si>
    <t>The HPLC analysis method can be cited as Van Heukelem and Thomas (2001), further described in Hooker et al. (2005). For a more detailed description, please see below; contact Crystal for a tailored description.</t>
  </si>
  <si>
    <t>degasser, and photo-diode array detector with deuterium and tungsten lamps. The HPLC is controlled by Agilent Chemstation software.</t>
  </si>
  <si>
    <t>SeaBASS submission</t>
  </si>
  <si>
    <t>!</t>
  </si>
  <si>
    <t>! Comments</t>
  </si>
  <si>
    <t>fucoxanthin</t>
  </si>
  <si>
    <t>The replicate filter precision page summarizes our results for any replicate filters you submitted. On both the replicate filter and analysis precision page, pairs with precision worse than 10% (15% for degradation products)</t>
  </si>
  <si>
    <t>are flagged in yellow. If a simple reason can be determined (ex. Concentration is below the effective LOQ), it is noted in a comment.</t>
  </si>
  <si>
    <t xml:space="preserve">low concentrations. On both the replicate filter and analysis precision page, pairs with precision worse than 10% (15% for degradation products) are flagged in yellow. If a simple reason can be determined (ex. Concentration is </t>
  </si>
  <si>
    <t>below the effective LOQ), it is noted in a comment.</t>
  </si>
  <si>
    <t>For pigments that have a replacement value in the respective cell, the pigment was investigated and determined to be "not found" (this is different than a "missing" value, which would imply that the measurement was not performed).</t>
  </si>
  <si>
    <r>
      <t>Instead of including zeros, pigments that were "not found" (not detected) are noted with a replacement value of</t>
    </r>
    <r>
      <rPr>
        <b/>
        <sz val="12"/>
        <color rgb="FFFF0000"/>
        <rFont val="Helvetica"/>
      </rPr>
      <t xml:space="preserve"> -8888 </t>
    </r>
    <r>
      <rPr>
        <b/>
        <sz val="12"/>
        <rFont val="Helvetica"/>
      </rPr>
      <t>(NEW VALUE AS OF MARCH 2016)</t>
    </r>
    <r>
      <rPr>
        <sz val="12"/>
        <rFont val="Helvetica"/>
      </rPr>
      <t xml:space="preserve">. Pigments that were "not found" are considered to below detection limits. </t>
    </r>
  </si>
  <si>
    <t>/below_detection_limit=-8888</t>
  </si>
  <si>
    <t>Average extraction volume (ml)</t>
  </si>
  <si>
    <t>Client sample information spreadsheet</t>
  </si>
  <si>
    <t xml:space="preserve">The sample information sheet sent by the research group is included with results, on the "SS from clients" page. Any necessary clarifying comments are made using the comment function. Information that needs to be checked is </t>
  </si>
  <si>
    <t>highlighted in yellow. Information that was added or changed by GSFC is recorded with red text. The information for any samples that were listed in the original spreadsheet but were not received is moved to the bottom of the spreadsheet.</t>
  </si>
  <si>
    <t>Please fill in the information in columns denoted with an asterisk.  The other columns will be filled out by GSFC.</t>
  </si>
  <si>
    <t>Row 16 gives additional instructions on how to make data entries.  Rows 18-24 gives examples.</t>
  </si>
  <si>
    <t>Project:</t>
  </si>
  <si>
    <t>Grant #:</t>
  </si>
  <si>
    <t>revised:</t>
  </si>
  <si>
    <t>CST</t>
  </si>
  <si>
    <t>Contact person for ID questions:</t>
  </si>
  <si>
    <t>Instructions:</t>
  </si>
  <si>
    <t>1.  Fill in the necessary information in cells highlighted in blue- columns C-X as well as project and grant #.</t>
  </si>
  <si>
    <t>1. Use one column per sample (replicate filters should have multiple rows).</t>
  </si>
  <si>
    <t>2.  Save file with filename using your last first, followed by the sample submission date and cruise (example: Smith_05072015_MB05).</t>
  </si>
  <si>
    <t>3.  Email the completed spreadsheet to crystal.s.thomas@nasa.gov</t>
  </si>
  <si>
    <t>4.  This completed form (and receipt of your dry shipper by GSFC) will put your samples in the queue.</t>
  </si>
  <si>
    <t>NO local time!</t>
  </si>
  <si>
    <t>s: - for W</t>
  </si>
  <si>
    <t>s: - for S</t>
  </si>
  <si>
    <t>Last name, first name</t>
  </si>
  <si>
    <t>As it is written on the outside of your sample container</t>
  </si>
  <si>
    <t>No slang</t>
  </si>
  <si>
    <t>If a sample is: Individual=S Duplicate=D Triplicate=T</t>
  </si>
  <si>
    <t>yyyy</t>
  </si>
  <si>
    <t>mm</t>
  </si>
  <si>
    <t>dd</t>
  </si>
  <si>
    <t>ddd</t>
  </si>
  <si>
    <t>hhmm(ss)</t>
  </si>
  <si>
    <t>sddd.dddd</t>
  </si>
  <si>
    <t>-80C, Liquid Nitrogen, Other (specify)</t>
  </si>
  <si>
    <t>GSFC sample code</t>
  </si>
  <si>
    <t>Sequential Sample Number</t>
  </si>
  <si>
    <t>PI</t>
  </si>
  <si>
    <t>Sample Label</t>
  </si>
  <si>
    <t>Cruise ID</t>
  </si>
  <si>
    <t>Indicate if filters are replicates</t>
  </si>
  <si>
    <t>Volume filtered (ml)</t>
  </si>
  <si>
    <t>Station</t>
  </si>
  <si>
    <t>Bottle Number</t>
  </si>
  <si>
    <t>Sampling Depth (meters)</t>
  </si>
  <si>
    <t>Total Water Depth (meters)</t>
  </si>
  <si>
    <t>Name of Water Body</t>
  </si>
  <si>
    <t>Year</t>
  </si>
  <si>
    <t>Month</t>
  </si>
  <si>
    <t>Day of Gregorian Month</t>
  </si>
  <si>
    <t>Sequential Day of Year</t>
  </si>
  <si>
    <t>GMT Time</t>
  </si>
  <si>
    <t>Longitude</t>
  </si>
  <si>
    <t>Latitude</t>
  </si>
  <si>
    <t>Filter type</t>
  </si>
  <si>
    <t>Filter Diameter (mm)</t>
  </si>
  <si>
    <t>Filter storage before shipping to GSFC</t>
  </si>
  <si>
    <t>other</t>
  </si>
  <si>
    <t>S</t>
  </si>
  <si>
    <t>Feb</t>
  </si>
  <si>
    <t>GF/F</t>
  </si>
  <si>
    <t>D</t>
  </si>
  <si>
    <t>2. For column F, please fill in all cells. If a sample has no replicate, indicate S. If samples are duplicates, indicate D. If samples are triplicates, indicate T.</t>
  </si>
  <si>
    <t>2.  If you have any other information that is useful to further identify your samples (ex. size fraction, etc.), please note that in columns AFTER 'filter diameter'.</t>
  </si>
  <si>
    <t>Chl_c1c2</t>
  </si>
  <si>
    <t>[TCar]</t>
  </si>
  <si>
    <t>[PPC]/[TCar]</t>
  </si>
  <si>
    <t>[TChl]/[TCar]</t>
  </si>
  <si>
    <t>[TChl a]/[TPg]</t>
  </si>
  <si>
    <t>Chl_c3 + Chl_c1c2</t>
  </si>
  <si>
    <r>
      <t xml:space="preserve">We have also adopted </t>
    </r>
    <r>
      <rPr>
        <b/>
        <sz val="12"/>
        <rFont val="Helvetica"/>
      </rPr>
      <t xml:space="preserve">(NEW PROCEDURE AS OF JUNE 2017) </t>
    </r>
    <r>
      <rPr>
        <sz val="12"/>
        <rFont val="Helvetica"/>
      </rPr>
      <t>the use of -9999 to fill any cells for which we are missing information.</t>
    </r>
  </si>
  <si>
    <t>Zeros/Missing data</t>
  </si>
  <si>
    <t>Additional columns included in sample metadata sheet are included after the results</t>
  </si>
  <si>
    <t>Alpha_beta_Car</t>
  </si>
  <si>
    <t>-8888 is used for any pigments "not found"</t>
  </si>
  <si>
    <t>-9999 is used to fill any empty cells</t>
  </si>
  <si>
    <t xml:space="preserve">Please refer to the "Contribute Data" menu on the SeaBASS website for information on how to prepare your data files for submission. </t>
  </si>
  <si>
    <t>https://seabass.gsfc.nasa.gov/wiki/Data_Submission</t>
  </si>
  <si>
    <r>
      <t xml:space="preserve">Data contained in this worksheet should be reviewed for quality assurance by the PI </t>
    </r>
    <r>
      <rPr>
        <sz val="12"/>
        <color rgb="FFFF0000"/>
        <rFont val="Arial"/>
        <family val="2"/>
      </rPr>
      <t>BEFORE</t>
    </r>
    <r>
      <rPr>
        <sz val="12"/>
        <color theme="1"/>
        <rFont val="Arial"/>
        <family val="2"/>
      </rPr>
      <t xml:space="preserve"> being submitted to the SeaBASS data archive.</t>
    </r>
  </si>
  <si>
    <r>
      <t>Data deemed satisfactory for science and reporting by the PI must then be converted into the SeaBASS data format (see above link) either manually, or using this web tool (</t>
    </r>
    <r>
      <rPr>
        <sz val="12"/>
        <color rgb="FFFF0000"/>
        <rFont val="Arial"/>
        <family val="2"/>
      </rPr>
      <t>NEW, as of June 2017</t>
    </r>
    <r>
      <rPr>
        <sz val="12"/>
        <rFont val="Arial"/>
        <family val="2"/>
        <charset val="1"/>
      </rPr>
      <t>):</t>
    </r>
  </si>
  <si>
    <t>https://seabass.gsfc.nasa.gov/hplc2sb/</t>
  </si>
  <si>
    <t>Please ensure that each row of data on the Report sheet has all relevant columns and fields of metadata filled in, and</t>
  </si>
  <si>
    <t>please add comments to your SeaBASS file(s) header section indicating who and where your HPLC analysis was run:</t>
  </si>
  <si>
    <t>! HPLC analysis was run at NASA GSFC by Crystal Thomas.</t>
  </si>
  <si>
    <t>If your data file contains measurements that were below detection limits ("not found", see Zeros section), those values were set to -8888,</t>
  </si>
  <si>
    <t>and the following information should be included in your metadata headers:</t>
  </si>
  <si>
    <t>/missing=-9999</t>
  </si>
  <si>
    <t>Information in red was entered or extrapolated by C. Thomas</t>
  </si>
  <si>
    <r>
      <t>[Chl c</t>
    </r>
    <r>
      <rPr>
        <vertAlign val="subscript"/>
        <sz val="10"/>
        <color indexed="12"/>
        <rFont val="Arial"/>
        <family val="2"/>
      </rPr>
      <t>1</t>
    </r>
    <r>
      <rPr>
        <sz val="10"/>
        <color indexed="12"/>
        <rFont val="Arial"/>
        <family val="2"/>
      </rPr>
      <t>c</t>
    </r>
    <r>
      <rPr>
        <vertAlign val="subscript"/>
        <sz val="10"/>
        <color indexed="12"/>
        <rFont val="Arial"/>
        <family val="2"/>
      </rPr>
      <t>2</t>
    </r>
    <r>
      <rPr>
        <sz val="10"/>
        <color indexed="12"/>
        <rFont val="Arial"/>
        <family val="2"/>
      </rPr>
      <t>]</t>
    </r>
  </si>
  <si>
    <r>
      <t>[Chl_c</t>
    </r>
    <r>
      <rPr>
        <vertAlign val="subscript"/>
        <sz val="10"/>
        <color indexed="12"/>
        <rFont val="Arial"/>
        <family val="2"/>
      </rPr>
      <t>3</t>
    </r>
    <r>
      <rPr>
        <sz val="10"/>
        <color indexed="12"/>
        <rFont val="Arial"/>
        <family val="2"/>
      </rPr>
      <t>]</t>
    </r>
  </si>
  <si>
    <t>08-1689</t>
  </si>
  <si>
    <t>08-1689.5</t>
  </si>
  <si>
    <t>08-1690</t>
  </si>
  <si>
    <t>08-1691</t>
  </si>
  <si>
    <t>08-1692</t>
  </si>
  <si>
    <t>08-1693</t>
  </si>
  <si>
    <t>08-1694</t>
  </si>
  <si>
    <t>08-1695</t>
  </si>
  <si>
    <t>08-1696</t>
  </si>
  <si>
    <t>08-1697</t>
  </si>
  <si>
    <t>08-1698</t>
  </si>
  <si>
    <t>08-1699</t>
  </si>
  <si>
    <t>08-1700</t>
  </si>
  <si>
    <t>08-1701</t>
  </si>
  <si>
    <t>08-1702</t>
  </si>
  <si>
    <t>08-1703</t>
  </si>
  <si>
    <t>08-1704</t>
  </si>
  <si>
    <t>08-1705</t>
  </si>
  <si>
    <t>08-1706</t>
  </si>
  <si>
    <t>08-1707</t>
  </si>
  <si>
    <t>08-1708</t>
  </si>
  <si>
    <t>08-1709</t>
  </si>
  <si>
    <t>08-1710</t>
  </si>
  <si>
    <t>08-1711</t>
  </si>
  <si>
    <t>08-1712</t>
  </si>
  <si>
    <t>08-1713</t>
  </si>
  <si>
    <t>08-1714</t>
  </si>
  <si>
    <t>08-1715</t>
  </si>
  <si>
    <t>08-1716</t>
  </si>
  <si>
    <t>08-1717</t>
  </si>
  <si>
    <t>08-1717.5</t>
  </si>
  <si>
    <t>08-1718</t>
  </si>
  <si>
    <t>08-1719</t>
  </si>
  <si>
    <t>08-1720</t>
  </si>
  <si>
    <t>08-1721</t>
  </si>
  <si>
    <t>08-1722</t>
  </si>
  <si>
    <t>08-1723</t>
  </si>
  <si>
    <t>08-1724</t>
  </si>
  <si>
    <t>08-1725</t>
  </si>
  <si>
    <t>08-1726</t>
  </si>
  <si>
    <t>08-1727</t>
  </si>
  <si>
    <t>08-1728</t>
  </si>
  <si>
    <t>08-1729</t>
  </si>
  <si>
    <t>08-1730</t>
  </si>
  <si>
    <t>08-1731</t>
  </si>
  <si>
    <t>08-1732</t>
  </si>
  <si>
    <t>08-1733</t>
  </si>
  <si>
    <t>08-1734</t>
  </si>
  <si>
    <t>08-1735</t>
  </si>
  <si>
    <t>08-1736</t>
  </si>
  <si>
    <t>08-1737</t>
  </si>
  <si>
    <t>08-1738</t>
  </si>
  <si>
    <t>08-1739</t>
  </si>
  <si>
    <t>08-1740</t>
  </si>
  <si>
    <t>08-1741</t>
  </si>
  <si>
    <t>08-1742</t>
  </si>
  <si>
    <t>08-1743</t>
  </si>
  <si>
    <t>08-1744</t>
  </si>
  <si>
    <t>08-1745</t>
  </si>
  <si>
    <t>08-1746</t>
  </si>
  <si>
    <t>08-1747</t>
  </si>
  <si>
    <t>08-1748</t>
  </si>
  <si>
    <t>08-1749</t>
  </si>
  <si>
    <t>08-1750</t>
  </si>
  <si>
    <t>08-1751</t>
  </si>
  <si>
    <t>08-1752</t>
  </si>
  <si>
    <t>08-1753</t>
  </si>
  <si>
    <t>08-1754</t>
  </si>
  <si>
    <t>08-1755</t>
  </si>
  <si>
    <t>08-1756</t>
  </si>
  <si>
    <t>08-1757</t>
  </si>
  <si>
    <t>08-1758</t>
  </si>
  <si>
    <t>08-1759</t>
  </si>
  <si>
    <t>08-1760</t>
  </si>
  <si>
    <t>08-1744.5</t>
  </si>
  <si>
    <t>08-1761</t>
  </si>
  <si>
    <t>08-1762</t>
  </si>
  <si>
    <t>08-1763</t>
  </si>
  <si>
    <t>08-1764</t>
  </si>
  <si>
    <t>08-1765</t>
  </si>
  <si>
    <t>08-1766</t>
  </si>
  <si>
    <t>08-1767</t>
  </si>
  <si>
    <t>08-1768</t>
  </si>
  <si>
    <t>08-1769</t>
  </si>
  <si>
    <t>08-1770</t>
  </si>
  <si>
    <t>08-1771</t>
  </si>
  <si>
    <t>08-1772</t>
  </si>
  <si>
    <t>08-1773</t>
  </si>
  <si>
    <t>08-1774</t>
  </si>
  <si>
    <t>08-1775</t>
  </si>
  <si>
    <t>08-1776</t>
  </si>
  <si>
    <t>08-1777</t>
  </si>
  <si>
    <t>08-1778</t>
  </si>
  <si>
    <t>08-1779</t>
  </si>
  <si>
    <t>08-1780</t>
  </si>
  <si>
    <t>08-1781</t>
  </si>
  <si>
    <t>08-1782</t>
  </si>
  <si>
    <t>08-1783</t>
  </si>
  <si>
    <t>08-1784</t>
  </si>
  <si>
    <t>08-1785</t>
  </si>
  <si>
    <t>08-1786</t>
  </si>
  <si>
    <t>08-1787</t>
  </si>
  <si>
    <t>08-1788</t>
  </si>
  <si>
    <t>08-1789</t>
  </si>
  <si>
    <t>08-1790</t>
  </si>
  <si>
    <t>08-1791</t>
  </si>
  <si>
    <t>08-1792</t>
  </si>
  <si>
    <t>08-1793</t>
  </si>
  <si>
    <t>08-1772.5</t>
  </si>
  <si>
    <t>08-1794</t>
  </si>
  <si>
    <t>08-1795</t>
  </si>
  <si>
    <t>08-1796</t>
  </si>
  <si>
    <t>08-1797</t>
  </si>
  <si>
    <t>08-1798</t>
  </si>
  <si>
    <t>08-1799</t>
  </si>
  <si>
    <t>08-1800</t>
  </si>
  <si>
    <t>08-1800.5</t>
  </si>
  <si>
    <t>08-1801</t>
  </si>
  <si>
    <t>08-1802</t>
  </si>
  <si>
    <t>08-1803</t>
  </si>
  <si>
    <t>08-1804</t>
  </si>
  <si>
    <t>08-1805</t>
  </si>
  <si>
    <t>08-1806</t>
  </si>
  <si>
    <t>08-1807</t>
  </si>
  <si>
    <t>08-1808</t>
  </si>
  <si>
    <t>08-1809</t>
  </si>
  <si>
    <t>08-1810</t>
  </si>
  <si>
    <t>08-1811</t>
  </si>
  <si>
    <t>08-1812</t>
  </si>
  <si>
    <t>08-1813</t>
  </si>
  <si>
    <t>08-1814</t>
  </si>
  <si>
    <t>08-1815</t>
  </si>
  <si>
    <t>08-1816</t>
  </si>
  <si>
    <t>08-1817</t>
  </si>
  <si>
    <t>Sosik, Heidi</t>
  </si>
  <si>
    <t>HSL_1</t>
  </si>
  <si>
    <t>EN608</t>
  </si>
  <si>
    <t>HSL_2</t>
  </si>
  <si>
    <t>HSL_3</t>
  </si>
  <si>
    <t>HSL_4</t>
  </si>
  <si>
    <t>HSL_5</t>
  </si>
  <si>
    <t>HSL_6</t>
  </si>
  <si>
    <t>HSL_7</t>
  </si>
  <si>
    <t>HSL_8</t>
  </si>
  <si>
    <t>HSL_9</t>
  </si>
  <si>
    <t>HSL_10</t>
  </si>
  <si>
    <t>HSL_11</t>
  </si>
  <si>
    <t>HSL_12</t>
  </si>
  <si>
    <t>HSL_13</t>
  </si>
  <si>
    <t>HSL_14</t>
  </si>
  <si>
    <t>HSL_15</t>
  </si>
  <si>
    <t>HSL_16</t>
  </si>
  <si>
    <t>HSL_17</t>
  </si>
  <si>
    <t>HSL_18</t>
  </si>
  <si>
    <t>HSL_19</t>
  </si>
  <si>
    <t>HSL_20</t>
  </si>
  <si>
    <t>HSL_21</t>
  </si>
  <si>
    <t>HSL_22</t>
  </si>
  <si>
    <t>HSL_23</t>
  </si>
  <si>
    <t>HSL_24</t>
  </si>
  <si>
    <t>HSL_25</t>
  </si>
  <si>
    <t>HSL_26</t>
  </si>
  <si>
    <t>HSL_27</t>
  </si>
  <si>
    <t>HSL_28</t>
  </si>
  <si>
    <t>HSL_29</t>
  </si>
  <si>
    <t>HSL_30</t>
  </si>
  <si>
    <t>HSL_31</t>
  </si>
  <si>
    <t>HSL_32</t>
  </si>
  <si>
    <t>HSL_33</t>
  </si>
  <si>
    <t>HSL_34</t>
  </si>
  <si>
    <t>HSL_35</t>
  </si>
  <si>
    <t>AR28B</t>
  </si>
  <si>
    <t>HSL_36</t>
  </si>
  <si>
    <t>HSL_37</t>
  </si>
  <si>
    <t>HSL_38</t>
  </si>
  <si>
    <t>HSL_39</t>
  </si>
  <si>
    <t>HSL_40</t>
  </si>
  <si>
    <t>HSL_41</t>
  </si>
  <si>
    <t>HSL_42</t>
  </si>
  <si>
    <t>HSL_43</t>
  </si>
  <si>
    <t>HSL_44</t>
  </si>
  <si>
    <t>HSL_45</t>
  </si>
  <si>
    <t>HSL_46</t>
  </si>
  <si>
    <t>HSL_47</t>
  </si>
  <si>
    <t>HSL_48</t>
  </si>
  <si>
    <t>HSL_49</t>
  </si>
  <si>
    <t>HSL_50</t>
  </si>
  <si>
    <t>HSL_51</t>
  </si>
  <si>
    <t>HSL_52</t>
  </si>
  <si>
    <t>HSL_53</t>
  </si>
  <si>
    <t>HSL_54</t>
  </si>
  <si>
    <t>HSL_55</t>
  </si>
  <si>
    <t>HSL_56</t>
  </si>
  <si>
    <t>HSL_282</t>
  </si>
  <si>
    <t>EN617</t>
  </si>
  <si>
    <t>HSL_283</t>
  </si>
  <si>
    <t>HSL_284</t>
  </si>
  <si>
    <t>HSL_285</t>
  </si>
  <si>
    <t>HSL_286</t>
  </si>
  <si>
    <t>HSL_287</t>
  </si>
  <si>
    <t>HSL_288</t>
  </si>
  <si>
    <t>HSL_289</t>
  </si>
  <si>
    <t>HSL_290</t>
  </si>
  <si>
    <t>HSL_291</t>
  </si>
  <si>
    <t>HSL_292</t>
  </si>
  <si>
    <t>HSL_293</t>
  </si>
  <si>
    <t>HSL_294</t>
  </si>
  <si>
    <t>HSL_295</t>
  </si>
  <si>
    <t>HSL_296</t>
  </si>
  <si>
    <t>HSL_297</t>
  </si>
  <si>
    <t>HSL_298</t>
  </si>
  <si>
    <t>HSL_299</t>
  </si>
  <si>
    <t>HSL_300</t>
  </si>
  <si>
    <t>HSL_301</t>
  </si>
  <si>
    <t>HSL_302</t>
  </si>
  <si>
    <t>HSL_303</t>
  </si>
  <si>
    <t>HSL_304</t>
  </si>
  <si>
    <t>HSL_305</t>
  </si>
  <si>
    <t>HSL_306</t>
  </si>
  <si>
    <t>HSL_307</t>
  </si>
  <si>
    <t>HSL_308</t>
  </si>
  <si>
    <t>HSL_309</t>
  </si>
  <si>
    <t>HSL_310</t>
  </si>
  <si>
    <t>AR31A</t>
  </si>
  <si>
    <t>HSL_311</t>
  </si>
  <si>
    <t>HSL_312</t>
  </si>
  <si>
    <t>HSL_313</t>
  </si>
  <si>
    <t>HSL_314</t>
  </si>
  <si>
    <t>HSL_315</t>
  </si>
  <si>
    <t>HSL_316</t>
  </si>
  <si>
    <t>HSL_317</t>
  </si>
  <si>
    <t>HSL_318</t>
  </si>
  <si>
    <t>HSL_319</t>
  </si>
  <si>
    <t>HSL_320</t>
  </si>
  <si>
    <t>HSL_321</t>
  </si>
  <si>
    <t>HSL_322</t>
  </si>
  <si>
    <t>HSL_323</t>
  </si>
  <si>
    <t>HSL_324</t>
  </si>
  <si>
    <t>EN627</t>
  </si>
  <si>
    <t>HSL_325</t>
  </si>
  <si>
    <t>HSL_326</t>
  </si>
  <si>
    <t>HSL_327</t>
  </si>
  <si>
    <t>HSL_328</t>
  </si>
  <si>
    <t>HSL_329</t>
  </si>
  <si>
    <t>HSL_330</t>
  </si>
  <si>
    <t>HSL_331</t>
  </si>
  <si>
    <t>HSL_332</t>
  </si>
  <si>
    <t>HSL_333</t>
  </si>
  <si>
    <t>HSL_334</t>
  </si>
  <si>
    <t>HSL_335</t>
  </si>
  <si>
    <t>HSL_336</t>
  </si>
  <si>
    <t>HSL_337</t>
  </si>
  <si>
    <t>HSL_338</t>
  </si>
  <si>
    <t>HSL_339</t>
  </si>
  <si>
    <t>HSL_340</t>
  </si>
  <si>
    <t>HSL_341</t>
  </si>
  <si>
    <t>HSL_342</t>
  </si>
  <si>
    <t>HSL_343</t>
  </si>
  <si>
    <t>HSL_344</t>
  </si>
  <si>
    <t>HSL_345</t>
  </si>
  <si>
    <t>HSL_346</t>
  </si>
  <si>
    <t>HSL_347</t>
  </si>
  <si>
    <t>HSL_348</t>
  </si>
  <si>
    <t>HSL_349</t>
  </si>
  <si>
    <t>HSL_350</t>
  </si>
  <si>
    <t>HSL_351</t>
  </si>
  <si>
    <t>HSL_352</t>
  </si>
  <si>
    <t>HSL_353</t>
  </si>
  <si>
    <t>HSL_354</t>
  </si>
  <si>
    <t>North East Shelf</t>
  </si>
  <si>
    <t>Jan</t>
  </si>
  <si>
    <t>19:23</t>
  </si>
  <si>
    <t>Liquid Nitrogen</t>
  </si>
  <si>
    <t>closest LTER station:  L1</t>
  </si>
  <si>
    <t>05:39</t>
  </si>
  <si>
    <t>closest LTER station:  L2</t>
  </si>
  <si>
    <t>09:17</t>
  </si>
  <si>
    <t>closest LTER station:  L3</t>
  </si>
  <si>
    <t>19:15</t>
  </si>
  <si>
    <t>closest LTER station:  L4</t>
  </si>
  <si>
    <t>23:33</t>
  </si>
  <si>
    <t>closest LTER station:  L5</t>
  </si>
  <si>
    <t>09:13</t>
  </si>
  <si>
    <t>closest LTER station:  L6</t>
  </si>
  <si>
    <t>15:14</t>
  </si>
  <si>
    <t>closest LTER station:  L7</t>
  </si>
  <si>
    <t>19:00</t>
  </si>
  <si>
    <t>closest LTER station:  L8</t>
  </si>
  <si>
    <t>Volume filtered approximate, could be off by up to 15ml</t>
  </si>
  <si>
    <t>17:45</t>
  </si>
  <si>
    <t>closest LTER station:  L11</t>
  </si>
  <si>
    <t>22:37</t>
  </si>
  <si>
    <t>MISSING - POTENTIALLY IN ANOTHER PACKET BUT LIKELY IN OUR DEWAR</t>
  </si>
  <si>
    <t>03:13</t>
  </si>
  <si>
    <t>00:03</t>
  </si>
  <si>
    <t>closest LTER station:  MVCO</t>
  </si>
  <si>
    <t>Apr</t>
  </si>
  <si>
    <t>20:26</t>
  </si>
  <si>
    <t>22:12</t>
  </si>
  <si>
    <t>00:04</t>
  </si>
  <si>
    <t>01:56</t>
  </si>
  <si>
    <t>vol filt could potentially be incorrect</t>
  </si>
  <si>
    <t>04:02</t>
  </si>
  <si>
    <t>14:50</t>
  </si>
  <si>
    <t>closest LTER station:  L10</t>
  </si>
  <si>
    <t>01:53</t>
  </si>
  <si>
    <t>18:21</t>
  </si>
  <si>
    <t>closest LTER station:  L9</t>
  </si>
  <si>
    <t>12:21</t>
  </si>
  <si>
    <t>17:59</t>
  </si>
  <si>
    <t>12:07</t>
  </si>
  <si>
    <t>SAMPLE PACKET LIKELY LABELED HSL63 BUT WITHIN PACKET AR28B C37</t>
  </si>
  <si>
    <t>SAMPLE PACKET LIKELY LABELED HSL64 BUT WITHIN PACKET AR28B C37</t>
  </si>
  <si>
    <t>Jul</t>
  </si>
  <si>
    <t>17:23</t>
  </si>
  <si>
    <t>22:57</t>
  </si>
  <si>
    <t>06:39</t>
  </si>
  <si>
    <t>14:51</t>
  </si>
  <si>
    <t>02:08</t>
  </si>
  <si>
    <t>05:00</t>
  </si>
  <si>
    <t>08:58</t>
  </si>
  <si>
    <t>18:17</t>
  </si>
  <si>
    <t>21:46</t>
  </si>
  <si>
    <t>Oct</t>
  </si>
  <si>
    <t>07:43</t>
  </si>
  <si>
    <t>10:07</t>
  </si>
  <si>
    <t>12:04</t>
  </si>
  <si>
    <t>14:10</t>
  </si>
  <si>
    <t>16:15</t>
  </si>
  <si>
    <t>17:51</t>
  </si>
  <si>
    <t>21:39</t>
  </si>
  <si>
    <t>06:29</t>
  </si>
  <si>
    <t>10:02</t>
  </si>
  <si>
    <t>19:59</t>
  </si>
  <si>
    <t>23:26</t>
  </si>
  <si>
    <t>10:47</t>
  </si>
  <si>
    <t>13:51</t>
  </si>
  <si>
    <t>17:42</t>
  </si>
  <si>
    <t>01:52</t>
  </si>
  <si>
    <t>06:40</t>
  </si>
  <si>
    <t>12:47</t>
  </si>
  <si>
    <t>02:42</t>
  </si>
  <si>
    <t>closest LTER station:  u11c</t>
  </si>
  <si>
    <t>04:23</t>
  </si>
  <si>
    <t>HSL 285</t>
  </si>
  <si>
    <t>sample on spreadsheet, no corresponding sample</t>
  </si>
  <si>
    <t>2 samples with this ID included in shipment, don't know which corresponds to this information</t>
  </si>
  <si>
    <t>Chl c1c2</t>
  </si>
  <si>
    <t>CV%</t>
  </si>
  <si>
    <t>[TChl a]</t>
  </si>
  <si>
    <t>[TChl b]</t>
  </si>
  <si>
    <t>[TChl c]</t>
  </si>
  <si>
    <t>[Car]</t>
  </si>
  <si>
    <t>[Diad]</t>
  </si>
  <si>
    <t>[Chl a]</t>
  </si>
  <si>
    <t>[DVChl a]</t>
  </si>
  <si>
    <t>[Chlide a]</t>
  </si>
  <si>
    <t>[Chl b]</t>
  </si>
  <si>
    <t>[DVChl b]</t>
  </si>
  <si>
    <t>[Chl c1c2]</t>
  </si>
  <si>
    <t>[Chl c3]</t>
  </si>
  <si>
    <t>[Phytin a]</t>
  </si>
  <si>
    <t>[Phide a]</t>
  </si>
  <si>
    <t>[Gyr diester]</t>
  </si>
  <si>
    <t>PPIG</t>
  </si>
  <si>
    <t>AVG</t>
  </si>
  <si>
    <t>S.D.</t>
  </si>
  <si>
    <t>TChl a =</t>
  </si>
  <si>
    <t>Ppig =</t>
  </si>
  <si>
    <t>n =</t>
  </si>
  <si>
    <t>08-1794.5</t>
  </si>
  <si>
    <t>duplicate HSL number, which is also relfected in cruise logsheets, feel 100% confident this is C1N12 duplicate</t>
  </si>
  <si>
    <t>HSL_1049</t>
  </si>
  <si>
    <t>duplicate HSL number, which is also relfected in cruise logsheets, feel 100% confident this is C2N11 duplicate, switch to HSL_1049 after getting data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</si>
</sst>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000"/>
    <numFmt numFmtId="165" formatCode="0.00000"/>
    <numFmt numFmtId="166" formatCode="0.000"/>
    <numFmt numFmtId="167" formatCode="0.0"/>
    <numFmt numFmtId="168" formatCode="[$-F400]h:mm:ss\ AM/PM"/>
    <numFmt numFmtId="169" formatCode="h:mm;@"/>
  </numFmts>
  <fonts count="73">
    <font>
      <sz val="10"/>
      <name val="Helvetica"/>
    </font>
    <font>
      <b/>
      <sz val="10"/>
      <name val="Helvetica"/>
    </font>
    <font>
      <sz val="8"/>
      <name val="Helvetica"/>
    </font>
    <font>
      <b/>
      <sz val="10"/>
      <color indexed="10"/>
      <name val="Helvetica"/>
    </font>
    <font>
      <sz val="10"/>
      <color indexed="12"/>
      <name val="Helvetica"/>
    </font>
    <font>
      <b/>
      <sz val="10"/>
      <color indexed="12"/>
      <name val="Helvetica"/>
    </font>
    <font>
      <sz val="10"/>
      <name val="Helvetica"/>
    </font>
    <font>
      <sz val="10"/>
      <name val="Helvetica"/>
    </font>
    <font>
      <b/>
      <sz val="14"/>
      <name val="Geneva"/>
    </font>
    <font>
      <sz val="10"/>
      <name val="Geneva"/>
    </font>
    <font>
      <b/>
      <sz val="10"/>
      <name val="Geneva"/>
    </font>
    <font>
      <b/>
      <sz val="10"/>
      <color indexed="8"/>
      <name val="Geneva"/>
    </font>
    <font>
      <sz val="10"/>
      <color indexed="12"/>
      <name val="Geneva"/>
    </font>
    <font>
      <sz val="10"/>
      <color indexed="17"/>
      <name val="Geneva"/>
    </font>
    <font>
      <sz val="10"/>
      <color indexed="12"/>
      <name val="Arial"/>
      <family val="2"/>
    </font>
    <font>
      <sz val="10"/>
      <color indexed="8"/>
      <name val="Geneva"/>
    </font>
    <font>
      <sz val="12"/>
      <name val="Helvetica"/>
    </font>
    <font>
      <b/>
      <sz val="10"/>
      <color indexed="17"/>
      <name val="Geneva"/>
    </font>
    <font>
      <b/>
      <sz val="12"/>
      <name val="Helvetica"/>
    </font>
    <font>
      <u/>
      <sz val="10"/>
      <color theme="10"/>
      <name val="Helvetica"/>
    </font>
    <font>
      <u/>
      <sz val="10"/>
      <color theme="11"/>
      <name val="Helvetica"/>
    </font>
    <font>
      <b/>
      <sz val="14"/>
      <name val="Helvetica"/>
    </font>
    <font>
      <b/>
      <sz val="12"/>
      <color rgb="FFFF0000"/>
      <name val="Helvetica"/>
    </font>
    <font>
      <b/>
      <sz val="8"/>
      <color indexed="12"/>
      <name val="Geneva"/>
    </font>
    <font>
      <b/>
      <sz val="8"/>
      <color indexed="17"/>
      <name val="Geneva"/>
    </font>
    <font>
      <sz val="8"/>
      <name val="Geneva"/>
    </font>
    <font>
      <u/>
      <sz val="12"/>
      <color theme="10"/>
      <name val="Helvetica"/>
    </font>
    <font>
      <sz val="12"/>
      <name val="Arial"/>
      <family val="2"/>
      <charset val="1"/>
    </font>
    <font>
      <u/>
      <sz val="12"/>
      <color rgb="FF0000FF"/>
      <name val="Arial"/>
      <family val="2"/>
      <charset val="1"/>
    </font>
    <font>
      <sz val="12"/>
      <color rgb="FFFF0000"/>
      <name val="Arial"/>
      <family val="2"/>
    </font>
    <font>
      <sz val="12"/>
      <color theme="1"/>
      <name val="Arial"/>
      <family val="2"/>
    </font>
    <font>
      <b/>
      <sz val="14"/>
      <name val="Arial"/>
      <family val="2"/>
    </font>
    <font>
      <sz val="10"/>
      <name val="Arial"/>
      <family val="2"/>
    </font>
    <font>
      <sz val="10"/>
      <color indexed="10"/>
      <name val="Arial"/>
      <family val="2"/>
    </font>
    <font>
      <b/>
      <sz val="10"/>
      <name val="Arial"/>
      <family val="2"/>
    </font>
    <font>
      <b/>
      <sz val="10"/>
      <color theme="1"/>
      <name val="Arial"/>
      <family val="2"/>
    </font>
    <font>
      <b/>
      <sz val="10"/>
      <color indexed="10"/>
      <name val="Arial"/>
      <family val="2"/>
    </font>
    <font>
      <b/>
      <sz val="12"/>
      <name val="Arial"/>
      <family val="2"/>
    </font>
    <font>
      <b/>
      <sz val="10"/>
      <color indexed="8"/>
      <name val="Arial"/>
      <family val="2"/>
    </font>
    <font>
      <b/>
      <sz val="10"/>
      <color rgb="FFFF0000"/>
      <name val="Arial"/>
      <family val="2"/>
    </font>
    <font>
      <sz val="10"/>
      <color indexed="17"/>
      <name val="Arial"/>
      <family val="2"/>
    </font>
    <font>
      <sz val="12"/>
      <name val="Arial"/>
      <family val="2"/>
    </font>
    <font>
      <b/>
      <sz val="14"/>
      <color indexed="43"/>
      <name val="Arial"/>
      <family val="2"/>
    </font>
    <font>
      <b/>
      <sz val="14"/>
      <color indexed="12"/>
      <name val="Arial"/>
      <family val="2"/>
    </font>
    <font>
      <b/>
      <sz val="14"/>
      <color indexed="41"/>
      <name val="Arial"/>
      <family val="2"/>
    </font>
    <font>
      <b/>
      <sz val="14"/>
      <color indexed="45"/>
      <name val="Arial"/>
      <family val="2"/>
    </font>
    <font>
      <b/>
      <sz val="14"/>
      <color indexed="47"/>
      <name val="Arial"/>
      <family val="2"/>
    </font>
    <font>
      <b/>
      <sz val="14"/>
      <color indexed="46"/>
      <name val="Arial"/>
      <family val="2"/>
    </font>
    <font>
      <b/>
      <sz val="14"/>
      <color indexed="44"/>
      <name val="Arial"/>
      <family val="2"/>
    </font>
    <font>
      <vertAlign val="subscript"/>
      <sz val="10"/>
      <color indexed="12"/>
      <name val="Arial"/>
      <family val="2"/>
    </font>
    <font>
      <sz val="10"/>
      <color rgb="FF0000D4"/>
      <name val="Arial"/>
      <family val="2"/>
    </font>
    <font>
      <sz val="10"/>
      <name val="Geneva"/>
      <family val="2"/>
    </font>
    <font>
      <sz val="9"/>
      <color indexed="81"/>
      <name val="Tahoma"/>
      <family val="2"/>
    </font>
    <font>
      <b/>
      <sz val="9"/>
      <color indexed="81"/>
      <name val="Tahoma"/>
      <family val="2"/>
    </font>
    <font>
      <sz val="10"/>
      <color rgb="FFFF0000"/>
      <name val="Helvetica"/>
    </font>
    <font>
      <b/>
      <sz val="10"/>
      <color rgb="FFFF0000"/>
      <name val="Geneva"/>
    </font>
    <font>
      <sz val="10"/>
      <color theme="1"/>
      <name val="Arial"/>
      <family val="2"/>
    </font>
    <font>
      <b/>
      <sz val="12"/>
      <color indexed="47"/>
      <name val="Arial"/>
      <family val="2"/>
    </font>
    <font>
      <b/>
      <sz val="10"/>
      <color indexed="12"/>
      <name val="Arial"/>
      <family val="2"/>
    </font>
    <font>
      <b/>
      <sz val="14"/>
      <color rgb="FFFFFF99"/>
      <name val="Arial"/>
      <family val="2"/>
    </font>
    <font>
      <b/>
      <sz val="14"/>
      <color rgb="FFCCFFFF"/>
      <name val="Arial"/>
      <family val="2"/>
    </font>
    <font>
      <b/>
      <sz val="14"/>
      <color rgb="FFFF99CC"/>
      <name val="Arial"/>
      <family val="2"/>
    </font>
    <font>
      <b/>
      <sz val="12"/>
      <color rgb="FFFFCC99"/>
      <name val="Arial"/>
      <family val="2"/>
    </font>
    <font>
      <b/>
      <sz val="14"/>
      <color rgb="FFCC99FF"/>
      <name val="Arial"/>
      <family val="2"/>
    </font>
    <font>
      <b/>
      <sz val="14"/>
      <color rgb="FF0000D4"/>
      <name val="Arial"/>
      <family val="2"/>
    </font>
    <font>
      <b/>
      <sz val="14"/>
      <color rgb="FF99CCFF"/>
      <name val="Arial"/>
      <family val="2"/>
    </font>
    <font>
      <sz val="10"/>
      <color rgb="FF000000"/>
      <name val="Arial"/>
      <family val="2"/>
    </font>
    <font>
      <b/>
      <sz val="10"/>
      <color indexed="43"/>
      <name val="Arial"/>
      <family val="2"/>
    </font>
    <font>
      <b/>
      <sz val="10"/>
      <color indexed="41"/>
      <name val="Arial"/>
      <family val="2"/>
    </font>
    <font>
      <b/>
      <sz val="10"/>
      <color indexed="45"/>
      <name val="Arial"/>
      <family val="2"/>
    </font>
    <font>
      <b/>
      <sz val="10"/>
      <color indexed="47"/>
      <name val="Arial"/>
      <family val="2"/>
    </font>
    <font>
      <b/>
      <sz val="10"/>
      <color indexed="46"/>
      <name val="Arial"/>
      <family val="2"/>
    </font>
    <font>
      <b/>
      <sz val="10"/>
      <color indexed="44"/>
      <name val="Arial"/>
      <family val="2"/>
    </font>
  </fonts>
  <fills count="19">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13"/>
        <bgColor indexed="64"/>
      </patternFill>
    </fill>
    <fill>
      <patternFill patternType="solid">
        <fgColor indexed="45"/>
        <bgColor indexed="64"/>
      </patternFill>
    </fill>
    <fill>
      <patternFill patternType="solid">
        <fgColor indexed="47"/>
        <bgColor indexed="64"/>
      </patternFill>
    </fill>
    <fill>
      <patternFill patternType="solid">
        <fgColor indexed="46"/>
        <bgColor indexed="64"/>
      </patternFill>
    </fill>
    <fill>
      <patternFill patternType="solid">
        <fgColor indexed="44"/>
        <bgColor indexed="64"/>
      </patternFill>
    </fill>
    <fill>
      <patternFill patternType="solid">
        <fgColor indexed="23"/>
        <bgColor indexed="64"/>
      </patternFill>
    </fill>
    <fill>
      <patternFill patternType="solid">
        <fgColor theme="0" tint="-0.49998474074526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bgColor indexed="64"/>
      </patternFill>
    </fill>
    <fill>
      <patternFill patternType="solid">
        <fgColor rgb="FFFF0000"/>
        <bgColor indexed="64"/>
      </patternFill>
    </fill>
    <fill>
      <patternFill patternType="solid">
        <fgColor rgb="FF808080"/>
        <bgColor rgb="FF000000"/>
      </patternFill>
    </fill>
    <fill>
      <patternFill patternType="solid">
        <fgColor rgb="FFCCFFCC"/>
        <bgColor rgb="FF000000"/>
      </patternFill>
    </fill>
    <fill>
      <patternFill patternType="solid">
        <fgColor rgb="FFFFCC99"/>
        <bgColor rgb="FF000000"/>
      </patternFill>
    </fill>
    <fill>
      <patternFill patternType="solid">
        <fgColor rgb="FFCCFFFF"/>
        <bgColor rgb="FF000000"/>
      </patternFill>
    </fill>
  </fills>
  <borders count="15">
    <border>
      <left/>
      <right/>
      <top/>
      <bottom/>
      <diagonal/>
    </border>
    <border>
      <left style="thin">
        <color indexed="22"/>
      </left>
      <right style="thin">
        <color indexed="22"/>
      </right>
      <top style="thin">
        <color indexed="22"/>
      </top>
      <bottom style="thin">
        <color indexed="22"/>
      </bottom>
      <diagonal/>
    </border>
    <border>
      <left style="hair">
        <color auto="1"/>
      </left>
      <right style="hair">
        <color auto="1"/>
      </right>
      <top style="hair">
        <color auto="1"/>
      </top>
      <bottom style="hair">
        <color auto="1"/>
      </bottom>
      <diagonal/>
    </border>
    <border>
      <left style="hair">
        <color indexed="22"/>
      </left>
      <right style="hair">
        <color indexed="22"/>
      </right>
      <top style="hair">
        <color indexed="22"/>
      </top>
      <bottom style="hair">
        <color indexed="22"/>
      </bottom>
      <diagonal/>
    </border>
    <border>
      <left style="hair">
        <color indexed="22"/>
      </left>
      <right style="hair">
        <color indexed="22"/>
      </right>
      <top/>
      <bottom style="hair">
        <color indexed="22"/>
      </bottom>
      <diagonal/>
    </border>
    <border>
      <left style="hair">
        <color indexed="22"/>
      </left>
      <right style="hair">
        <color indexed="22"/>
      </right>
      <top style="hair">
        <color indexed="22"/>
      </top>
      <bottom/>
      <diagonal/>
    </border>
    <border>
      <left style="hair">
        <color indexed="22"/>
      </left>
      <right/>
      <top style="hair">
        <color indexed="22"/>
      </top>
      <bottom/>
      <diagonal/>
    </border>
    <border>
      <left/>
      <right style="hair">
        <color indexed="22"/>
      </right>
      <top style="hair">
        <color indexed="22"/>
      </top>
      <bottom/>
      <diagonal/>
    </border>
    <border>
      <left/>
      <right style="hair">
        <color indexed="22"/>
      </right>
      <top/>
      <bottom style="hair">
        <color indexed="22"/>
      </bottom>
      <diagonal/>
    </border>
    <border>
      <left style="thin">
        <color indexed="22"/>
      </left>
      <right style="thin">
        <color indexed="22"/>
      </right>
      <top style="thin">
        <color indexed="22"/>
      </top>
      <bottom/>
      <diagonal/>
    </border>
    <border>
      <left/>
      <right style="hair">
        <color indexed="22"/>
      </right>
      <top style="hair">
        <color indexed="22"/>
      </top>
      <bottom style="hair">
        <color indexed="22"/>
      </bottom>
      <diagonal/>
    </border>
    <border>
      <left/>
      <right/>
      <top style="hair">
        <color indexed="22"/>
      </top>
      <bottom/>
      <diagonal/>
    </border>
    <border>
      <left/>
      <right/>
      <top/>
      <bottom style="thin">
        <color indexed="22"/>
      </bottom>
      <diagonal/>
    </border>
    <border>
      <left style="dotted">
        <color rgb="FFC0C0C0"/>
      </left>
      <right style="dotted">
        <color rgb="FFC0C0C0"/>
      </right>
      <top style="dotted">
        <color rgb="FFC0C0C0"/>
      </top>
      <bottom style="dotted">
        <color rgb="FFC0C0C0"/>
      </bottom>
      <diagonal/>
    </border>
    <border>
      <left style="thin">
        <color rgb="FFC0C0C0"/>
      </left>
      <right style="thin">
        <color rgb="FFC0C0C0"/>
      </right>
      <top style="thin">
        <color rgb="FFC0C0C0"/>
      </top>
      <bottom style="thin">
        <color rgb="FFC0C0C0"/>
      </bottom>
      <diagonal/>
    </border>
  </borders>
  <cellStyleXfs count="126">
    <xf numFmtId="0" fontId="0" fillId="0" borderId="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cellStyleXfs>
  <cellXfs count="286">
    <xf numFmtId="0" fontId="0" fillId="0" borderId="0" xfId="0"/>
    <xf numFmtId="0" fontId="0" fillId="0" borderId="0" xfId="0" applyAlignment="1">
      <alignment horizontal="center"/>
    </xf>
    <xf numFmtId="0" fontId="9" fillId="0" borderId="0" xfId="0" applyFont="1" applyAlignment="1">
      <alignment horizontal="center"/>
    </xf>
    <xf numFmtId="0" fontId="13" fillId="0" borderId="0" xfId="0" applyFont="1" applyAlignment="1">
      <alignment horizontal="center" vertical="center" wrapText="1"/>
    </xf>
    <xf numFmtId="167" fontId="13" fillId="0" borderId="0" xfId="0" applyNumberFormat="1" applyFont="1" applyAlignment="1">
      <alignment horizontal="center" vertical="center" wrapText="1"/>
    </xf>
    <xf numFmtId="0" fontId="13" fillId="0" borderId="0" xfId="0" quotePrefix="1" applyFont="1" applyAlignment="1">
      <alignment horizontal="center" vertical="center" wrapText="1"/>
    </xf>
    <xf numFmtId="0" fontId="5" fillId="0" borderId="2" xfId="0" applyFont="1" applyBorder="1" applyAlignment="1">
      <alignment horizontal="center" vertical="center" wrapText="1"/>
    </xf>
    <xf numFmtId="2" fontId="5" fillId="0" borderId="2" xfId="0" applyNumberFormat="1" applyFont="1" applyBorder="1" applyAlignment="1">
      <alignment horizontal="center" vertical="center" wrapText="1"/>
    </xf>
    <xf numFmtId="0" fontId="6" fillId="0" borderId="2" xfId="0" applyFont="1" applyBorder="1" applyAlignment="1">
      <alignment horizontal="center"/>
    </xf>
    <xf numFmtId="0" fontId="6" fillId="0" borderId="2" xfId="0" applyFont="1" applyBorder="1"/>
    <xf numFmtId="0" fontId="0" fillId="0" borderId="2" xfId="0" applyBorder="1"/>
    <xf numFmtId="0" fontId="3" fillId="0" borderId="2" xfId="0" applyFont="1" applyBorder="1"/>
    <xf numFmtId="0" fontId="7" fillId="0" borderId="2" xfId="0" applyFont="1" applyBorder="1" applyAlignment="1">
      <alignment horizontal="center"/>
    </xf>
    <xf numFmtId="0" fontId="7" fillId="0" borderId="2" xfId="0" applyFont="1" applyBorder="1"/>
    <xf numFmtId="0" fontId="5" fillId="0" borderId="2" xfId="0" applyFont="1" applyBorder="1"/>
    <xf numFmtId="0" fontId="5" fillId="0" borderId="2" xfId="0" applyFont="1" applyBorder="1" applyAlignment="1">
      <alignment horizontal="center"/>
    </xf>
    <xf numFmtId="14" fontId="5" fillId="0" borderId="2" xfId="0" applyNumberFormat="1" applyFont="1" applyBorder="1"/>
    <xf numFmtId="164" fontId="5" fillId="0" borderId="2" xfId="0" applyNumberFormat="1" applyFont="1" applyBorder="1" applyAlignment="1">
      <alignment horizontal="center" vertical="center"/>
    </xf>
    <xf numFmtId="164" fontId="5" fillId="0" borderId="2" xfId="0" applyNumberFormat="1" applyFont="1" applyBorder="1" applyAlignment="1">
      <alignment horizontal="center" vertical="center" wrapText="1"/>
    </xf>
    <xf numFmtId="0" fontId="5" fillId="0" borderId="2" xfId="0" applyFont="1" applyBorder="1" applyAlignment="1">
      <alignment horizontal="center" wrapText="1"/>
    </xf>
    <xf numFmtId="0" fontId="0" fillId="0" borderId="2" xfId="0" applyBorder="1" applyAlignment="1">
      <alignment horizontal="center"/>
    </xf>
    <xf numFmtId="164" fontId="0" fillId="0" borderId="2" xfId="0" applyNumberFormat="1" applyBorder="1"/>
    <xf numFmtId="1" fontId="0" fillId="0" borderId="2" xfId="0" applyNumberFormat="1" applyBorder="1" applyAlignment="1">
      <alignment horizontal="center"/>
    </xf>
    <xf numFmtId="0" fontId="10" fillId="0" borderId="0" xfId="0" applyFont="1"/>
    <xf numFmtId="0" fontId="10" fillId="0" borderId="0" xfId="0" applyFont="1" applyAlignment="1">
      <alignment horizontal="center"/>
    </xf>
    <xf numFmtId="168" fontId="10" fillId="0" borderId="0" xfId="0" applyNumberFormat="1" applyFont="1" applyAlignment="1">
      <alignment horizontal="center"/>
    </xf>
    <xf numFmtId="167" fontId="10" fillId="0" borderId="0" xfId="0" applyNumberFormat="1" applyFont="1" applyAlignment="1">
      <alignment horizontal="center"/>
    </xf>
    <xf numFmtId="164" fontId="10" fillId="0" borderId="0" xfId="0" applyNumberFormat="1" applyFont="1" applyAlignment="1">
      <alignment horizontal="center"/>
    </xf>
    <xf numFmtId="0" fontId="11" fillId="0" borderId="0" xfId="0" applyFont="1" applyAlignment="1">
      <alignment horizontal="center"/>
    </xf>
    <xf numFmtId="168" fontId="11" fillId="0" borderId="0" xfId="0" applyNumberFormat="1" applyFont="1" applyAlignment="1">
      <alignment horizontal="center"/>
    </xf>
    <xf numFmtId="167" fontId="11" fillId="0" borderId="0" xfId="0" applyNumberFormat="1" applyFont="1" applyAlignment="1">
      <alignment horizontal="center"/>
    </xf>
    <xf numFmtId="164" fontId="11" fillId="0" borderId="0" xfId="0" applyNumberFormat="1" applyFont="1" applyAlignment="1">
      <alignment horizontal="center"/>
    </xf>
    <xf numFmtId="0" fontId="11" fillId="0" borderId="0" xfId="0" applyFont="1"/>
    <xf numFmtId="0" fontId="17" fillId="0" borderId="0" xfId="0" applyFont="1" applyAlignment="1">
      <alignment horizontal="center"/>
    </xf>
    <xf numFmtId="0" fontId="13" fillId="0" borderId="0" xfId="0" applyFont="1" applyAlignment="1">
      <alignment horizontal="center"/>
    </xf>
    <xf numFmtId="167" fontId="13" fillId="0" borderId="0" xfId="0" applyNumberFormat="1" applyFont="1" applyAlignment="1">
      <alignment horizontal="center"/>
    </xf>
    <xf numFmtId="0" fontId="17" fillId="0" borderId="0" xfId="0" applyFont="1"/>
    <xf numFmtId="0" fontId="12" fillId="0" borderId="0" xfId="0" applyFont="1" applyAlignment="1">
      <alignment horizontal="center" vertical="center" wrapText="1"/>
    </xf>
    <xf numFmtId="0" fontId="15" fillId="0" borderId="0" xfId="0" applyFont="1"/>
    <xf numFmtId="166" fontId="0" fillId="0" borderId="2" xfId="0" applyNumberFormat="1" applyBorder="1"/>
    <xf numFmtId="166" fontId="0" fillId="0" borderId="2" xfId="0" applyNumberFormat="1" applyBorder="1" applyAlignment="1">
      <alignment horizontal="center"/>
    </xf>
    <xf numFmtId="0" fontId="18" fillId="0" borderId="0" xfId="0" applyFont="1"/>
    <xf numFmtId="0" fontId="18" fillId="0" borderId="0" xfId="0" applyFont="1" applyAlignment="1">
      <alignment wrapText="1"/>
    </xf>
    <xf numFmtId="2" fontId="0" fillId="0" borderId="2" xfId="0" applyNumberFormat="1" applyBorder="1" applyAlignment="1">
      <alignment horizontal="center"/>
    </xf>
    <xf numFmtId="0" fontId="21" fillId="0" borderId="0" xfId="0" applyFont="1"/>
    <xf numFmtId="0" fontId="16" fillId="0" borderId="0" xfId="0" applyFont="1"/>
    <xf numFmtId="0" fontId="11" fillId="0" borderId="0" xfId="0" applyFont="1" applyAlignment="1">
      <alignment horizontal="right"/>
    </xf>
    <xf numFmtId="0" fontId="11" fillId="12" borderId="0" xfId="0" applyFont="1" applyFill="1" applyAlignment="1">
      <alignment horizontal="center"/>
    </xf>
    <xf numFmtId="167" fontId="11" fillId="12" borderId="0" xfId="0" applyNumberFormat="1" applyFont="1" applyFill="1" applyAlignment="1">
      <alignment horizontal="center"/>
    </xf>
    <xf numFmtId="0" fontId="23" fillId="0" borderId="0" xfId="0" applyFont="1" applyAlignment="1">
      <alignment horizontal="center"/>
    </xf>
    <xf numFmtId="15" fontId="23" fillId="0" borderId="0" xfId="0" applyNumberFormat="1" applyFont="1" applyAlignment="1">
      <alignment horizontal="center"/>
    </xf>
    <xf numFmtId="0" fontId="25" fillId="0" borderId="0" xfId="0" applyFont="1" applyAlignment="1">
      <alignment horizontal="center"/>
    </xf>
    <xf numFmtId="0" fontId="25" fillId="0" borderId="0" xfId="0" applyFont="1"/>
    <xf numFmtId="0" fontId="10" fillId="0" borderId="0" xfId="0" applyFont="1" applyAlignment="1">
      <alignment horizontal="right"/>
    </xf>
    <xf numFmtId="0" fontId="13" fillId="4" borderId="0" xfId="0" applyFont="1" applyFill="1" applyAlignment="1">
      <alignment horizontal="center" vertical="center" wrapText="1"/>
    </xf>
    <xf numFmtId="0" fontId="13" fillId="0" borderId="0" xfId="0" applyFont="1" applyAlignment="1">
      <alignment horizontal="center" vertical="center"/>
    </xf>
    <xf numFmtId="164" fontId="13" fillId="0" borderId="0" xfId="0" applyNumberFormat="1" applyFont="1" applyAlignment="1">
      <alignment horizontal="center" vertical="center"/>
    </xf>
    <xf numFmtId="167" fontId="12" fillId="0" borderId="0" xfId="0" applyNumberFormat="1" applyFont="1" applyAlignment="1">
      <alignment horizontal="center" vertical="center" wrapText="1"/>
    </xf>
    <xf numFmtId="168" fontId="12" fillId="0" borderId="0" xfId="0" applyNumberFormat="1" applyFont="1" applyAlignment="1">
      <alignment horizontal="center" vertical="center" wrapText="1"/>
    </xf>
    <xf numFmtId="164" fontId="12" fillId="0" borderId="0" xfId="0" applyNumberFormat="1" applyFont="1" applyAlignment="1">
      <alignment horizontal="center" vertical="center" wrapText="1"/>
    </xf>
    <xf numFmtId="0" fontId="9" fillId="12" borderId="0" xfId="0" applyFont="1" applyFill="1" applyAlignment="1">
      <alignment horizontal="center"/>
    </xf>
    <xf numFmtId="0" fontId="19" fillId="0" borderId="0" xfId="125"/>
    <xf numFmtId="0" fontId="16" fillId="0" borderId="0" xfId="0" applyFont="1" applyAlignment="1">
      <alignment horizontal="right"/>
    </xf>
    <xf numFmtId="0" fontId="26" fillId="0" borderId="0" xfId="125" applyFont="1"/>
    <xf numFmtId="0" fontId="27" fillId="0" borderId="0" xfId="0" applyFont="1"/>
    <xf numFmtId="0" fontId="28" fillId="0" borderId="0" xfId="125" applyFont="1"/>
    <xf numFmtId="0" fontId="27" fillId="0" borderId="0" xfId="125" applyFont="1"/>
    <xf numFmtId="167" fontId="9" fillId="0" borderId="0" xfId="0" applyNumberFormat="1" applyFont="1" applyAlignment="1">
      <alignment horizontal="center"/>
    </xf>
    <xf numFmtId="0" fontId="9" fillId="0" borderId="0" xfId="0" applyFont="1"/>
    <xf numFmtId="164" fontId="9" fillId="12" borderId="0" xfId="0" applyNumberFormat="1" applyFont="1" applyFill="1" applyAlignment="1">
      <alignment horizontal="center"/>
    </xf>
    <xf numFmtId="168" fontId="9" fillId="12" borderId="0" xfId="0" applyNumberFormat="1" applyFont="1" applyFill="1" applyAlignment="1">
      <alignment horizontal="center"/>
    </xf>
    <xf numFmtId="168" fontId="9" fillId="0" borderId="0" xfId="0" applyNumberFormat="1" applyFont="1" applyAlignment="1">
      <alignment horizontal="center"/>
    </xf>
    <xf numFmtId="164" fontId="9" fillId="0" borderId="0" xfId="0" applyNumberFormat="1" applyFont="1" applyAlignment="1">
      <alignment horizontal="center"/>
    </xf>
    <xf numFmtId="0" fontId="31" fillId="0" borderId="3" xfId="0" applyFont="1" applyBorder="1"/>
    <xf numFmtId="0" fontId="32" fillId="0" borderId="3" xfId="0" applyFont="1" applyBorder="1" applyAlignment="1">
      <alignment horizontal="center"/>
    </xf>
    <xf numFmtId="167" fontId="33" fillId="0" borderId="3" xfId="0" applyNumberFormat="1" applyFont="1" applyBorder="1" applyAlignment="1">
      <alignment horizontal="center"/>
    </xf>
    <xf numFmtId="165" fontId="32" fillId="0" borderId="3" xfId="0" applyNumberFormat="1" applyFont="1" applyBorder="1" applyAlignment="1">
      <alignment horizontal="center"/>
    </xf>
    <xf numFmtId="164" fontId="32" fillId="0" borderId="3" xfId="0" applyNumberFormat="1" applyFont="1" applyBorder="1" applyAlignment="1">
      <alignment horizontal="center"/>
    </xf>
    <xf numFmtId="166" fontId="32" fillId="0" borderId="3" xfId="0" applyNumberFormat="1" applyFont="1" applyBorder="1"/>
    <xf numFmtId="164" fontId="32" fillId="0" borderId="3" xfId="0" applyNumberFormat="1" applyFont="1" applyBorder="1"/>
    <xf numFmtId="0" fontId="32" fillId="0" borderId="3" xfId="0" applyFont="1" applyBorder="1"/>
    <xf numFmtId="166" fontId="32" fillId="0" borderId="3" xfId="0" applyNumberFormat="1" applyFont="1" applyBorder="1" applyAlignment="1">
      <alignment horizontal="center"/>
    </xf>
    <xf numFmtId="0" fontId="34" fillId="0" borderId="3" xfId="0" applyFont="1" applyBorder="1" applyAlignment="1">
      <alignment horizontal="left"/>
    </xf>
    <xf numFmtId="0" fontId="34" fillId="0" borderId="3" xfId="0" quotePrefix="1" applyFont="1" applyBorder="1" applyAlignment="1">
      <alignment horizontal="left"/>
    </xf>
    <xf numFmtId="0" fontId="34" fillId="0" borderId="3" xfId="0" applyFont="1" applyBorder="1"/>
    <xf numFmtId="0" fontId="34" fillId="0" borderId="3" xfId="0" applyFont="1" applyBorder="1" applyAlignment="1">
      <alignment horizontal="center"/>
    </xf>
    <xf numFmtId="1" fontId="35" fillId="0" borderId="3" xfId="0" quotePrefix="1" applyNumberFormat="1" applyFont="1" applyBorder="1" applyAlignment="1">
      <alignment horizontal="left"/>
    </xf>
    <xf numFmtId="167" fontId="36" fillId="0" borderId="3" xfId="0" applyNumberFormat="1" applyFont="1" applyBorder="1" applyAlignment="1">
      <alignment horizontal="center"/>
    </xf>
    <xf numFmtId="165" fontId="34" fillId="0" borderId="3" xfId="0" applyNumberFormat="1" applyFont="1" applyBorder="1" applyAlignment="1">
      <alignment horizontal="center"/>
    </xf>
    <xf numFmtId="164" fontId="34" fillId="0" borderId="3" xfId="0" applyNumberFormat="1" applyFont="1" applyBorder="1" applyAlignment="1">
      <alignment horizontal="center"/>
    </xf>
    <xf numFmtId="166" fontId="34" fillId="0" borderId="3" xfId="0" applyNumberFormat="1" applyFont="1" applyBorder="1"/>
    <xf numFmtId="164" fontId="34" fillId="0" borderId="3" xfId="0" applyNumberFormat="1" applyFont="1" applyBorder="1"/>
    <xf numFmtId="0" fontId="37" fillId="0" borderId="3" xfId="0" applyFont="1" applyBorder="1"/>
    <xf numFmtId="0" fontId="38" fillId="0" borderId="3" xfId="0" applyFont="1" applyBorder="1" applyAlignment="1">
      <alignment horizontal="left"/>
    </xf>
    <xf numFmtId="0" fontId="38" fillId="0" borderId="3" xfId="0" applyFont="1" applyBorder="1" applyAlignment="1">
      <alignment horizontal="center"/>
    </xf>
    <xf numFmtId="165" fontId="38" fillId="0" borderId="3" xfId="0" applyNumberFormat="1" applyFont="1" applyBorder="1" applyAlignment="1">
      <alignment horizontal="center"/>
    </xf>
    <xf numFmtId="164" fontId="38" fillId="0" borderId="3" xfId="0" applyNumberFormat="1" applyFont="1" applyBorder="1" applyAlignment="1">
      <alignment horizontal="center"/>
    </xf>
    <xf numFmtId="166" fontId="38" fillId="0" borderId="3" xfId="0" applyNumberFormat="1" applyFont="1" applyBorder="1"/>
    <xf numFmtId="164" fontId="38" fillId="0" borderId="3" xfId="0" applyNumberFormat="1" applyFont="1" applyBorder="1"/>
    <xf numFmtId="0" fontId="38" fillId="0" borderId="3" xfId="0" applyFont="1" applyBorder="1"/>
    <xf numFmtId="0" fontId="39" fillId="0" borderId="0" xfId="0" applyFont="1" applyAlignment="1">
      <alignment horizontal="left"/>
    </xf>
    <xf numFmtId="0" fontId="40" fillId="0" borderId="3" xfId="0" applyFont="1" applyBorder="1" applyAlignment="1">
      <alignment horizontal="center"/>
    </xf>
    <xf numFmtId="20" fontId="40" fillId="0" borderId="3" xfId="0" applyNumberFormat="1" applyFont="1" applyBorder="1" applyAlignment="1">
      <alignment horizontal="center"/>
    </xf>
    <xf numFmtId="165" fontId="40" fillId="0" borderId="3" xfId="0" applyNumberFormat="1" applyFont="1" applyBorder="1" applyAlignment="1">
      <alignment horizontal="center"/>
    </xf>
    <xf numFmtId="164" fontId="40" fillId="0" borderId="3" xfId="0" applyNumberFormat="1" applyFont="1" applyBorder="1" applyAlignment="1">
      <alignment horizontal="center"/>
    </xf>
    <xf numFmtId="0" fontId="38" fillId="0" borderId="5" xfId="0" applyFont="1" applyBorder="1"/>
    <xf numFmtId="0" fontId="41" fillId="0" borderId="5" xfId="0" applyFont="1" applyBorder="1"/>
    <xf numFmtId="0" fontId="37" fillId="0" borderId="5" xfId="0" applyFont="1" applyBorder="1" applyAlignment="1">
      <alignment horizontal="center" vertical="center"/>
    </xf>
    <xf numFmtId="0" fontId="41" fillId="0" borderId="5" xfId="0" applyFont="1" applyBorder="1" applyAlignment="1">
      <alignment horizontal="center"/>
    </xf>
    <xf numFmtId="167" fontId="37" fillId="0" borderId="5" xfId="0" applyNumberFormat="1" applyFont="1" applyBorder="1" applyAlignment="1">
      <alignment horizontal="center" vertical="center"/>
    </xf>
    <xf numFmtId="165" fontId="37" fillId="0" borderId="5" xfId="0" applyNumberFormat="1" applyFont="1" applyBorder="1" applyAlignment="1">
      <alignment horizontal="center" vertical="center"/>
    </xf>
    <xf numFmtId="164" fontId="37" fillId="0" borderId="5" xfId="0" applyNumberFormat="1" applyFont="1" applyBorder="1" applyAlignment="1">
      <alignment horizontal="center" vertical="center"/>
    </xf>
    <xf numFmtId="164" fontId="42" fillId="9" borderId="0" xfId="0" applyNumberFormat="1" applyFont="1" applyFill="1"/>
    <xf numFmtId="164" fontId="43" fillId="9" borderId="0" xfId="0" applyNumberFormat="1" applyFont="1" applyFill="1"/>
    <xf numFmtId="164" fontId="44" fillId="9" borderId="0" xfId="0" applyNumberFormat="1" applyFont="1" applyFill="1"/>
    <xf numFmtId="164" fontId="45" fillId="9" borderId="0" xfId="0" applyNumberFormat="1" applyFont="1" applyFill="1"/>
    <xf numFmtId="164" fontId="43" fillId="10" borderId="0" xfId="0" applyNumberFormat="1" applyFont="1" applyFill="1"/>
    <xf numFmtId="164" fontId="46" fillId="9" borderId="0" xfId="0" applyNumberFormat="1" applyFont="1" applyFill="1" applyAlignment="1">
      <alignment wrapText="1"/>
    </xf>
    <xf numFmtId="166" fontId="47" fillId="9" borderId="0" xfId="0" applyNumberFormat="1" applyFont="1" applyFill="1"/>
    <xf numFmtId="166" fontId="43" fillId="9" borderId="0" xfId="0" applyNumberFormat="1" applyFont="1" applyFill="1"/>
    <xf numFmtId="0" fontId="48" fillId="9" borderId="0" xfId="0" applyFont="1" applyFill="1"/>
    <xf numFmtId="0" fontId="43" fillId="9" borderId="0" xfId="0" applyFont="1" applyFill="1"/>
    <xf numFmtId="0" fontId="41" fillId="0" borderId="7" xfId="0" applyFont="1" applyBorder="1"/>
    <xf numFmtId="0" fontId="41" fillId="0" borderId="0" xfId="0" applyFont="1"/>
    <xf numFmtId="0" fontId="37" fillId="0" borderId="0" xfId="0" applyFont="1" applyAlignment="1">
      <alignment horizontal="center" vertical="center"/>
    </xf>
    <xf numFmtId="0" fontId="41" fillId="0" borderId="0" xfId="0" applyFont="1" applyAlignment="1">
      <alignment horizontal="center"/>
    </xf>
    <xf numFmtId="167" fontId="37" fillId="0" borderId="0" xfId="0" applyNumberFormat="1" applyFont="1" applyAlignment="1">
      <alignment horizontal="center" vertical="center"/>
    </xf>
    <xf numFmtId="165" fontId="37" fillId="0" borderId="0" xfId="0" applyNumberFormat="1" applyFont="1" applyAlignment="1">
      <alignment horizontal="center" vertical="center"/>
    </xf>
    <xf numFmtId="164" fontId="37" fillId="0" borderId="0" xfId="0" applyNumberFormat="1" applyFont="1" applyAlignment="1">
      <alignment horizontal="center" vertical="center"/>
    </xf>
    <xf numFmtId="164" fontId="45" fillId="10" borderId="0" xfId="0" applyNumberFormat="1" applyFont="1" applyFill="1"/>
    <xf numFmtId="164" fontId="46" fillId="9" borderId="0" xfId="0" applyNumberFormat="1" applyFont="1" applyFill="1"/>
    <xf numFmtId="0" fontId="14" fillId="0" borderId="1" xfId="0" applyFont="1" applyBorder="1" applyAlignment="1">
      <alignment horizontal="center" vertical="center" wrapText="1"/>
    </xf>
    <xf numFmtId="164" fontId="14" fillId="3" borderId="1" xfId="0" applyNumberFormat="1" applyFont="1" applyFill="1" applyBorder="1" applyAlignment="1">
      <alignment horizontal="center" vertical="center" wrapText="1"/>
    </xf>
    <xf numFmtId="164" fontId="14" fillId="2" borderId="1" xfId="0" applyNumberFormat="1" applyFont="1" applyFill="1" applyBorder="1" applyAlignment="1">
      <alignment horizontal="center" vertical="center" wrapText="1"/>
    </xf>
    <xf numFmtId="164" fontId="14" fillId="5" borderId="1" xfId="0" applyNumberFormat="1" applyFont="1" applyFill="1" applyBorder="1" applyAlignment="1">
      <alignment horizontal="center" vertical="center" wrapText="1"/>
    </xf>
    <xf numFmtId="164" fontId="14" fillId="6" borderId="1" xfId="0" applyNumberFormat="1" applyFont="1" applyFill="1" applyBorder="1" applyAlignment="1">
      <alignment horizontal="center" vertical="center" wrapText="1"/>
    </xf>
    <xf numFmtId="166" fontId="14" fillId="7" borderId="1" xfId="0" applyNumberFormat="1" applyFont="1" applyFill="1" applyBorder="1" applyAlignment="1">
      <alignment horizontal="center" vertical="center" wrapText="1"/>
    </xf>
    <xf numFmtId="4" fontId="14" fillId="8" borderId="1" xfId="0" applyNumberFormat="1" applyFont="1" applyFill="1" applyBorder="1" applyAlignment="1">
      <alignment horizontal="center" vertical="center" wrapText="1"/>
    </xf>
    <xf numFmtId="2" fontId="14" fillId="0" borderId="1" xfId="0" applyNumberFormat="1" applyFont="1" applyBorder="1" applyAlignment="1">
      <alignment horizontal="center" vertical="center" wrapText="1"/>
    </xf>
    <xf numFmtId="0" fontId="32" fillId="0" borderId="4" xfId="0" applyFont="1" applyBorder="1" applyAlignment="1">
      <alignment horizontal="center" vertical="center"/>
    </xf>
    <xf numFmtId="0" fontId="32" fillId="0" borderId="3" xfId="0" applyFont="1" applyBorder="1" applyAlignment="1">
      <alignment horizontal="center" vertical="center"/>
    </xf>
    <xf numFmtId="167" fontId="32" fillId="0" borderId="3" xfId="0" applyNumberFormat="1" applyFont="1" applyBorder="1"/>
    <xf numFmtId="165" fontId="32" fillId="0" borderId="3" xfId="0" applyNumberFormat="1" applyFont="1" applyBorder="1"/>
    <xf numFmtId="167" fontId="33" fillId="0" borderId="3" xfId="0" applyNumberFormat="1" applyFont="1" applyBorder="1"/>
    <xf numFmtId="164" fontId="14" fillId="3" borderId="9" xfId="0" applyNumberFormat="1" applyFont="1" applyFill="1" applyBorder="1" applyAlignment="1">
      <alignment horizontal="center" vertical="center" wrapText="1"/>
    </xf>
    <xf numFmtId="0" fontId="0" fillId="13" borderId="0" xfId="0" applyFill="1"/>
    <xf numFmtId="0" fontId="51" fillId="14" borderId="0" xfId="0" applyFont="1" applyFill="1"/>
    <xf numFmtId="0" fontId="0" fillId="13" borderId="0" xfId="0" applyFill="1" applyAlignment="1">
      <alignment horizontal="center"/>
    </xf>
    <xf numFmtId="0" fontId="15" fillId="0" borderId="0" xfId="0" applyFont="1" applyAlignment="1">
      <alignment horizontal="left"/>
    </xf>
    <xf numFmtId="0" fontId="0" fillId="0" borderId="0" xfId="0" applyAlignment="1">
      <alignment horizontal="left"/>
    </xf>
    <xf numFmtId="0" fontId="0" fillId="13" borderId="0" xfId="0" applyFill="1" applyAlignment="1">
      <alignment horizontal="left"/>
    </xf>
    <xf numFmtId="0" fontId="51" fillId="0" borderId="0" xfId="0" applyFont="1" applyAlignment="1">
      <alignment horizontal="left"/>
    </xf>
    <xf numFmtId="0" fontId="51" fillId="14" borderId="0" xfId="0" applyFont="1" applyFill="1" applyAlignment="1">
      <alignment horizontal="left"/>
    </xf>
    <xf numFmtId="0" fontId="54" fillId="0" borderId="0" xfId="0" applyFont="1"/>
    <xf numFmtId="0" fontId="9" fillId="0" borderId="0" xfId="0" applyFont="1" applyFill="1" applyAlignment="1">
      <alignment horizontal="left"/>
    </xf>
    <xf numFmtId="0" fontId="9" fillId="0" borderId="0" xfId="0" applyFont="1" applyFill="1" applyAlignment="1">
      <alignment horizontal="center"/>
    </xf>
    <xf numFmtId="0" fontId="23" fillId="0" borderId="0" xfId="0" applyFont="1" applyFill="1" applyAlignment="1">
      <alignment horizontal="center"/>
    </xf>
    <xf numFmtId="0" fontId="24" fillId="0" borderId="0" xfId="0" applyFont="1" applyFill="1" applyAlignment="1">
      <alignment horizontal="center"/>
    </xf>
    <xf numFmtId="0" fontId="8" fillId="0" borderId="0" xfId="0" applyFont="1" applyFill="1" applyAlignment="1">
      <alignment horizontal="left"/>
    </xf>
    <xf numFmtId="0" fontId="10" fillId="0" borderId="0" xfId="0" applyFont="1" applyFill="1" applyAlignment="1">
      <alignment horizontal="left"/>
    </xf>
    <xf numFmtId="0" fontId="10" fillId="0" borderId="0" xfId="0" applyFont="1" applyFill="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7" fillId="0" borderId="0" xfId="0" applyFont="1" applyFill="1"/>
    <xf numFmtId="0" fontId="13" fillId="0" borderId="0" xfId="0" applyFont="1" applyFill="1" applyAlignment="1">
      <alignment horizontal="center" vertical="center" wrapText="1"/>
    </xf>
    <xf numFmtId="0" fontId="12" fillId="0" borderId="0" xfId="0" applyFont="1" applyFill="1" applyAlignment="1">
      <alignment horizontal="center" vertical="center" wrapText="1"/>
    </xf>
    <xf numFmtId="1" fontId="15" fillId="0" borderId="0" xfId="0" applyNumberFormat="1" applyFont="1" applyFill="1" applyAlignment="1">
      <alignment horizontal="center"/>
    </xf>
    <xf numFmtId="49" fontId="15" fillId="0" borderId="0" xfId="0" applyNumberFormat="1" applyFont="1" applyFill="1" applyAlignment="1">
      <alignment horizontal="center"/>
    </xf>
    <xf numFmtId="0" fontId="55" fillId="0" borderId="0" xfId="0" applyFont="1" applyFill="1" applyAlignment="1">
      <alignment horizontal="left"/>
    </xf>
    <xf numFmtId="2" fontId="14" fillId="0" borderId="1" xfId="0" applyNumberFormat="1" applyFont="1" applyBorder="1" applyAlignment="1">
      <alignment horizontal="center" vertical="center"/>
    </xf>
    <xf numFmtId="0" fontId="32" fillId="0" borderId="3" xfId="0" applyFont="1" applyBorder="1" applyAlignment="1">
      <alignment horizontal="left"/>
    </xf>
    <xf numFmtId="0" fontId="41" fillId="0" borderId="5" xfId="0" applyFont="1" applyBorder="1" applyAlignment="1">
      <alignment horizontal="left"/>
    </xf>
    <xf numFmtId="0" fontId="41" fillId="0" borderId="0" xfId="0" applyFont="1" applyAlignment="1">
      <alignment horizontal="left"/>
    </xf>
    <xf numFmtId="0" fontId="32" fillId="0" borderId="8" xfId="0" applyFont="1" applyBorder="1" applyAlignment="1">
      <alignment horizontal="center" vertical="center"/>
    </xf>
    <xf numFmtId="0" fontId="32" fillId="0" borderId="10" xfId="0" applyFont="1" applyBorder="1" applyAlignment="1">
      <alignment horizontal="center" vertical="center"/>
    </xf>
    <xf numFmtId="49" fontId="32" fillId="0" borderId="1" xfId="0" applyNumberFormat="1" applyFont="1" applyBorder="1" applyAlignment="1">
      <alignment horizontal="center" vertical="center"/>
    </xf>
    <xf numFmtId="0" fontId="0" fillId="0" borderId="1" xfId="0" applyBorder="1"/>
    <xf numFmtId="0" fontId="0" fillId="0" borderId="1" xfId="0" applyBorder="1" applyAlignment="1">
      <alignment horizontal="center"/>
    </xf>
    <xf numFmtId="166" fontId="32" fillId="0" borderId="1" xfId="0" applyNumberFormat="1" applyFont="1" applyBorder="1" applyAlignment="1">
      <alignment horizontal="center" vertical="center" wrapText="1"/>
    </xf>
    <xf numFmtId="2" fontId="32" fillId="0" borderId="1" xfId="0" applyNumberFormat="1" applyFont="1" applyBorder="1" applyAlignment="1">
      <alignment horizontal="center" vertical="center" wrapText="1"/>
    </xf>
    <xf numFmtId="0" fontId="0" fillId="11" borderId="1" xfId="0" applyFill="1" applyBorder="1" applyAlignment="1">
      <alignment horizontal="center"/>
    </xf>
    <xf numFmtId="0" fontId="0" fillId="13" borderId="1" xfId="0" applyFill="1" applyBorder="1"/>
    <xf numFmtId="0" fontId="0" fillId="13" borderId="1" xfId="0" applyFill="1" applyBorder="1" applyAlignment="1">
      <alignment horizontal="center"/>
    </xf>
    <xf numFmtId="49" fontId="32" fillId="11" borderId="1" xfId="0" applyNumberFormat="1" applyFont="1" applyFill="1" applyBorder="1" applyAlignment="1">
      <alignment horizontal="center" vertical="center"/>
    </xf>
    <xf numFmtId="0" fontId="54" fillId="0" borderId="1" xfId="0" applyFont="1" applyBorder="1"/>
    <xf numFmtId="0" fontId="54" fillId="0" borderId="1" xfId="0" applyFont="1" applyBorder="1" applyAlignment="1">
      <alignment horizontal="center"/>
    </xf>
    <xf numFmtId="20" fontId="0" fillId="0" borderId="1" xfId="0" applyNumberFormat="1" applyBorder="1" applyAlignment="1">
      <alignment horizontal="center"/>
    </xf>
    <xf numFmtId="0" fontId="51" fillId="0" borderId="1" xfId="0" applyFont="1" applyBorder="1"/>
    <xf numFmtId="0" fontId="51" fillId="14" borderId="1" xfId="0" applyFont="1" applyFill="1" applyBorder="1"/>
    <xf numFmtId="0" fontId="51" fillId="14" borderId="1" xfId="0" applyFont="1" applyFill="1" applyBorder="1" applyAlignment="1">
      <alignment horizontal="center"/>
    </xf>
    <xf numFmtId="2" fontId="56" fillId="0" borderId="1" xfId="0" applyNumberFormat="1" applyFont="1" applyBorder="1" applyAlignment="1">
      <alignment horizontal="left" vertical="center"/>
    </xf>
    <xf numFmtId="49" fontId="41" fillId="0" borderId="5" xfId="0" applyNumberFormat="1" applyFont="1" applyBorder="1"/>
    <xf numFmtId="164" fontId="42" fillId="9" borderId="6" xfId="0" applyNumberFormat="1" applyFont="1" applyFill="1" applyBorder="1"/>
    <xf numFmtId="164" fontId="43" fillId="9" borderId="11" xfId="0" applyNumberFormat="1" applyFont="1" applyFill="1" applyBorder="1"/>
    <xf numFmtId="164" fontId="44" fillId="9" borderId="11" xfId="0" applyNumberFormat="1" applyFont="1" applyFill="1" applyBorder="1"/>
    <xf numFmtId="164" fontId="45" fillId="9" borderId="11" xfId="0" applyNumberFormat="1" applyFont="1" applyFill="1" applyBorder="1"/>
    <xf numFmtId="164" fontId="57" fillId="9" borderId="11" xfId="0" applyNumberFormat="1" applyFont="1" applyFill="1" applyBorder="1"/>
    <xf numFmtId="2" fontId="47" fillId="9" borderId="11" xfId="0" applyNumberFormat="1" applyFont="1" applyFill="1" applyBorder="1"/>
    <xf numFmtId="2" fontId="43" fillId="9" borderId="11" xfId="0" applyNumberFormat="1" applyFont="1" applyFill="1" applyBorder="1"/>
    <xf numFmtId="2" fontId="48" fillId="9" borderId="11" xfId="0" applyNumberFormat="1" applyFont="1" applyFill="1" applyBorder="1"/>
    <xf numFmtId="0" fontId="58" fillId="0" borderId="1" xfId="0" applyFont="1" applyBorder="1" applyAlignment="1">
      <alignment horizontal="center" vertical="center"/>
    </xf>
    <xf numFmtId="164" fontId="59" fillId="15" borderId="12" xfId="0" applyNumberFormat="1" applyFont="1" applyFill="1" applyBorder="1"/>
    <xf numFmtId="164" fontId="60" fillId="15" borderId="12" xfId="0" applyNumberFormat="1" applyFont="1" applyFill="1" applyBorder="1"/>
    <xf numFmtId="164" fontId="61" fillId="15" borderId="12" xfId="0" applyNumberFormat="1" applyFont="1" applyFill="1" applyBorder="1"/>
    <xf numFmtId="164" fontId="62" fillId="15" borderId="12" xfId="0" applyNumberFormat="1" applyFont="1" applyFill="1" applyBorder="1"/>
    <xf numFmtId="166" fontId="63" fillId="15" borderId="12" xfId="0" applyNumberFormat="1" applyFont="1" applyFill="1" applyBorder="1"/>
    <xf numFmtId="166" fontId="64" fillId="15" borderId="12" xfId="0" applyNumberFormat="1" applyFont="1" applyFill="1" applyBorder="1"/>
    <xf numFmtId="0" fontId="65" fillId="15" borderId="12" xfId="0" applyFont="1" applyFill="1" applyBorder="1"/>
    <xf numFmtId="0" fontId="64" fillId="15" borderId="12" xfId="0" applyFont="1" applyFill="1" applyBorder="1"/>
    <xf numFmtId="2" fontId="43" fillId="0" borderId="0" xfId="0" applyNumberFormat="1" applyFont="1"/>
    <xf numFmtId="2" fontId="14" fillId="7" borderId="1" xfId="0" applyNumberFormat="1" applyFont="1" applyFill="1" applyBorder="1" applyAlignment="1">
      <alignment horizontal="center" vertical="center" wrapText="1"/>
    </xf>
    <xf numFmtId="2" fontId="14" fillId="8" borderId="1" xfId="0" applyNumberFormat="1" applyFont="1" applyFill="1" applyBorder="1" applyAlignment="1">
      <alignment horizontal="center" vertical="center" wrapText="1"/>
    </xf>
    <xf numFmtId="164" fontId="58" fillId="0" borderId="1" xfId="0" applyNumberFormat="1" applyFont="1" applyBorder="1" applyAlignment="1">
      <alignment horizontal="center" vertical="center" wrapText="1"/>
    </xf>
    <xf numFmtId="49" fontId="32" fillId="0" borderId="13" xfId="0" applyNumberFormat="1" applyFont="1" applyBorder="1" applyAlignment="1">
      <alignment horizontal="center" vertical="center"/>
    </xf>
    <xf numFmtId="166" fontId="66" fillId="0" borderId="13" xfId="0" applyNumberFormat="1" applyFont="1" applyBorder="1" applyAlignment="1">
      <alignment horizontal="center"/>
    </xf>
    <xf numFmtId="166" fontId="32" fillId="0" borderId="13" xfId="0" applyNumberFormat="1" applyFont="1" applyBorder="1" applyAlignment="1">
      <alignment horizontal="center" vertical="center" wrapText="1"/>
    </xf>
    <xf numFmtId="49" fontId="50" fillId="16" borderId="14" xfId="0" applyNumberFormat="1" applyFont="1" applyFill="1" applyBorder="1" applyAlignment="1">
      <alignment horizontal="center" vertical="center"/>
    </xf>
    <xf numFmtId="2" fontId="50" fillId="16" borderId="14" xfId="0" applyNumberFormat="1" applyFont="1" applyFill="1" applyBorder="1" applyAlignment="1">
      <alignment horizontal="center" vertical="center"/>
    </xf>
    <xf numFmtId="166" fontId="50" fillId="16" borderId="14" xfId="0" applyNumberFormat="1" applyFont="1" applyFill="1" applyBorder="1" applyAlignment="1">
      <alignment horizontal="center" vertical="center"/>
    </xf>
    <xf numFmtId="166" fontId="50" fillId="16" borderId="14" xfId="0" applyNumberFormat="1" applyFont="1" applyFill="1" applyBorder="1"/>
    <xf numFmtId="49" fontId="50" fillId="17" borderId="14" xfId="0" applyNumberFormat="1" applyFont="1" applyFill="1" applyBorder="1" applyAlignment="1">
      <alignment horizontal="center" vertical="center"/>
    </xf>
    <xf numFmtId="2" fontId="50" fillId="17" borderId="14" xfId="0" applyNumberFormat="1" applyFont="1" applyFill="1" applyBorder="1" applyAlignment="1">
      <alignment horizontal="center" vertical="center"/>
    </xf>
    <xf numFmtId="166" fontId="50" fillId="17" borderId="14" xfId="0" applyNumberFormat="1" applyFont="1" applyFill="1" applyBorder="1" applyAlignment="1">
      <alignment horizontal="center" vertical="center"/>
    </xf>
    <xf numFmtId="166" fontId="50" fillId="17" borderId="14" xfId="0" applyNumberFormat="1" applyFont="1" applyFill="1" applyBorder="1"/>
    <xf numFmtId="164" fontId="50" fillId="18" borderId="14" xfId="0" applyNumberFormat="1" applyFont="1" applyFill="1" applyBorder="1" applyAlignment="1">
      <alignment horizontal="center" vertical="center"/>
    </xf>
    <xf numFmtId="166" fontId="50" fillId="18" borderId="14" xfId="0" applyNumberFormat="1" applyFont="1" applyFill="1" applyBorder="1" applyAlignment="1">
      <alignment horizontal="center" vertical="center"/>
    </xf>
    <xf numFmtId="10" fontId="50" fillId="18" borderId="14" xfId="0" applyNumberFormat="1" applyFont="1" applyFill="1" applyBorder="1" applyAlignment="1">
      <alignment horizontal="center" vertical="center"/>
    </xf>
    <xf numFmtId="10" fontId="50" fillId="18" borderId="14" xfId="0" applyNumberFormat="1" applyFont="1" applyFill="1" applyBorder="1"/>
    <xf numFmtId="49" fontId="32" fillId="0" borderId="5" xfId="0" applyNumberFormat="1" applyFont="1" applyBorder="1"/>
    <xf numFmtId="0" fontId="34" fillId="0" borderId="5" xfId="0" applyFont="1" applyBorder="1" applyAlignment="1">
      <alignment horizontal="center" vertical="center"/>
    </xf>
    <xf numFmtId="169" fontId="34" fillId="0" borderId="5" xfId="0" applyNumberFormat="1" applyFont="1" applyBorder="1" applyAlignment="1">
      <alignment horizontal="center" vertical="center"/>
    </xf>
    <xf numFmtId="164" fontId="46" fillId="9" borderId="11" xfId="0" applyNumberFormat="1" applyFont="1" applyFill="1" applyBorder="1"/>
    <xf numFmtId="164" fontId="34" fillId="0" borderId="0" xfId="0" applyNumberFormat="1" applyFont="1" applyAlignment="1">
      <alignment horizontal="center" vertical="center"/>
    </xf>
    <xf numFmtId="0" fontId="34" fillId="0" borderId="0" xfId="0" applyFont="1" applyAlignment="1">
      <alignment horizontal="center" vertical="center"/>
    </xf>
    <xf numFmtId="169" fontId="34" fillId="0" borderId="0" xfId="0" applyNumberFormat="1" applyFont="1" applyAlignment="1">
      <alignment horizontal="center" vertical="center"/>
    </xf>
    <xf numFmtId="164" fontId="67" fillId="9" borderId="12" xfId="0" applyNumberFormat="1" applyFont="1" applyFill="1" applyBorder="1"/>
    <xf numFmtId="164" fontId="68" fillId="9" borderId="12" xfId="0" applyNumberFormat="1" applyFont="1" applyFill="1" applyBorder="1"/>
    <xf numFmtId="164" fontId="69" fillId="9" borderId="12" xfId="0" applyNumberFormat="1" applyFont="1" applyFill="1" applyBorder="1"/>
    <xf numFmtId="164" fontId="69" fillId="10" borderId="12" xfId="0" applyNumberFormat="1" applyFont="1" applyFill="1" applyBorder="1"/>
    <xf numFmtId="164" fontId="70" fillId="9" borderId="12" xfId="0" applyNumberFormat="1" applyFont="1" applyFill="1" applyBorder="1"/>
    <xf numFmtId="166" fontId="71" fillId="9" borderId="12" xfId="0" applyNumberFormat="1" applyFont="1" applyFill="1" applyBorder="1"/>
    <xf numFmtId="166" fontId="58" fillId="9" borderId="12" xfId="0" applyNumberFormat="1" applyFont="1" applyFill="1" applyBorder="1"/>
    <xf numFmtId="0" fontId="72" fillId="9" borderId="12" xfId="0" applyFont="1" applyFill="1" applyBorder="1"/>
    <xf numFmtId="0" fontId="58" fillId="9" borderId="12" xfId="0" applyFont="1" applyFill="1" applyBorder="1"/>
    <xf numFmtId="0" fontId="32" fillId="0" borderId="0" xfId="0" applyFont="1"/>
    <xf numFmtId="169" fontId="14" fillId="0" borderId="1" xfId="0" applyNumberFormat="1" applyFont="1" applyBorder="1" applyAlignment="1">
      <alignment horizontal="center" vertical="center" wrapText="1"/>
    </xf>
    <xf numFmtId="0" fontId="66" fillId="0" borderId="14" xfId="0" applyFont="1" applyBorder="1" applyAlignment="1">
      <alignment horizontal="center" vertical="center"/>
    </xf>
    <xf numFmtId="169" fontId="66" fillId="0" borderId="14" xfId="0" applyNumberFormat="1" applyFont="1" applyBorder="1" applyAlignment="1">
      <alignment horizontal="center" vertical="center"/>
    </xf>
    <xf numFmtId="166" fontId="66" fillId="0" borderId="14" xfId="0" applyNumberFormat="1" applyFont="1" applyBorder="1" applyAlignment="1">
      <alignment horizontal="center" vertical="center"/>
    </xf>
    <xf numFmtId="2" fontId="66" fillId="0" borderId="14" xfId="0" applyNumberFormat="1" applyFont="1" applyBorder="1" applyAlignment="1">
      <alignment horizontal="center" vertical="center"/>
    </xf>
    <xf numFmtId="166" fontId="50" fillId="16" borderId="14" xfId="0" applyNumberFormat="1" applyFont="1" applyFill="1" applyBorder="1" applyAlignment="1">
      <alignment horizontal="center" vertical="center" wrapText="1"/>
    </xf>
    <xf numFmtId="169" fontId="50" fillId="16" borderId="14" xfId="0" applyNumberFormat="1" applyFont="1" applyFill="1" applyBorder="1" applyAlignment="1">
      <alignment horizontal="center" vertical="center" wrapText="1"/>
    </xf>
    <xf numFmtId="166" fontId="50" fillId="17" borderId="14" xfId="0" applyNumberFormat="1" applyFont="1" applyFill="1" applyBorder="1" applyAlignment="1">
      <alignment horizontal="center" vertical="center" wrapText="1"/>
    </xf>
    <xf numFmtId="169" fontId="50" fillId="17" borderId="14" xfId="0" applyNumberFormat="1" applyFont="1" applyFill="1" applyBorder="1" applyAlignment="1">
      <alignment horizontal="center" vertical="center" wrapText="1"/>
    </xf>
    <xf numFmtId="166" fontId="50" fillId="18" borderId="14" xfId="0" applyNumberFormat="1" applyFont="1" applyFill="1" applyBorder="1" applyAlignment="1">
      <alignment horizontal="center" vertical="center" wrapText="1"/>
    </xf>
    <xf numFmtId="169" fontId="50" fillId="18" borderId="14" xfId="0" applyNumberFormat="1" applyFont="1" applyFill="1" applyBorder="1" applyAlignment="1">
      <alignment horizontal="center" vertical="center" wrapText="1"/>
    </xf>
    <xf numFmtId="0" fontId="21" fillId="0" borderId="0" xfId="0" applyFont="1" applyAlignment="1">
      <alignment horizontal="right"/>
    </xf>
    <xf numFmtId="10" fontId="21" fillId="0" borderId="0" xfId="0" applyNumberFormat="1" applyFont="1"/>
    <xf numFmtId="1" fontId="21" fillId="0" borderId="0" xfId="0" applyNumberFormat="1" applyFont="1"/>
    <xf numFmtId="0" fontId="21" fillId="0" borderId="0" xfId="0" applyFont="1" applyAlignment="1">
      <alignment horizontal="center"/>
    </xf>
    <xf numFmtId="1" fontId="0" fillId="0" borderId="0" xfId="0" applyNumberFormat="1"/>
    <xf numFmtId="14" fontId="1" fillId="0" borderId="2" xfId="0" applyNumberFormat="1" applyFont="1" applyFill="1" applyBorder="1" applyAlignment="1">
      <alignment horizontal="center"/>
    </xf>
    <xf numFmtId="166" fontId="5" fillId="0" borderId="2" xfId="0" applyNumberFormat="1" applyFont="1" applyFill="1" applyBorder="1" applyAlignment="1">
      <alignment horizontal="center" vertical="center"/>
    </xf>
    <xf numFmtId="164" fontId="4" fillId="0" borderId="2" xfId="0" applyNumberFormat="1" applyFont="1" applyFill="1" applyBorder="1" applyAlignment="1">
      <alignment horizontal="center" vertical="center"/>
    </xf>
    <xf numFmtId="166" fontId="7" fillId="0" borderId="2" xfId="0" applyNumberFormat="1" applyFont="1" applyFill="1" applyBorder="1" applyAlignment="1">
      <alignment horizontal="center"/>
    </xf>
    <xf numFmtId="166" fontId="4" fillId="0" borderId="2" xfId="0" applyNumberFormat="1" applyFont="1" applyFill="1" applyBorder="1" applyAlignment="1">
      <alignment horizontal="center" vertical="center"/>
    </xf>
    <xf numFmtId="0" fontId="32" fillId="0" borderId="1" xfId="0" applyFont="1" applyBorder="1"/>
    <xf numFmtId="0" fontId="32" fillId="0" borderId="1" xfId="0" applyFont="1" applyBorder="1" applyAlignment="1">
      <alignment horizontal="center"/>
    </xf>
    <xf numFmtId="166" fontId="56" fillId="0" borderId="1" xfId="0" applyNumberFormat="1" applyFont="1" applyBorder="1" applyAlignment="1">
      <alignment horizontal="center" vertical="center"/>
    </xf>
    <xf numFmtId="0" fontId="32" fillId="11" borderId="1" xfId="0" applyFont="1" applyFill="1" applyBorder="1" applyAlignment="1">
      <alignment horizontal="center"/>
    </xf>
    <xf numFmtId="0" fontId="32" fillId="13" borderId="1" xfId="0" applyFont="1" applyFill="1" applyBorder="1"/>
    <xf numFmtId="0" fontId="32" fillId="13" borderId="1" xfId="0" applyFont="1" applyFill="1" applyBorder="1" applyAlignment="1">
      <alignment horizontal="center"/>
    </xf>
    <xf numFmtId="0" fontId="32" fillId="14" borderId="1" xfId="0" applyFont="1" applyFill="1" applyBorder="1"/>
    <xf numFmtId="0" fontId="32" fillId="14" borderId="1" xfId="0" applyFont="1" applyFill="1" applyBorder="1" applyAlignment="1">
      <alignment horizontal="center"/>
    </xf>
    <xf numFmtId="166" fontId="32" fillId="0" borderId="1" xfId="0" applyNumberFormat="1" applyFont="1" applyBorder="1" applyAlignment="1">
      <alignment horizontal="center" vertical="center"/>
    </xf>
    <xf numFmtId="0" fontId="32" fillId="11" borderId="1" xfId="0" applyFont="1" applyFill="1" applyBorder="1"/>
    <xf numFmtId="169" fontId="32" fillId="0" borderId="3" xfId="0" applyNumberFormat="1" applyFont="1" applyBorder="1" applyAlignment="1">
      <alignment horizontal="center"/>
    </xf>
    <xf numFmtId="169" fontId="31" fillId="0" borderId="3" xfId="0" applyNumberFormat="1" applyFont="1" applyBorder="1" applyAlignment="1">
      <alignment horizontal="center" vertical="center"/>
    </xf>
    <xf numFmtId="169" fontId="14" fillId="0" borderId="3" xfId="0" applyNumberFormat="1" applyFont="1" applyBorder="1" applyAlignment="1">
      <alignment horizontal="center" vertical="center" wrapText="1"/>
    </xf>
    <xf numFmtId="169" fontId="40" fillId="0" borderId="3" xfId="0" applyNumberFormat="1" applyFont="1" applyBorder="1" applyAlignment="1">
      <alignment horizontal="center"/>
    </xf>
    <xf numFmtId="169" fontId="41" fillId="0" borderId="5" xfId="0" applyNumberFormat="1" applyFont="1" applyBorder="1" applyAlignment="1">
      <alignment horizontal="center"/>
    </xf>
    <xf numFmtId="169" fontId="41" fillId="0" borderId="0" xfId="0" applyNumberFormat="1" applyFont="1" applyAlignment="1">
      <alignment horizontal="center"/>
    </xf>
    <xf numFmtId="169" fontId="32" fillId="0" borderId="1" xfId="0" applyNumberFormat="1" applyFont="1" applyBorder="1" applyAlignment="1">
      <alignment horizontal="center"/>
    </xf>
    <xf numFmtId="169" fontId="32" fillId="13" borderId="1" xfId="0" applyNumberFormat="1" applyFont="1" applyFill="1" applyBorder="1" applyAlignment="1">
      <alignment horizontal="center"/>
    </xf>
    <xf numFmtId="169" fontId="32" fillId="14" borderId="1" xfId="0" applyNumberFormat="1" applyFont="1" applyFill="1" applyBorder="1" applyAlignment="1">
      <alignment horizontal="center"/>
    </xf>
    <xf numFmtId="20" fontId="32" fillId="0" borderId="3" xfId="0" applyNumberFormat="1" applyFont="1" applyBorder="1" applyAlignment="1">
      <alignment horizontal="center"/>
    </xf>
  </cellXfs>
  <cellStyles count="12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cellStyle name="Normal" xfId="0" builtinId="0"/>
  </cellStyles>
  <dxfs count="540">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3366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alcChain" Target="calcChain.xml"/><Relationship Id="rId5" Type="http://schemas.openxmlformats.org/officeDocument/2006/relationships/worksheet" Target="worksheets/sheet4.xml"/><Relationship Id="rId10" Type="http://schemas.openxmlformats.org/officeDocument/2006/relationships/sharedStrings" Target="sharedStrings.xml"/><Relationship Id="rId4" Type="http://schemas.openxmlformats.org/officeDocument/2006/relationships/chartsheet" Target="chartsheets/sheet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Effective LOQ for ~2.85 mL extraction volume</a:t>
            </a:r>
          </a:p>
        </c:rich>
      </c:tx>
      <c:overlay val="0"/>
    </c:title>
    <c:autoTitleDeleted val="0"/>
    <c:plotArea>
      <c:layout/>
      <c:scatterChart>
        <c:scatterStyle val="lineMarker"/>
        <c:varyColors val="0"/>
        <c:ser>
          <c:idx val="0"/>
          <c:order val="0"/>
          <c:tx>
            <c:strRef>
              <c:f>'Effective LOQ'!$AD$4</c:f>
              <c:strCache>
                <c:ptCount val="1"/>
                <c:pt idx="0">
                  <c:v>Chl c1c2</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LOQ'!$AD$5:$AD$21</c:f>
              <c:numCache>
                <c:formatCode>0.000</c:formatCode>
                <c:ptCount val="17"/>
                <c:pt idx="0">
                  <c:v>3.3E-3</c:v>
                </c:pt>
                <c:pt idx="1">
                  <c:v>2.8999999999999998E-3</c:v>
                </c:pt>
                <c:pt idx="2">
                  <c:v>1.9E-3</c:v>
                </c:pt>
                <c:pt idx="3">
                  <c:v>1.8E-3</c:v>
                </c:pt>
                <c:pt idx="4">
                  <c:v>1.6999999999999999E-3</c:v>
                </c:pt>
                <c:pt idx="5">
                  <c:v>1.6999999999999999E-3</c:v>
                </c:pt>
                <c:pt idx="6">
                  <c:v>1.6999999999999999E-3</c:v>
                </c:pt>
                <c:pt idx="7">
                  <c:v>1.6999999999999999E-3</c:v>
                </c:pt>
                <c:pt idx="8">
                  <c:v>1.6999999999999999E-3</c:v>
                </c:pt>
                <c:pt idx="9">
                  <c:v>1.6999999999999999E-3</c:v>
                </c:pt>
                <c:pt idx="10">
                  <c:v>1.6999999999999999E-3</c:v>
                </c:pt>
                <c:pt idx="11">
                  <c:v>1.6999999999999999E-3</c:v>
                </c:pt>
                <c:pt idx="12">
                  <c:v>8.9999999999999998E-4</c:v>
                </c:pt>
                <c:pt idx="13">
                  <c:v>8.9999999999999998E-4</c:v>
                </c:pt>
                <c:pt idx="14">
                  <c:v>8.9999999999999998E-4</c:v>
                </c:pt>
                <c:pt idx="15">
                  <c:v>8.9999999999999998E-4</c:v>
                </c:pt>
                <c:pt idx="16">
                  <c:v>8.9999999999999998E-4</c:v>
                </c:pt>
              </c:numCache>
            </c:numRef>
          </c:yVal>
          <c:smooth val="0"/>
          <c:extLst>
            <c:ext xmlns:c16="http://schemas.microsoft.com/office/drawing/2014/chart" uri="{C3380CC4-5D6E-409C-BE32-E72D297353CC}">
              <c16:uniqueId val="{00000000-B69A-4B4B-ADF0-353A9DFF0356}"/>
            </c:ext>
          </c:extLst>
        </c:ser>
        <c:ser>
          <c:idx val="1"/>
          <c:order val="1"/>
          <c:tx>
            <c:strRef>
              <c:f>'Effective LOQ'!$AE$4</c:f>
              <c:strCache>
                <c:ptCount val="1"/>
                <c:pt idx="0">
                  <c:v>Perid</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LOQ'!$AE$5:$AE$21</c:f>
              <c:numCache>
                <c:formatCode>0.000</c:formatCode>
                <c:ptCount val="17"/>
                <c:pt idx="0">
                  <c:v>9.4000000000000004E-3</c:v>
                </c:pt>
                <c:pt idx="1">
                  <c:v>8.3000000000000001E-3</c:v>
                </c:pt>
                <c:pt idx="2">
                  <c:v>5.3E-3</c:v>
                </c:pt>
                <c:pt idx="3">
                  <c:v>5.1000000000000004E-3</c:v>
                </c:pt>
                <c:pt idx="4">
                  <c:v>5.0000000000000001E-3</c:v>
                </c:pt>
                <c:pt idx="5">
                  <c:v>4.8999999999999998E-3</c:v>
                </c:pt>
                <c:pt idx="6">
                  <c:v>4.8999999999999998E-3</c:v>
                </c:pt>
                <c:pt idx="7">
                  <c:v>4.7999999999999996E-3</c:v>
                </c:pt>
                <c:pt idx="8">
                  <c:v>4.7999999999999996E-3</c:v>
                </c:pt>
                <c:pt idx="9">
                  <c:v>4.7999999999999996E-3</c:v>
                </c:pt>
                <c:pt idx="10">
                  <c:v>4.7999999999999996E-3</c:v>
                </c:pt>
                <c:pt idx="11">
                  <c:v>4.7999999999999996E-3</c:v>
                </c:pt>
                <c:pt idx="12">
                  <c:v>2.5000000000000001E-3</c:v>
                </c:pt>
                <c:pt idx="13">
                  <c:v>2.5000000000000001E-3</c:v>
                </c:pt>
                <c:pt idx="14">
                  <c:v>2.5000000000000001E-3</c:v>
                </c:pt>
                <c:pt idx="15">
                  <c:v>2.5000000000000001E-3</c:v>
                </c:pt>
                <c:pt idx="16">
                  <c:v>2.5000000000000001E-3</c:v>
                </c:pt>
              </c:numCache>
            </c:numRef>
          </c:yVal>
          <c:smooth val="0"/>
          <c:extLst>
            <c:ext xmlns:c16="http://schemas.microsoft.com/office/drawing/2014/chart" uri="{C3380CC4-5D6E-409C-BE32-E72D297353CC}">
              <c16:uniqueId val="{00000001-B69A-4B4B-ADF0-353A9DFF0356}"/>
            </c:ext>
          </c:extLst>
        </c:ser>
        <c:ser>
          <c:idx val="2"/>
          <c:order val="2"/>
          <c:tx>
            <c:strRef>
              <c:f>'Effective LOQ'!$AF$4</c:f>
              <c:strCache>
                <c:ptCount val="1"/>
                <c:pt idx="0">
                  <c:v>But fuco</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LOQ'!$AF$5:$AF$21</c:f>
              <c:numCache>
                <c:formatCode>0.000</c:formatCode>
                <c:ptCount val="17"/>
                <c:pt idx="0">
                  <c:v>6.7000000000000002E-3</c:v>
                </c:pt>
                <c:pt idx="1">
                  <c:v>5.8999999999999999E-3</c:v>
                </c:pt>
                <c:pt idx="2">
                  <c:v>3.8E-3</c:v>
                </c:pt>
                <c:pt idx="3">
                  <c:v>3.5999999999999999E-3</c:v>
                </c:pt>
                <c:pt idx="4">
                  <c:v>3.5000000000000001E-3</c:v>
                </c:pt>
                <c:pt idx="5">
                  <c:v>3.5000000000000001E-3</c:v>
                </c:pt>
                <c:pt idx="6">
                  <c:v>3.5000000000000001E-3</c:v>
                </c:pt>
                <c:pt idx="7">
                  <c:v>3.3999999999999998E-3</c:v>
                </c:pt>
                <c:pt idx="8">
                  <c:v>3.3999999999999998E-3</c:v>
                </c:pt>
                <c:pt idx="9">
                  <c:v>3.3999999999999998E-3</c:v>
                </c:pt>
                <c:pt idx="10">
                  <c:v>3.3999999999999998E-3</c:v>
                </c:pt>
                <c:pt idx="11">
                  <c:v>3.3999999999999998E-3</c:v>
                </c:pt>
                <c:pt idx="12">
                  <c:v>1.8E-3</c:v>
                </c:pt>
                <c:pt idx="13">
                  <c:v>1.8E-3</c:v>
                </c:pt>
                <c:pt idx="14">
                  <c:v>1.8E-3</c:v>
                </c:pt>
                <c:pt idx="15">
                  <c:v>1.6999999999999999E-3</c:v>
                </c:pt>
                <c:pt idx="16">
                  <c:v>1.6999999999999999E-3</c:v>
                </c:pt>
              </c:numCache>
            </c:numRef>
          </c:yVal>
          <c:smooth val="0"/>
          <c:extLst>
            <c:ext xmlns:c16="http://schemas.microsoft.com/office/drawing/2014/chart" uri="{C3380CC4-5D6E-409C-BE32-E72D297353CC}">
              <c16:uniqueId val="{00000002-B69A-4B4B-ADF0-353A9DFF0356}"/>
            </c:ext>
          </c:extLst>
        </c:ser>
        <c:ser>
          <c:idx val="3"/>
          <c:order val="3"/>
          <c:tx>
            <c:strRef>
              <c:f>'Effective LOQ'!$AG$4</c:f>
              <c:strCache>
                <c:ptCount val="1"/>
                <c:pt idx="0">
                  <c:v>Fuco</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LOQ'!$AG$5:$AG$21</c:f>
              <c:numCache>
                <c:formatCode>0.000</c:formatCode>
                <c:ptCount val="17"/>
                <c:pt idx="0">
                  <c:v>6.1999999999999998E-3</c:v>
                </c:pt>
                <c:pt idx="1">
                  <c:v>5.4999999999999997E-3</c:v>
                </c:pt>
                <c:pt idx="2">
                  <c:v>3.5000000000000001E-3</c:v>
                </c:pt>
                <c:pt idx="3">
                  <c:v>3.3E-3</c:v>
                </c:pt>
                <c:pt idx="4">
                  <c:v>3.3E-3</c:v>
                </c:pt>
                <c:pt idx="5">
                  <c:v>3.2000000000000002E-3</c:v>
                </c:pt>
                <c:pt idx="6">
                  <c:v>3.2000000000000002E-3</c:v>
                </c:pt>
                <c:pt idx="7">
                  <c:v>3.2000000000000002E-3</c:v>
                </c:pt>
                <c:pt idx="8">
                  <c:v>3.2000000000000002E-3</c:v>
                </c:pt>
                <c:pt idx="9">
                  <c:v>3.0999999999999999E-3</c:v>
                </c:pt>
                <c:pt idx="10">
                  <c:v>3.0999999999999999E-3</c:v>
                </c:pt>
                <c:pt idx="11">
                  <c:v>3.0999999999999999E-3</c:v>
                </c:pt>
                <c:pt idx="12">
                  <c:v>1.6999999999999999E-3</c:v>
                </c:pt>
                <c:pt idx="13">
                  <c:v>1.6000000000000001E-3</c:v>
                </c:pt>
                <c:pt idx="14">
                  <c:v>1.6000000000000001E-3</c:v>
                </c:pt>
                <c:pt idx="15">
                  <c:v>1.6000000000000001E-3</c:v>
                </c:pt>
                <c:pt idx="16">
                  <c:v>1.6000000000000001E-3</c:v>
                </c:pt>
              </c:numCache>
            </c:numRef>
          </c:yVal>
          <c:smooth val="0"/>
          <c:extLst>
            <c:ext xmlns:c16="http://schemas.microsoft.com/office/drawing/2014/chart" uri="{C3380CC4-5D6E-409C-BE32-E72D297353CC}">
              <c16:uniqueId val="{00000003-B69A-4B4B-ADF0-353A9DFF0356}"/>
            </c:ext>
          </c:extLst>
        </c:ser>
        <c:ser>
          <c:idx val="4"/>
          <c:order val="4"/>
          <c:tx>
            <c:strRef>
              <c:f>'Effective LOQ'!$AH$4</c:f>
              <c:strCache>
                <c:ptCount val="1"/>
                <c:pt idx="0">
                  <c:v>Hex fuco</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LOQ'!$AH$5:$AH$21</c:f>
              <c:numCache>
                <c:formatCode>0.000</c:formatCode>
                <c:ptCount val="17"/>
                <c:pt idx="0">
                  <c:v>6.0000000000000001E-3</c:v>
                </c:pt>
                <c:pt idx="1">
                  <c:v>5.1999999999999998E-3</c:v>
                </c:pt>
                <c:pt idx="2">
                  <c:v>3.3E-3</c:v>
                </c:pt>
                <c:pt idx="3">
                  <c:v>3.2000000000000002E-3</c:v>
                </c:pt>
                <c:pt idx="4">
                  <c:v>3.0999999999999999E-3</c:v>
                </c:pt>
                <c:pt idx="5">
                  <c:v>3.0999999999999999E-3</c:v>
                </c:pt>
                <c:pt idx="6">
                  <c:v>3.0999999999999999E-3</c:v>
                </c:pt>
                <c:pt idx="7">
                  <c:v>3.0999999999999999E-3</c:v>
                </c:pt>
                <c:pt idx="8">
                  <c:v>3.0999999999999999E-3</c:v>
                </c:pt>
                <c:pt idx="9">
                  <c:v>3.0000000000000001E-3</c:v>
                </c:pt>
                <c:pt idx="10">
                  <c:v>3.0000000000000001E-3</c:v>
                </c:pt>
                <c:pt idx="11">
                  <c:v>3.0000000000000001E-3</c:v>
                </c:pt>
                <c:pt idx="12">
                  <c:v>1.6000000000000001E-3</c:v>
                </c:pt>
                <c:pt idx="13">
                  <c:v>1.6000000000000001E-3</c:v>
                </c:pt>
                <c:pt idx="14">
                  <c:v>1.6000000000000001E-3</c:v>
                </c:pt>
                <c:pt idx="15">
                  <c:v>1.6000000000000001E-3</c:v>
                </c:pt>
                <c:pt idx="16">
                  <c:v>1.6000000000000001E-3</c:v>
                </c:pt>
              </c:numCache>
            </c:numRef>
          </c:yVal>
          <c:smooth val="0"/>
          <c:extLst>
            <c:ext xmlns:c16="http://schemas.microsoft.com/office/drawing/2014/chart" uri="{C3380CC4-5D6E-409C-BE32-E72D297353CC}">
              <c16:uniqueId val="{00000004-B69A-4B4B-ADF0-353A9DFF0356}"/>
            </c:ext>
          </c:extLst>
        </c:ser>
        <c:ser>
          <c:idx val="5"/>
          <c:order val="5"/>
          <c:tx>
            <c:strRef>
              <c:f>'Effective LOQ'!$AI$4</c:f>
              <c:strCache>
                <c:ptCount val="1"/>
                <c:pt idx="0">
                  <c:v>Diadino</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LOQ'!$AI$5:$AI$21</c:f>
              <c:numCache>
                <c:formatCode>0.000</c:formatCode>
                <c:ptCount val="17"/>
                <c:pt idx="0">
                  <c:v>4.1000000000000003E-3</c:v>
                </c:pt>
                <c:pt idx="1">
                  <c:v>3.5999999999999999E-3</c:v>
                </c:pt>
                <c:pt idx="2">
                  <c:v>2.3E-3</c:v>
                </c:pt>
                <c:pt idx="3">
                  <c:v>2.2000000000000001E-3</c:v>
                </c:pt>
                <c:pt idx="4">
                  <c:v>2.2000000000000001E-3</c:v>
                </c:pt>
                <c:pt idx="5">
                  <c:v>2.2000000000000001E-3</c:v>
                </c:pt>
                <c:pt idx="6">
                  <c:v>2.0999999999999999E-3</c:v>
                </c:pt>
                <c:pt idx="7">
                  <c:v>2.0999999999999999E-3</c:v>
                </c:pt>
                <c:pt idx="8">
                  <c:v>2.0999999999999999E-3</c:v>
                </c:pt>
                <c:pt idx="9">
                  <c:v>2.0999999999999999E-3</c:v>
                </c:pt>
                <c:pt idx="10">
                  <c:v>2.0999999999999999E-3</c:v>
                </c:pt>
                <c:pt idx="11">
                  <c:v>2.0999999999999999E-3</c:v>
                </c:pt>
                <c:pt idx="12">
                  <c:v>1.1000000000000001E-3</c:v>
                </c:pt>
                <c:pt idx="13">
                  <c:v>1.1000000000000001E-3</c:v>
                </c:pt>
                <c:pt idx="14">
                  <c:v>1.1000000000000001E-3</c:v>
                </c:pt>
                <c:pt idx="15">
                  <c:v>1.1000000000000001E-3</c:v>
                </c:pt>
                <c:pt idx="16">
                  <c:v>1.1000000000000001E-3</c:v>
                </c:pt>
              </c:numCache>
            </c:numRef>
          </c:yVal>
          <c:smooth val="0"/>
          <c:extLst>
            <c:ext xmlns:c16="http://schemas.microsoft.com/office/drawing/2014/chart" uri="{C3380CC4-5D6E-409C-BE32-E72D297353CC}">
              <c16:uniqueId val="{00000005-B69A-4B4B-ADF0-353A9DFF0356}"/>
            </c:ext>
          </c:extLst>
        </c:ser>
        <c:ser>
          <c:idx val="6"/>
          <c:order val="6"/>
          <c:tx>
            <c:strRef>
              <c:f>'Effective LOQ'!$AJ$4</c:f>
              <c:strCache>
                <c:ptCount val="1"/>
                <c:pt idx="0">
                  <c:v>Allo</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LOQ'!$AJ$5:$AJ$21</c:f>
              <c:numCache>
                <c:formatCode>0.000</c:formatCode>
                <c:ptCount val="17"/>
                <c:pt idx="0">
                  <c:v>3.7000000000000002E-3</c:v>
                </c:pt>
                <c:pt idx="1">
                  <c:v>3.2000000000000002E-3</c:v>
                </c:pt>
                <c:pt idx="2">
                  <c:v>2.0999999999999999E-3</c:v>
                </c:pt>
                <c:pt idx="3">
                  <c:v>2E-3</c:v>
                </c:pt>
                <c:pt idx="4">
                  <c:v>1.9E-3</c:v>
                </c:pt>
                <c:pt idx="5">
                  <c:v>1.9E-3</c:v>
                </c:pt>
                <c:pt idx="6">
                  <c:v>1.9E-3</c:v>
                </c:pt>
                <c:pt idx="7">
                  <c:v>1.9E-3</c:v>
                </c:pt>
                <c:pt idx="8">
                  <c:v>1.9E-3</c:v>
                </c:pt>
                <c:pt idx="9">
                  <c:v>1.9E-3</c:v>
                </c:pt>
                <c:pt idx="10">
                  <c:v>1.8E-3</c:v>
                </c:pt>
                <c:pt idx="11">
                  <c:v>1.8E-3</c:v>
                </c:pt>
                <c:pt idx="12">
                  <c:v>1E-3</c:v>
                </c:pt>
                <c:pt idx="13">
                  <c:v>1E-3</c:v>
                </c:pt>
                <c:pt idx="14">
                  <c:v>1E-3</c:v>
                </c:pt>
                <c:pt idx="15">
                  <c:v>1E-3</c:v>
                </c:pt>
                <c:pt idx="16">
                  <c:v>1E-3</c:v>
                </c:pt>
              </c:numCache>
            </c:numRef>
          </c:yVal>
          <c:smooth val="0"/>
          <c:extLst>
            <c:ext xmlns:c16="http://schemas.microsoft.com/office/drawing/2014/chart" uri="{C3380CC4-5D6E-409C-BE32-E72D297353CC}">
              <c16:uniqueId val="{00000006-B69A-4B4B-ADF0-353A9DFF0356}"/>
            </c:ext>
          </c:extLst>
        </c:ser>
        <c:ser>
          <c:idx val="7"/>
          <c:order val="7"/>
          <c:tx>
            <c:strRef>
              <c:f>'Effective LOQ'!$AK$4</c:f>
              <c:strCache>
                <c:ptCount val="1"/>
                <c:pt idx="0">
                  <c:v>Diato</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LOQ'!$AK$5:$AK$21</c:f>
              <c:numCache>
                <c:formatCode>0.000</c:formatCode>
                <c:ptCount val="17"/>
                <c:pt idx="0">
                  <c:v>4.4000000000000003E-3</c:v>
                </c:pt>
                <c:pt idx="1">
                  <c:v>3.8999999999999998E-3</c:v>
                </c:pt>
                <c:pt idx="2">
                  <c:v>2.5000000000000001E-3</c:v>
                </c:pt>
                <c:pt idx="3">
                  <c:v>2.3E-3</c:v>
                </c:pt>
                <c:pt idx="4">
                  <c:v>2.3E-3</c:v>
                </c:pt>
                <c:pt idx="5">
                  <c:v>2.3E-3</c:v>
                </c:pt>
                <c:pt idx="6">
                  <c:v>2.3E-3</c:v>
                </c:pt>
                <c:pt idx="7">
                  <c:v>2.3E-3</c:v>
                </c:pt>
                <c:pt idx="8">
                  <c:v>2.2000000000000001E-3</c:v>
                </c:pt>
                <c:pt idx="9">
                  <c:v>2.2000000000000001E-3</c:v>
                </c:pt>
                <c:pt idx="10">
                  <c:v>2.2000000000000001E-3</c:v>
                </c:pt>
                <c:pt idx="11">
                  <c:v>2.2000000000000001E-3</c:v>
                </c:pt>
                <c:pt idx="12">
                  <c:v>1.1999999999999999E-3</c:v>
                </c:pt>
                <c:pt idx="13">
                  <c:v>1.1999999999999999E-3</c:v>
                </c:pt>
                <c:pt idx="14">
                  <c:v>1.1000000000000001E-3</c:v>
                </c:pt>
                <c:pt idx="15">
                  <c:v>1.1000000000000001E-3</c:v>
                </c:pt>
                <c:pt idx="16">
                  <c:v>1.1000000000000001E-3</c:v>
                </c:pt>
              </c:numCache>
            </c:numRef>
          </c:yVal>
          <c:smooth val="0"/>
          <c:extLst>
            <c:ext xmlns:c16="http://schemas.microsoft.com/office/drawing/2014/chart" uri="{C3380CC4-5D6E-409C-BE32-E72D297353CC}">
              <c16:uniqueId val="{00000007-B69A-4B4B-ADF0-353A9DFF0356}"/>
            </c:ext>
          </c:extLst>
        </c:ser>
        <c:ser>
          <c:idx val="8"/>
          <c:order val="8"/>
          <c:tx>
            <c:strRef>
              <c:f>'Effective LOQ'!$AL$4</c:f>
              <c:strCache>
                <c:ptCount val="1"/>
                <c:pt idx="0">
                  <c:v>Zea</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LOQ'!$AL$5:$AL$21</c:f>
              <c:numCache>
                <c:formatCode>0.000</c:formatCode>
                <c:ptCount val="17"/>
                <c:pt idx="0">
                  <c:v>4.4000000000000003E-3</c:v>
                </c:pt>
                <c:pt idx="1">
                  <c:v>3.8999999999999998E-3</c:v>
                </c:pt>
                <c:pt idx="2">
                  <c:v>2.5000000000000001E-3</c:v>
                </c:pt>
                <c:pt idx="3">
                  <c:v>2.3999999999999998E-3</c:v>
                </c:pt>
                <c:pt idx="4">
                  <c:v>2.3E-3</c:v>
                </c:pt>
                <c:pt idx="5">
                  <c:v>2.3E-3</c:v>
                </c:pt>
                <c:pt idx="6">
                  <c:v>2.3E-3</c:v>
                </c:pt>
                <c:pt idx="7">
                  <c:v>2.3E-3</c:v>
                </c:pt>
                <c:pt idx="8">
                  <c:v>2.3E-3</c:v>
                </c:pt>
                <c:pt idx="9">
                  <c:v>2.2000000000000001E-3</c:v>
                </c:pt>
                <c:pt idx="10">
                  <c:v>2.2000000000000001E-3</c:v>
                </c:pt>
                <c:pt idx="11">
                  <c:v>2.2000000000000001E-3</c:v>
                </c:pt>
                <c:pt idx="12">
                  <c:v>1.1999999999999999E-3</c:v>
                </c:pt>
                <c:pt idx="13">
                  <c:v>1.1999999999999999E-3</c:v>
                </c:pt>
                <c:pt idx="14">
                  <c:v>1.1999999999999999E-3</c:v>
                </c:pt>
                <c:pt idx="15">
                  <c:v>1.1999999999999999E-3</c:v>
                </c:pt>
                <c:pt idx="16">
                  <c:v>1.1999999999999999E-3</c:v>
                </c:pt>
              </c:numCache>
            </c:numRef>
          </c:yVal>
          <c:smooth val="0"/>
          <c:extLst>
            <c:ext xmlns:c16="http://schemas.microsoft.com/office/drawing/2014/chart" uri="{C3380CC4-5D6E-409C-BE32-E72D297353CC}">
              <c16:uniqueId val="{00000008-B69A-4B4B-ADF0-353A9DFF0356}"/>
            </c:ext>
          </c:extLst>
        </c:ser>
        <c:ser>
          <c:idx val="9"/>
          <c:order val="9"/>
          <c:tx>
            <c:strRef>
              <c:f>'Effective LOQ'!$AM$4</c:f>
              <c:strCache>
                <c:ptCount val="1"/>
                <c:pt idx="0">
                  <c:v>MV chl b</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LOQ'!$AM$5:$AM$21</c:f>
              <c:numCache>
                <c:formatCode>0.000</c:formatCode>
                <c:ptCount val="17"/>
                <c:pt idx="0">
                  <c:v>1.21E-2</c:v>
                </c:pt>
                <c:pt idx="1">
                  <c:v>1.0699999999999999E-2</c:v>
                </c:pt>
                <c:pt idx="2">
                  <c:v>6.7999999999999996E-3</c:v>
                </c:pt>
                <c:pt idx="3">
                  <c:v>6.4999999999999997E-3</c:v>
                </c:pt>
                <c:pt idx="4">
                  <c:v>6.4000000000000003E-3</c:v>
                </c:pt>
                <c:pt idx="5">
                  <c:v>6.3E-3</c:v>
                </c:pt>
                <c:pt idx="6">
                  <c:v>6.3E-3</c:v>
                </c:pt>
                <c:pt idx="7">
                  <c:v>6.1999999999999998E-3</c:v>
                </c:pt>
                <c:pt idx="8">
                  <c:v>6.1999999999999998E-3</c:v>
                </c:pt>
                <c:pt idx="9">
                  <c:v>6.1000000000000004E-3</c:v>
                </c:pt>
                <c:pt idx="10">
                  <c:v>6.1000000000000004E-3</c:v>
                </c:pt>
                <c:pt idx="11">
                  <c:v>6.1000000000000004E-3</c:v>
                </c:pt>
                <c:pt idx="12">
                  <c:v>3.3E-3</c:v>
                </c:pt>
                <c:pt idx="13">
                  <c:v>3.2000000000000002E-3</c:v>
                </c:pt>
                <c:pt idx="14">
                  <c:v>3.2000000000000002E-3</c:v>
                </c:pt>
                <c:pt idx="15">
                  <c:v>3.2000000000000002E-3</c:v>
                </c:pt>
                <c:pt idx="16">
                  <c:v>3.2000000000000002E-3</c:v>
                </c:pt>
              </c:numCache>
            </c:numRef>
          </c:yVal>
          <c:smooth val="0"/>
          <c:extLst>
            <c:ext xmlns:c16="http://schemas.microsoft.com/office/drawing/2014/chart" uri="{C3380CC4-5D6E-409C-BE32-E72D297353CC}">
              <c16:uniqueId val="{00000009-B69A-4B4B-ADF0-353A9DFF0356}"/>
            </c:ext>
          </c:extLst>
        </c:ser>
        <c:ser>
          <c:idx val="10"/>
          <c:order val="10"/>
          <c:tx>
            <c:strRef>
              <c:f>'Effective LOQ'!$AN$4</c:f>
              <c:strCache>
                <c:ptCount val="1"/>
                <c:pt idx="0">
                  <c:v>MV chla</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LOQ'!$AN$5:$AN$21</c:f>
              <c:numCache>
                <c:formatCode>0.000</c:formatCode>
                <c:ptCount val="17"/>
                <c:pt idx="0">
                  <c:v>1.0800000000000001E-2</c:v>
                </c:pt>
                <c:pt idx="1">
                  <c:v>9.4999999999999998E-3</c:v>
                </c:pt>
                <c:pt idx="2">
                  <c:v>6.1000000000000004E-3</c:v>
                </c:pt>
                <c:pt idx="3">
                  <c:v>5.7999999999999996E-3</c:v>
                </c:pt>
                <c:pt idx="4">
                  <c:v>5.7000000000000002E-3</c:v>
                </c:pt>
                <c:pt idx="5">
                  <c:v>5.5999999999999999E-3</c:v>
                </c:pt>
                <c:pt idx="6">
                  <c:v>5.5999999999999999E-3</c:v>
                </c:pt>
                <c:pt idx="7">
                  <c:v>5.4999999999999997E-3</c:v>
                </c:pt>
                <c:pt idx="8">
                  <c:v>5.4999999999999997E-3</c:v>
                </c:pt>
                <c:pt idx="9">
                  <c:v>5.4999999999999997E-3</c:v>
                </c:pt>
                <c:pt idx="10">
                  <c:v>5.4000000000000003E-3</c:v>
                </c:pt>
                <c:pt idx="11">
                  <c:v>5.4000000000000003E-3</c:v>
                </c:pt>
                <c:pt idx="12">
                  <c:v>2.8999999999999998E-3</c:v>
                </c:pt>
                <c:pt idx="13">
                  <c:v>2.8E-3</c:v>
                </c:pt>
                <c:pt idx="14">
                  <c:v>2.8E-3</c:v>
                </c:pt>
                <c:pt idx="15">
                  <c:v>2.8E-3</c:v>
                </c:pt>
                <c:pt idx="16">
                  <c:v>2.8E-3</c:v>
                </c:pt>
              </c:numCache>
            </c:numRef>
          </c:yVal>
          <c:smooth val="0"/>
          <c:extLst>
            <c:ext xmlns:c16="http://schemas.microsoft.com/office/drawing/2014/chart" uri="{C3380CC4-5D6E-409C-BE32-E72D297353CC}">
              <c16:uniqueId val="{0000000A-B69A-4B4B-ADF0-353A9DFF0356}"/>
            </c:ext>
          </c:extLst>
        </c:ser>
        <c:ser>
          <c:idx val="11"/>
          <c:order val="11"/>
          <c:tx>
            <c:strRef>
              <c:f>'Effective LOQ'!$AO$4</c:f>
              <c:strCache>
                <c:ptCount val="1"/>
                <c:pt idx="0">
                  <c:v>Alpha_beta_Car</c:v>
                </c:pt>
              </c:strCache>
            </c:strRef>
          </c:tx>
          <c:xVal>
            <c:numRef>
              <c:f>'Effective LOQ'!$AC$5:$AC$21</c:f>
              <c:numCache>
                <c:formatCode>0</c:formatCode>
                <c:ptCount val="17"/>
                <c:pt idx="0">
                  <c:v>277</c:v>
                </c:pt>
                <c:pt idx="1">
                  <c:v>315</c:v>
                </c:pt>
                <c:pt idx="2">
                  <c:v>493</c:v>
                </c:pt>
                <c:pt idx="3">
                  <c:v>517</c:v>
                </c:pt>
                <c:pt idx="4">
                  <c:v>525</c:v>
                </c:pt>
                <c:pt idx="5">
                  <c:v>532</c:v>
                </c:pt>
                <c:pt idx="6">
                  <c:v>535</c:v>
                </c:pt>
                <c:pt idx="7">
                  <c:v>539</c:v>
                </c:pt>
                <c:pt idx="8">
                  <c:v>540</c:v>
                </c:pt>
                <c:pt idx="9">
                  <c:v>547</c:v>
                </c:pt>
                <c:pt idx="10">
                  <c:v>548</c:v>
                </c:pt>
                <c:pt idx="11">
                  <c:v>549</c:v>
                </c:pt>
                <c:pt idx="12">
                  <c:v>1030</c:v>
                </c:pt>
                <c:pt idx="13">
                  <c:v>1050</c:v>
                </c:pt>
                <c:pt idx="14">
                  <c:v>1055</c:v>
                </c:pt>
                <c:pt idx="15">
                  <c:v>1057</c:v>
                </c:pt>
                <c:pt idx="16">
                  <c:v>1060</c:v>
                </c:pt>
              </c:numCache>
            </c:numRef>
          </c:xVal>
          <c:yVal>
            <c:numRef>
              <c:f>'Effective LOQ'!$AO$5:$AO$21</c:f>
              <c:numCache>
                <c:formatCode>0.000</c:formatCode>
                <c:ptCount val="17"/>
                <c:pt idx="0">
                  <c:v>4.0000000000000001E-3</c:v>
                </c:pt>
                <c:pt idx="1">
                  <c:v>3.5000000000000001E-3</c:v>
                </c:pt>
                <c:pt idx="2">
                  <c:v>2.2000000000000001E-3</c:v>
                </c:pt>
                <c:pt idx="3">
                  <c:v>2.0999999999999999E-3</c:v>
                </c:pt>
                <c:pt idx="4">
                  <c:v>2.0999999999999999E-3</c:v>
                </c:pt>
                <c:pt idx="5">
                  <c:v>2.0999999999999999E-3</c:v>
                </c:pt>
                <c:pt idx="6">
                  <c:v>2.0999999999999999E-3</c:v>
                </c:pt>
                <c:pt idx="7">
                  <c:v>2.0999999999999999E-3</c:v>
                </c:pt>
                <c:pt idx="8">
                  <c:v>2E-3</c:v>
                </c:pt>
                <c:pt idx="9">
                  <c:v>2E-3</c:v>
                </c:pt>
                <c:pt idx="10">
                  <c:v>2E-3</c:v>
                </c:pt>
                <c:pt idx="11">
                  <c:v>2E-3</c:v>
                </c:pt>
                <c:pt idx="12">
                  <c:v>1.1000000000000001E-3</c:v>
                </c:pt>
                <c:pt idx="13">
                  <c:v>1.1000000000000001E-3</c:v>
                </c:pt>
                <c:pt idx="14">
                  <c:v>1E-3</c:v>
                </c:pt>
                <c:pt idx="15">
                  <c:v>1E-3</c:v>
                </c:pt>
                <c:pt idx="16">
                  <c:v>1E-3</c:v>
                </c:pt>
              </c:numCache>
            </c:numRef>
          </c:yVal>
          <c:smooth val="0"/>
          <c:extLst>
            <c:ext xmlns:c16="http://schemas.microsoft.com/office/drawing/2014/chart" uri="{C3380CC4-5D6E-409C-BE32-E72D297353CC}">
              <c16:uniqueId val="{0000000B-B69A-4B4B-ADF0-353A9DFF0356}"/>
            </c:ext>
          </c:extLst>
        </c:ser>
        <c:dLbls>
          <c:showLegendKey val="0"/>
          <c:showVal val="0"/>
          <c:showCatName val="0"/>
          <c:showSerName val="0"/>
          <c:showPercent val="0"/>
          <c:showBubbleSize val="0"/>
        </c:dLbls>
        <c:axId val="192033000"/>
        <c:axId val="192035744"/>
      </c:scatterChart>
      <c:valAx>
        <c:axId val="192033000"/>
        <c:scaling>
          <c:orientation val="minMax"/>
          <c:min val="250"/>
        </c:scaling>
        <c:delete val="0"/>
        <c:axPos val="b"/>
        <c:title>
          <c:tx>
            <c:rich>
              <a:bodyPr/>
              <a:lstStyle/>
              <a:p>
                <a:pPr>
                  <a:defRPr/>
                </a:pPr>
                <a:r>
                  <a:rPr lang="en-US"/>
                  <a:t>Filtration volume (mL)</a:t>
                </a:r>
              </a:p>
            </c:rich>
          </c:tx>
          <c:overlay val="0"/>
        </c:title>
        <c:numFmt formatCode="0" sourceLinked="1"/>
        <c:majorTickMark val="out"/>
        <c:minorTickMark val="none"/>
        <c:tickLblPos val="nextTo"/>
        <c:crossAx val="192035744"/>
        <c:crosses val="autoZero"/>
        <c:crossBetween val="midCat"/>
      </c:valAx>
      <c:valAx>
        <c:axId val="192035744"/>
        <c:scaling>
          <c:orientation val="minMax"/>
        </c:scaling>
        <c:delete val="0"/>
        <c:axPos val="l"/>
        <c:majorGridlines/>
        <c:title>
          <c:tx>
            <c:rich>
              <a:bodyPr rot="-5400000" vert="horz"/>
              <a:lstStyle/>
              <a:p>
                <a:pPr>
                  <a:defRPr/>
                </a:pPr>
                <a:r>
                  <a:rPr lang="en-US"/>
                  <a:t>Pigment concentration (ug/L)</a:t>
                </a:r>
              </a:p>
            </c:rich>
          </c:tx>
          <c:overlay val="0"/>
        </c:title>
        <c:numFmt formatCode="0.000" sourceLinked="1"/>
        <c:majorTickMark val="out"/>
        <c:minorTickMark val="none"/>
        <c:tickLblPos val="nextTo"/>
        <c:crossAx val="192033000"/>
        <c:crosses val="autoZero"/>
        <c:crossBetween val="midCat"/>
      </c:valAx>
      <c:spPr>
        <a:ln>
          <a:solidFill>
            <a:schemeClr val="bg1">
              <a:lumMod val="50000"/>
            </a:schemeClr>
          </a:solidFill>
        </a:ln>
      </c:spPr>
    </c:plotArea>
    <c:legend>
      <c:legendPos val="r"/>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7" workbookViewId="0" zoomToFit="1"/>
  </sheetViews>
  <pageMargins left="0.75" right="0.75" top="1" bottom="1" header="0.5" footer="0.5"/>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2051" cy="6293013"/>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eabass.gsfc.nasa.gov/hplc2s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N941"/>
  <sheetViews>
    <sheetView tabSelected="1" topLeftCell="AW8" workbookViewId="0">
      <pane ySplit="2" topLeftCell="A119" activePane="bottomLeft" state="frozen"/>
      <selection activeCell="A8" sqref="A8"/>
      <selection pane="bottomLeft" activeCell="BL137" sqref="BL137:BL138"/>
    </sheetView>
  </sheetViews>
  <sheetFormatPr defaultColWidth="9.109375" defaultRowHeight="12.75" customHeight="1"/>
  <cols>
    <col min="1" max="1" width="11.5546875" style="80" bestFit="1" customWidth="1"/>
    <col min="2" max="2" width="12.5546875" style="80" customWidth="1"/>
    <col min="3" max="3" width="10.109375" style="80" customWidth="1"/>
    <col min="4" max="4" width="8.44140625" style="80" customWidth="1"/>
    <col min="5" max="5" width="8.6640625" style="80" customWidth="1"/>
    <col min="6" max="7" width="7.44140625" style="80" customWidth="1"/>
    <col min="8" max="8" width="7.109375" style="80" customWidth="1"/>
    <col min="9" max="9" width="8.5546875" style="80" customWidth="1"/>
    <col min="10" max="10" width="8.33203125" style="80" customWidth="1"/>
    <col min="11" max="11" width="16.109375" style="80" customWidth="1"/>
    <col min="12" max="12" width="5" style="80" customWidth="1"/>
    <col min="13" max="13" width="6.6640625" style="80" customWidth="1"/>
    <col min="14" max="14" width="9.88671875" style="80" customWidth="1"/>
    <col min="15" max="15" width="10.109375" style="80" customWidth="1"/>
    <col min="16" max="16" width="5.5546875" style="276" customWidth="1"/>
    <col min="17" max="17" width="9.44140625" style="74" customWidth="1"/>
    <col min="18" max="18" width="8" style="143" customWidth="1"/>
    <col min="19" max="19" width="6" style="142" customWidth="1"/>
    <col min="20" max="20" width="9.33203125" style="79" customWidth="1"/>
    <col min="21" max="21" width="16.109375" style="80" customWidth="1"/>
    <col min="22" max="22" width="10.109375" style="80" customWidth="1"/>
    <col min="23" max="24" width="10.44140625" style="80" bestFit="1" customWidth="1"/>
    <col min="25" max="25" width="9.109375" style="80" bestFit="1" customWidth="1"/>
    <col min="26" max="27" width="9.109375" style="80"/>
    <col min="28" max="33" width="9.109375" style="80" bestFit="1" customWidth="1"/>
    <col min="34" max="34" width="11.44140625" style="80" customWidth="1"/>
    <col min="35" max="35" width="10.44140625" style="80" customWidth="1"/>
    <col min="36" max="36" width="9.33203125" style="80" customWidth="1"/>
    <col min="37" max="37" width="11.33203125" style="80" customWidth="1"/>
    <col min="38" max="38" width="10.44140625" style="80" customWidth="1"/>
    <col min="39" max="39" width="9.88671875" style="80" customWidth="1"/>
    <col min="40" max="40" width="9.109375" style="80" customWidth="1"/>
    <col min="41" max="41" width="11.44140625" style="80" customWidth="1"/>
    <col min="42" max="42" width="9.6640625" style="80" customWidth="1"/>
    <col min="43" max="43" width="10.5546875" style="80" customWidth="1"/>
    <col min="44" max="44" width="8.88671875" style="80" customWidth="1"/>
    <col min="45" max="46" width="9.109375" style="80" customWidth="1"/>
    <col min="47" max="47" width="14.33203125" style="80" customWidth="1"/>
    <col min="48" max="49" width="9.6640625" style="78" customWidth="1"/>
    <col min="50" max="52" width="9.109375" style="78" bestFit="1" customWidth="1"/>
    <col min="53" max="53" width="10.109375" style="78" bestFit="1" customWidth="1"/>
    <col min="54" max="54" width="10" style="78" customWidth="1"/>
    <col min="55" max="55" width="11.109375" style="78" customWidth="1"/>
    <col min="56" max="56" width="12.6640625" style="80" customWidth="1"/>
    <col min="57" max="57" width="12.5546875" style="80" bestFit="1" customWidth="1"/>
    <col min="58" max="58" width="11.44140625" style="80" customWidth="1"/>
    <col min="59" max="59" width="12.44140625" style="80" bestFit="1" customWidth="1"/>
    <col min="60" max="60" width="11.109375" style="80" bestFit="1" customWidth="1"/>
    <col min="61" max="61" width="11" style="80" bestFit="1" customWidth="1"/>
    <col min="62" max="62" width="12.88671875" style="80" bestFit="1" customWidth="1"/>
    <col min="63" max="63" width="9.6640625" style="80" bestFit="1" customWidth="1"/>
    <col min="64" max="64" width="14.44140625" style="170" customWidth="1"/>
    <col min="65" max="65" width="9.109375" style="170"/>
    <col min="66" max="16384" width="9.109375" style="80"/>
  </cols>
  <sheetData>
    <row r="1" spans="1:66" ht="14.1" customHeight="1">
      <c r="A1" s="73"/>
      <c r="B1" s="74"/>
      <c r="C1" s="74"/>
      <c r="D1" s="74"/>
      <c r="E1" s="74"/>
      <c r="F1" s="74"/>
      <c r="G1" s="74"/>
      <c r="H1" s="74"/>
      <c r="I1" s="74"/>
      <c r="J1" s="74"/>
      <c r="K1" s="74"/>
      <c r="L1" s="74"/>
      <c r="M1" s="74"/>
      <c r="N1" s="74"/>
      <c r="O1" s="74"/>
      <c r="R1" s="75"/>
      <c r="S1" s="76"/>
      <c r="T1" s="77"/>
      <c r="U1" s="74"/>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row>
    <row r="2" spans="1:66" ht="14.1" customHeight="1">
      <c r="B2" s="74"/>
      <c r="C2" s="74"/>
      <c r="D2" s="74"/>
      <c r="E2" s="74"/>
      <c r="F2" s="74"/>
      <c r="G2" s="74"/>
      <c r="H2" s="74"/>
      <c r="I2" s="74"/>
      <c r="J2" s="74"/>
      <c r="K2" s="74"/>
      <c r="L2" s="74"/>
      <c r="M2" s="74"/>
      <c r="N2" s="74"/>
      <c r="O2" s="74"/>
      <c r="P2" s="277"/>
      <c r="R2" s="75"/>
      <c r="S2" s="76"/>
      <c r="T2" s="77"/>
      <c r="U2" s="74"/>
      <c r="AH2" s="74"/>
      <c r="AI2" s="74"/>
      <c r="AL2" s="74"/>
      <c r="AO2" s="74"/>
      <c r="AR2" s="74"/>
      <c r="AU2" s="74"/>
      <c r="AV2" s="81"/>
      <c r="AW2" s="81"/>
      <c r="AX2" s="81"/>
      <c r="AY2" s="81"/>
      <c r="AZ2" s="81"/>
      <c r="BA2" s="81"/>
      <c r="BB2" s="81"/>
      <c r="BC2" s="81"/>
      <c r="BD2" s="81"/>
      <c r="BE2" s="81"/>
      <c r="BF2" s="81"/>
      <c r="BG2" s="81"/>
      <c r="BH2" s="74"/>
      <c r="BI2" s="74"/>
      <c r="BJ2" s="81"/>
    </row>
    <row r="3" spans="1:66" ht="14.1" customHeight="1">
      <c r="A3" s="82"/>
      <c r="B3" s="74"/>
      <c r="C3" s="74"/>
      <c r="D3" s="83" t="s">
        <v>285</v>
      </c>
      <c r="E3" s="74"/>
      <c r="F3" s="74"/>
      <c r="G3" s="74"/>
      <c r="H3" s="74"/>
      <c r="I3" s="74"/>
      <c r="J3" s="74"/>
      <c r="K3" s="74"/>
      <c r="L3" s="74"/>
      <c r="M3" s="74"/>
      <c r="N3" s="74"/>
      <c r="O3" s="74"/>
      <c r="P3" s="278"/>
      <c r="R3" s="75"/>
      <c r="S3" s="76"/>
      <c r="T3" s="77"/>
      <c r="U3" s="74"/>
      <c r="V3" s="79"/>
      <c r="W3" s="79"/>
      <c r="X3" s="79"/>
      <c r="Y3" s="79"/>
      <c r="Z3" s="79"/>
      <c r="AA3" s="79"/>
      <c r="AB3" s="79"/>
      <c r="AC3" s="79"/>
      <c r="AD3" s="79"/>
      <c r="AE3" s="79"/>
      <c r="AF3" s="79"/>
      <c r="AG3" s="79"/>
      <c r="AH3" s="79"/>
      <c r="AI3" s="79"/>
      <c r="AJ3" s="79"/>
      <c r="AK3" s="79"/>
      <c r="AL3" s="79"/>
      <c r="AM3" s="79"/>
      <c r="AN3" s="79"/>
      <c r="AO3" s="79"/>
      <c r="AP3" s="79"/>
      <c r="AQ3" s="79"/>
      <c r="AR3" s="79"/>
      <c r="AS3" s="79"/>
      <c r="AT3" s="79"/>
      <c r="AU3" s="79"/>
    </row>
    <row r="4" spans="1:66" s="84" customFormat="1" ht="14.1" customHeight="1">
      <c r="B4" s="85"/>
      <c r="C4" s="85"/>
      <c r="D4" s="86" t="s">
        <v>286</v>
      </c>
      <c r="E4" s="85"/>
      <c r="F4" s="85"/>
      <c r="G4" s="85"/>
      <c r="H4" s="85"/>
      <c r="I4" s="85"/>
      <c r="J4" s="85"/>
      <c r="K4" s="85"/>
      <c r="L4" s="85"/>
      <c r="M4" s="85"/>
      <c r="N4" s="85"/>
      <c r="O4" s="85"/>
      <c r="P4" s="276"/>
      <c r="Q4" s="74"/>
      <c r="R4" s="87"/>
      <c r="S4" s="88"/>
      <c r="T4" s="89"/>
      <c r="U4" s="85"/>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0"/>
      <c r="AW4" s="90"/>
      <c r="AX4" s="90"/>
      <c r="AY4" s="90"/>
      <c r="AZ4" s="90"/>
      <c r="BA4" s="90"/>
      <c r="BB4" s="90"/>
      <c r="BC4" s="90"/>
      <c r="BF4" s="92"/>
      <c r="BL4" s="82"/>
      <c r="BM4" s="82"/>
    </row>
    <row r="5" spans="1:66" s="99" customFormat="1" ht="14.1" customHeight="1">
      <c r="A5" s="93"/>
      <c r="B5" s="94"/>
      <c r="C5" s="94"/>
      <c r="D5" s="93" t="s">
        <v>283</v>
      </c>
      <c r="E5" s="94"/>
      <c r="F5" s="94"/>
      <c r="G5" s="94"/>
      <c r="H5" s="94"/>
      <c r="I5" s="94"/>
      <c r="J5" s="94"/>
      <c r="K5" s="94"/>
      <c r="L5" s="94"/>
      <c r="M5" s="94"/>
      <c r="N5" s="94"/>
      <c r="O5" s="94"/>
      <c r="P5" s="276"/>
      <c r="Q5" s="74"/>
      <c r="R5" s="87"/>
      <c r="S5" s="95"/>
      <c r="T5" s="96"/>
      <c r="U5" s="94"/>
      <c r="V5" s="74"/>
      <c r="W5" s="74"/>
      <c r="X5" s="74"/>
      <c r="Y5" s="74"/>
      <c r="Z5" s="74"/>
      <c r="AA5" s="74"/>
      <c r="AB5" s="74"/>
      <c r="AC5" s="74"/>
      <c r="AD5" s="74"/>
      <c r="AE5" s="74"/>
      <c r="AF5" s="74"/>
      <c r="AG5" s="74"/>
      <c r="AH5" s="98"/>
      <c r="AI5" s="98"/>
      <c r="AJ5" s="98"/>
      <c r="AK5" s="98"/>
      <c r="AL5" s="98"/>
      <c r="AM5" s="98"/>
      <c r="AO5" s="98"/>
      <c r="AP5" s="98"/>
      <c r="AQ5" s="98"/>
      <c r="AR5" s="98"/>
      <c r="AS5" s="98"/>
      <c r="AT5" s="98"/>
      <c r="AU5" s="98"/>
      <c r="AV5" s="97"/>
      <c r="AW5" s="97"/>
      <c r="AX5" s="97"/>
      <c r="AY5" s="97"/>
      <c r="AZ5" s="97"/>
      <c r="BA5" s="97"/>
      <c r="BB5" s="97"/>
      <c r="BC5" s="97"/>
      <c r="BL5" s="93"/>
      <c r="BM5" s="93"/>
    </row>
    <row r="6" spans="1:66" s="99" customFormat="1" ht="14.1" customHeight="1">
      <c r="A6" s="93"/>
      <c r="B6" s="94"/>
      <c r="C6" s="94"/>
      <c r="D6" s="100" t="s">
        <v>298</v>
      </c>
      <c r="E6" s="94"/>
      <c r="F6" s="94"/>
      <c r="G6" s="94"/>
      <c r="H6" s="94"/>
      <c r="I6" s="94"/>
      <c r="J6" s="94"/>
      <c r="K6" s="94"/>
      <c r="L6" s="94"/>
      <c r="M6" s="101"/>
      <c r="N6" s="101"/>
      <c r="O6" s="101"/>
      <c r="P6" s="279"/>
      <c r="Q6" s="102"/>
      <c r="R6" s="102"/>
      <c r="S6" s="103"/>
      <c r="T6" s="104"/>
      <c r="U6" s="94"/>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L6" s="93"/>
      <c r="BM6" s="93"/>
    </row>
    <row r="7" spans="1:66" s="106" customFormat="1" ht="33.9" customHeight="1">
      <c r="B7" s="107"/>
      <c r="C7" s="107"/>
      <c r="D7" s="100"/>
      <c r="E7" s="107"/>
      <c r="F7" s="107"/>
      <c r="G7" s="107"/>
      <c r="H7" s="107"/>
      <c r="I7" s="107"/>
      <c r="J7" s="107"/>
      <c r="K7" s="107"/>
      <c r="L7" s="107"/>
      <c r="M7" s="107"/>
      <c r="N7" s="107"/>
      <c r="O7" s="107"/>
      <c r="P7" s="280"/>
      <c r="Q7" s="108"/>
      <c r="R7" s="109"/>
      <c r="S7" s="110"/>
      <c r="T7" s="111"/>
      <c r="U7" s="107"/>
      <c r="V7" s="112" t="s">
        <v>46</v>
      </c>
      <c r="W7" s="113"/>
      <c r="X7" s="113"/>
      <c r="Y7" s="113"/>
      <c r="Z7" s="113"/>
      <c r="AA7" s="113"/>
      <c r="AB7" s="113"/>
      <c r="AC7" s="113"/>
      <c r="AD7" s="113"/>
      <c r="AE7" s="113"/>
      <c r="AF7" s="113"/>
      <c r="AG7" s="113"/>
      <c r="AH7" s="114" t="s">
        <v>47</v>
      </c>
      <c r="AI7" s="113"/>
      <c r="AJ7" s="113"/>
      <c r="AK7" s="113"/>
      <c r="AL7" s="113"/>
      <c r="AM7" s="113"/>
      <c r="AN7" s="113"/>
      <c r="AO7" s="115" t="s">
        <v>48</v>
      </c>
      <c r="AP7" s="113"/>
      <c r="AQ7" s="113"/>
      <c r="AR7" s="113"/>
      <c r="AS7" s="116"/>
      <c r="AT7" s="116"/>
      <c r="AU7" s="117" t="s">
        <v>49</v>
      </c>
      <c r="AV7" s="118" t="s">
        <v>51</v>
      </c>
      <c r="AW7" s="119"/>
      <c r="AX7" s="119"/>
      <c r="AY7" s="119"/>
      <c r="AZ7" s="119"/>
      <c r="BA7" s="119"/>
      <c r="BB7" s="119"/>
      <c r="BC7" s="119"/>
      <c r="BD7" s="120" t="s">
        <v>50</v>
      </c>
      <c r="BE7" s="121"/>
      <c r="BF7" s="121"/>
      <c r="BG7" s="121"/>
      <c r="BH7" s="121"/>
      <c r="BI7" s="121"/>
      <c r="BJ7" s="121"/>
      <c r="BK7" s="122"/>
      <c r="BL7" s="171"/>
      <c r="BM7" s="171"/>
    </row>
    <row r="8" spans="1:66" s="123" customFormat="1" ht="21.75" customHeight="1">
      <c r="B8" s="124"/>
      <c r="C8" s="124"/>
      <c r="D8" s="124"/>
      <c r="E8" s="124"/>
      <c r="F8" s="124"/>
      <c r="G8" s="124"/>
      <c r="H8" s="124"/>
      <c r="I8" s="124"/>
      <c r="J8" s="124"/>
      <c r="K8" s="124"/>
      <c r="L8" s="124"/>
      <c r="M8" s="124"/>
      <c r="N8" s="124"/>
      <c r="O8" s="124"/>
      <c r="P8" s="281"/>
      <c r="Q8" s="125"/>
      <c r="R8" s="126"/>
      <c r="S8" s="127"/>
      <c r="T8" s="128"/>
      <c r="U8" s="124"/>
      <c r="V8" s="112" t="s">
        <v>25</v>
      </c>
      <c r="W8" s="112" t="s">
        <v>25</v>
      </c>
      <c r="X8" s="112" t="s">
        <v>25</v>
      </c>
      <c r="Y8" s="112" t="s">
        <v>25</v>
      </c>
      <c r="Z8" s="112" t="s">
        <v>25</v>
      </c>
      <c r="AA8" s="112" t="s">
        <v>25</v>
      </c>
      <c r="AB8" s="112" t="s">
        <v>25</v>
      </c>
      <c r="AC8" s="112" t="s">
        <v>25</v>
      </c>
      <c r="AD8" s="112" t="s">
        <v>25</v>
      </c>
      <c r="AE8" s="112" t="s">
        <v>25</v>
      </c>
      <c r="AF8" s="112" t="s">
        <v>25</v>
      </c>
      <c r="AG8" s="112" t="s">
        <v>25</v>
      </c>
      <c r="AH8" s="114" t="s">
        <v>25</v>
      </c>
      <c r="AI8" s="114" t="s">
        <v>25</v>
      </c>
      <c r="AJ8" s="114" t="s">
        <v>25</v>
      </c>
      <c r="AK8" s="114" t="s">
        <v>25</v>
      </c>
      <c r="AL8" s="114" t="s">
        <v>25</v>
      </c>
      <c r="AM8" s="114" t="s">
        <v>25</v>
      </c>
      <c r="AN8" s="114" t="s">
        <v>25</v>
      </c>
      <c r="AO8" s="115" t="s">
        <v>25</v>
      </c>
      <c r="AP8" s="115" t="s">
        <v>25</v>
      </c>
      <c r="AQ8" s="115" t="s">
        <v>25</v>
      </c>
      <c r="AR8" s="115" t="s">
        <v>25</v>
      </c>
      <c r="AS8" s="129" t="s">
        <v>25</v>
      </c>
      <c r="AT8" s="129" t="s">
        <v>25</v>
      </c>
      <c r="AU8" s="130" t="s">
        <v>25</v>
      </c>
      <c r="AV8" s="118"/>
      <c r="AW8" s="119"/>
      <c r="AX8" s="119"/>
      <c r="AY8" s="119"/>
      <c r="AZ8" s="119"/>
      <c r="BA8" s="119"/>
      <c r="BB8" s="119"/>
      <c r="BC8" s="119"/>
      <c r="BD8" s="120"/>
      <c r="BE8" s="121"/>
      <c r="BF8" s="121"/>
      <c r="BG8" s="121"/>
      <c r="BH8" s="121"/>
      <c r="BI8" s="121"/>
      <c r="BJ8" s="121"/>
      <c r="BL8" s="172"/>
      <c r="BM8" s="172"/>
    </row>
    <row r="9" spans="1:66" s="131" customFormat="1" ht="63.75" customHeight="1">
      <c r="A9" s="131" t="s">
        <v>62</v>
      </c>
      <c r="B9" s="131" t="s">
        <v>248</v>
      </c>
      <c r="C9" s="131" t="s">
        <v>249</v>
      </c>
      <c r="D9" s="131" t="s">
        <v>250</v>
      </c>
      <c r="E9" s="131" t="s">
        <v>251</v>
      </c>
      <c r="F9" s="131" t="s">
        <v>252</v>
      </c>
      <c r="G9" s="131" t="s">
        <v>253</v>
      </c>
      <c r="H9" s="131" t="s">
        <v>254</v>
      </c>
      <c r="I9" s="131" t="s">
        <v>255</v>
      </c>
      <c r="J9" s="131" t="s">
        <v>256</v>
      </c>
      <c r="K9" s="131" t="s">
        <v>257</v>
      </c>
      <c r="L9" s="131" t="s">
        <v>258</v>
      </c>
      <c r="M9" s="131" t="s">
        <v>259</v>
      </c>
      <c r="N9" s="131" t="s">
        <v>260</v>
      </c>
      <c r="O9" s="131" t="s">
        <v>261</v>
      </c>
      <c r="P9" s="245" t="s">
        <v>262</v>
      </c>
      <c r="Q9" s="131" t="s">
        <v>263</v>
      </c>
      <c r="R9" s="131" t="s">
        <v>264</v>
      </c>
      <c r="S9" s="131" t="s">
        <v>265</v>
      </c>
      <c r="T9" s="131" t="s">
        <v>266</v>
      </c>
      <c r="U9" s="131" t="s">
        <v>267</v>
      </c>
      <c r="V9" s="144" t="s">
        <v>140</v>
      </c>
      <c r="W9" s="144" t="s">
        <v>141</v>
      </c>
      <c r="X9" s="144" t="s">
        <v>142</v>
      </c>
      <c r="Y9" s="144" t="s">
        <v>138</v>
      </c>
      <c r="Z9" s="132" t="s">
        <v>43</v>
      </c>
      <c r="AA9" s="132" t="s">
        <v>44</v>
      </c>
      <c r="AB9" s="132" t="s">
        <v>34</v>
      </c>
      <c r="AC9" s="132" t="s">
        <v>139</v>
      </c>
      <c r="AD9" s="132" t="s">
        <v>35</v>
      </c>
      <c r="AE9" s="132" t="s">
        <v>36</v>
      </c>
      <c r="AF9" s="132" t="s">
        <v>45</v>
      </c>
      <c r="AG9" s="132" t="s">
        <v>37</v>
      </c>
      <c r="AH9" s="133" t="s">
        <v>143</v>
      </c>
      <c r="AI9" s="133" t="s">
        <v>146</v>
      </c>
      <c r="AJ9" s="133" t="s">
        <v>147</v>
      </c>
      <c r="AK9" s="133" t="s">
        <v>144</v>
      </c>
      <c r="AL9" s="133" t="s">
        <v>145</v>
      </c>
      <c r="AM9" s="133" t="s">
        <v>299</v>
      </c>
      <c r="AN9" s="133" t="s">
        <v>300</v>
      </c>
      <c r="AO9" s="134" t="s">
        <v>38</v>
      </c>
      <c r="AP9" s="134" t="s">
        <v>39</v>
      </c>
      <c r="AQ9" s="134" t="s">
        <v>41</v>
      </c>
      <c r="AR9" s="134" t="s">
        <v>150</v>
      </c>
      <c r="AS9" s="134" t="s">
        <v>149</v>
      </c>
      <c r="AT9" s="134" t="s">
        <v>40</v>
      </c>
      <c r="AU9" s="135" t="s">
        <v>148</v>
      </c>
      <c r="AV9" s="136" t="s">
        <v>26</v>
      </c>
      <c r="AW9" s="136" t="s">
        <v>27</v>
      </c>
      <c r="AX9" s="136" t="s">
        <v>28</v>
      </c>
      <c r="AY9" s="136" t="s">
        <v>30</v>
      </c>
      <c r="AZ9" s="136" t="s">
        <v>276</v>
      </c>
      <c r="BA9" s="136" t="s">
        <v>31</v>
      </c>
      <c r="BB9" s="136" t="s">
        <v>161</v>
      </c>
      <c r="BC9" s="136" t="s">
        <v>42</v>
      </c>
      <c r="BD9" s="137" t="s">
        <v>29</v>
      </c>
      <c r="BE9" s="137" t="s">
        <v>167</v>
      </c>
      <c r="BF9" s="137" t="s">
        <v>277</v>
      </c>
      <c r="BG9" s="137" t="s">
        <v>278</v>
      </c>
      <c r="BH9" s="137" t="s">
        <v>163</v>
      </c>
      <c r="BI9" s="137" t="s">
        <v>162</v>
      </c>
      <c r="BJ9" s="137" t="s">
        <v>279</v>
      </c>
      <c r="BK9" s="138" t="s">
        <v>32</v>
      </c>
      <c r="BL9" s="169" t="s">
        <v>268</v>
      </c>
      <c r="BM9" s="169" t="s">
        <v>268</v>
      </c>
      <c r="BN9" s="138"/>
    </row>
    <row r="10" spans="1:66" s="139" customFormat="1" ht="14.1" customHeight="1">
      <c r="A10" s="175" t="s">
        <v>301</v>
      </c>
      <c r="B10" s="266" t="s">
        <v>435</v>
      </c>
      <c r="C10" s="266" t="s">
        <v>436</v>
      </c>
      <c r="D10" s="266" t="s">
        <v>437</v>
      </c>
      <c r="E10" s="267" t="s">
        <v>272</v>
      </c>
      <c r="F10" s="267">
        <v>549</v>
      </c>
      <c r="G10" s="267">
        <v>1</v>
      </c>
      <c r="H10" s="267">
        <v>5</v>
      </c>
      <c r="I10" s="267">
        <v>11.6</v>
      </c>
      <c r="J10" s="267">
        <v>21</v>
      </c>
      <c r="K10" s="266" t="s">
        <v>570</v>
      </c>
      <c r="L10" s="267">
        <v>2018</v>
      </c>
      <c r="M10" s="267" t="s">
        <v>571</v>
      </c>
      <c r="N10" s="267">
        <v>31</v>
      </c>
      <c r="O10" s="267">
        <v>31</v>
      </c>
      <c r="P10" s="282" t="s">
        <v>572</v>
      </c>
      <c r="Q10" s="267">
        <v>-70.879000000000005</v>
      </c>
      <c r="R10" s="267">
        <v>41.197000000000003</v>
      </c>
      <c r="S10" s="267" t="s">
        <v>271</v>
      </c>
      <c r="T10" s="267">
        <v>25</v>
      </c>
      <c r="U10" s="266" t="s">
        <v>573</v>
      </c>
      <c r="V10" s="268">
        <v>4.8839999999999995</v>
      </c>
      <c r="W10" s="268">
        <v>5.3999999999999999E-2</v>
      </c>
      <c r="X10" s="268">
        <v>0.76400000000000001</v>
      </c>
      <c r="Y10" s="178">
        <v>0.14299999999999999</v>
      </c>
      <c r="Z10" s="178">
        <v>1.7000000000000001E-2</v>
      </c>
      <c r="AA10" s="178">
        <v>-8888</v>
      </c>
      <c r="AB10" s="178">
        <v>4.2000000000000003E-2</v>
      </c>
      <c r="AC10" s="178">
        <v>0.29299999999999998</v>
      </c>
      <c r="AD10" s="178">
        <v>3.4000000000000002E-2</v>
      </c>
      <c r="AE10" s="178">
        <v>1.8380000000000001</v>
      </c>
      <c r="AF10" s="178">
        <v>6.2E-2</v>
      </c>
      <c r="AG10" s="178">
        <v>6.0000000000000001E-3</v>
      </c>
      <c r="AH10" s="178">
        <v>4.4429999999999996</v>
      </c>
      <c r="AI10" s="178">
        <v>-8888</v>
      </c>
      <c r="AJ10" s="178">
        <v>0.441</v>
      </c>
      <c r="AK10" s="178">
        <v>5.3999999999999999E-2</v>
      </c>
      <c r="AL10" s="178">
        <v>-8888</v>
      </c>
      <c r="AM10" s="178">
        <v>0.71099999999999997</v>
      </c>
      <c r="AN10" s="178">
        <v>5.2999999999999999E-2</v>
      </c>
      <c r="AO10" s="178">
        <v>-8888</v>
      </c>
      <c r="AP10" s="178">
        <v>0.01</v>
      </c>
      <c r="AQ10" s="178">
        <v>1.4E-2</v>
      </c>
      <c r="AR10" s="178">
        <v>5.2999999999999999E-2</v>
      </c>
      <c r="AS10" s="178">
        <v>0.24199999999999999</v>
      </c>
      <c r="AT10" s="178">
        <v>1.2999999999999999E-2</v>
      </c>
      <c r="AU10" s="178">
        <v>-8888</v>
      </c>
      <c r="AV10" s="178">
        <v>5.702</v>
      </c>
      <c r="AW10" s="178">
        <v>0.51800000000000002</v>
      </c>
      <c r="AX10" s="178">
        <v>1.917</v>
      </c>
      <c r="AY10" s="178">
        <v>7.6189999999999998</v>
      </c>
      <c r="AZ10" s="178">
        <v>2.4350000000000001</v>
      </c>
      <c r="BA10" s="178">
        <v>3.2530000000000001</v>
      </c>
      <c r="BB10" s="178">
        <v>8.1370000000000005</v>
      </c>
      <c r="BC10" s="178">
        <v>2.0190000000000001</v>
      </c>
      <c r="BD10" s="179">
        <v>0.67</v>
      </c>
      <c r="BE10" s="179">
        <v>0.79</v>
      </c>
      <c r="BF10" s="179">
        <v>0.21</v>
      </c>
      <c r="BG10" s="179">
        <v>2.34</v>
      </c>
      <c r="BH10" s="179">
        <v>0.06</v>
      </c>
      <c r="BI10" s="179">
        <v>0.94</v>
      </c>
      <c r="BJ10" s="179">
        <v>0.6</v>
      </c>
      <c r="BK10" s="173"/>
      <c r="BL10" s="190" t="s">
        <v>574</v>
      </c>
      <c r="BM10" s="190"/>
    </row>
    <row r="11" spans="1:66" s="140" customFormat="1" ht="14.1" customHeight="1">
      <c r="A11" s="175" t="s">
        <v>303</v>
      </c>
      <c r="B11" s="266" t="s">
        <v>435</v>
      </c>
      <c r="C11" s="266" t="s">
        <v>438</v>
      </c>
      <c r="D11" s="266" t="s">
        <v>437</v>
      </c>
      <c r="E11" s="267" t="s">
        <v>272</v>
      </c>
      <c r="F11" s="267">
        <v>547</v>
      </c>
      <c r="G11" s="267">
        <v>1</v>
      </c>
      <c r="H11" s="267">
        <v>9</v>
      </c>
      <c r="I11" s="267">
        <v>7</v>
      </c>
      <c r="J11" s="267">
        <v>21</v>
      </c>
      <c r="K11" s="266" t="s">
        <v>570</v>
      </c>
      <c r="L11" s="267">
        <v>2018</v>
      </c>
      <c r="M11" s="267" t="s">
        <v>571</v>
      </c>
      <c r="N11" s="267">
        <v>31</v>
      </c>
      <c r="O11" s="267">
        <v>31</v>
      </c>
      <c r="P11" s="282" t="s">
        <v>572</v>
      </c>
      <c r="Q11" s="267">
        <v>-70.879000000000005</v>
      </c>
      <c r="R11" s="267">
        <v>41.197000000000003</v>
      </c>
      <c r="S11" s="267" t="s">
        <v>271</v>
      </c>
      <c r="T11" s="267">
        <v>25</v>
      </c>
      <c r="U11" s="266" t="s">
        <v>573</v>
      </c>
      <c r="V11" s="268">
        <v>4.8499999999999996</v>
      </c>
      <c r="W11" s="268">
        <v>5.2999999999999999E-2</v>
      </c>
      <c r="X11" s="268">
        <v>0.76100000000000001</v>
      </c>
      <c r="Y11" s="178">
        <v>0.14000000000000001</v>
      </c>
      <c r="Z11" s="178">
        <v>1.7000000000000001E-2</v>
      </c>
      <c r="AA11" s="178">
        <v>-8888</v>
      </c>
      <c r="AB11" s="178">
        <v>4.2000000000000003E-2</v>
      </c>
      <c r="AC11" s="178">
        <v>0.28699999999999998</v>
      </c>
      <c r="AD11" s="178">
        <v>3.6999999999999998E-2</v>
      </c>
      <c r="AE11" s="178">
        <v>1.82</v>
      </c>
      <c r="AF11" s="178">
        <v>5.5E-2</v>
      </c>
      <c r="AG11" s="178">
        <v>8.0000000000000002E-3</v>
      </c>
      <c r="AH11" s="178">
        <v>4.3819999999999997</v>
      </c>
      <c r="AI11" s="178">
        <v>-8888</v>
      </c>
      <c r="AJ11" s="178">
        <v>0.46800000000000003</v>
      </c>
      <c r="AK11" s="178">
        <v>5.2999999999999999E-2</v>
      </c>
      <c r="AL11" s="178">
        <v>-8888</v>
      </c>
      <c r="AM11" s="178">
        <v>0.70799999999999996</v>
      </c>
      <c r="AN11" s="178">
        <v>5.2999999999999999E-2</v>
      </c>
      <c r="AO11" s="178">
        <v>-8888</v>
      </c>
      <c r="AP11" s="178">
        <v>0.01</v>
      </c>
      <c r="AQ11" s="178">
        <v>1.4E-2</v>
      </c>
      <c r="AR11" s="178">
        <v>5.0999999999999997E-2</v>
      </c>
      <c r="AS11" s="178">
        <v>0.22700000000000001</v>
      </c>
      <c r="AT11" s="178">
        <v>1.2999999999999999E-2</v>
      </c>
      <c r="AU11" s="178">
        <v>-8888</v>
      </c>
      <c r="AV11" s="178">
        <v>5.6639999999999997</v>
      </c>
      <c r="AW11" s="178">
        <v>0.51400000000000001</v>
      </c>
      <c r="AX11" s="178">
        <v>1.8919999999999999</v>
      </c>
      <c r="AY11" s="178">
        <v>7.5559999999999992</v>
      </c>
      <c r="AZ11" s="178">
        <v>2.4059999999999997</v>
      </c>
      <c r="BA11" s="178">
        <v>3.2199999999999998</v>
      </c>
      <c r="BB11" s="178">
        <v>8.07</v>
      </c>
      <c r="BC11" s="178">
        <v>1.9949999999999999</v>
      </c>
      <c r="BD11" s="179">
        <v>0.66</v>
      </c>
      <c r="BE11" s="179">
        <v>0.79</v>
      </c>
      <c r="BF11" s="179">
        <v>0.21</v>
      </c>
      <c r="BG11" s="179">
        <v>2.35</v>
      </c>
      <c r="BH11" s="179">
        <v>0.06</v>
      </c>
      <c r="BI11" s="179">
        <v>0.94</v>
      </c>
      <c r="BJ11" s="179">
        <v>0.6</v>
      </c>
      <c r="BK11" s="174"/>
      <c r="BL11" s="190" t="s">
        <v>574</v>
      </c>
      <c r="BM11" s="190"/>
    </row>
    <row r="12" spans="1:66" s="140" customFormat="1" ht="14.1" customHeight="1">
      <c r="A12" s="175" t="s">
        <v>304</v>
      </c>
      <c r="B12" s="266" t="s">
        <v>435</v>
      </c>
      <c r="C12" s="266" t="s">
        <v>439</v>
      </c>
      <c r="D12" s="266" t="s">
        <v>437</v>
      </c>
      <c r="E12" s="267" t="s">
        <v>272</v>
      </c>
      <c r="F12" s="267">
        <v>535</v>
      </c>
      <c r="G12" s="267">
        <v>1</v>
      </c>
      <c r="H12" s="267">
        <v>19</v>
      </c>
      <c r="I12" s="267">
        <v>2.7</v>
      </c>
      <c r="J12" s="267">
        <v>21</v>
      </c>
      <c r="K12" s="266" t="s">
        <v>570</v>
      </c>
      <c r="L12" s="267">
        <v>2018</v>
      </c>
      <c r="M12" s="267" t="s">
        <v>571</v>
      </c>
      <c r="N12" s="267">
        <v>31</v>
      </c>
      <c r="O12" s="267">
        <v>31</v>
      </c>
      <c r="P12" s="282" t="s">
        <v>572</v>
      </c>
      <c r="Q12" s="267">
        <v>-70.879000000000005</v>
      </c>
      <c r="R12" s="267">
        <v>41.197000000000003</v>
      </c>
      <c r="S12" s="267" t="s">
        <v>271</v>
      </c>
      <c r="T12" s="267">
        <v>25</v>
      </c>
      <c r="U12" s="266" t="s">
        <v>573</v>
      </c>
      <c r="V12" s="268">
        <v>5.024</v>
      </c>
      <c r="W12" s="268">
        <v>6.4000000000000001E-2</v>
      </c>
      <c r="X12" s="268">
        <v>0.78700000000000003</v>
      </c>
      <c r="Y12" s="178">
        <v>0.15</v>
      </c>
      <c r="Z12" s="178">
        <v>1.7999999999999999E-2</v>
      </c>
      <c r="AA12" s="178">
        <v>-8888</v>
      </c>
      <c r="AB12" s="178">
        <v>4.2000000000000003E-2</v>
      </c>
      <c r="AC12" s="178">
        <v>0.29399999999999998</v>
      </c>
      <c r="AD12" s="178">
        <v>4.4999999999999998E-2</v>
      </c>
      <c r="AE12" s="178">
        <v>1.92</v>
      </c>
      <c r="AF12" s="178">
        <v>5.2999999999999999E-2</v>
      </c>
      <c r="AG12" s="178">
        <v>8.0000000000000002E-3</v>
      </c>
      <c r="AH12" s="178">
        <v>4.4749999999999996</v>
      </c>
      <c r="AI12" s="178">
        <v>-8888</v>
      </c>
      <c r="AJ12" s="178">
        <v>0.54900000000000004</v>
      </c>
      <c r="AK12" s="178">
        <v>6.4000000000000001E-2</v>
      </c>
      <c r="AL12" s="178">
        <v>-8888</v>
      </c>
      <c r="AM12" s="178">
        <v>0.73499999999999999</v>
      </c>
      <c r="AN12" s="178">
        <v>5.1999999999999998E-2</v>
      </c>
      <c r="AO12" s="178">
        <v>-8888</v>
      </c>
      <c r="AP12" s="178">
        <v>8.9999999999999993E-3</v>
      </c>
      <c r="AQ12" s="178">
        <v>1.4999999999999999E-2</v>
      </c>
      <c r="AR12" s="178">
        <v>5.1999999999999998E-2</v>
      </c>
      <c r="AS12" s="178">
        <v>0.254</v>
      </c>
      <c r="AT12" s="178">
        <v>1.4999999999999999E-2</v>
      </c>
      <c r="AU12" s="178">
        <v>-8888</v>
      </c>
      <c r="AV12" s="178">
        <v>5.875</v>
      </c>
      <c r="AW12" s="178">
        <v>0.53899999999999992</v>
      </c>
      <c r="AX12" s="178">
        <v>1.9909999999999999</v>
      </c>
      <c r="AY12" s="178">
        <v>7.8659999999999997</v>
      </c>
      <c r="AZ12" s="178">
        <v>2.5299999999999998</v>
      </c>
      <c r="BA12" s="178">
        <v>3.3809999999999998</v>
      </c>
      <c r="BB12" s="178">
        <v>8.4049999999999994</v>
      </c>
      <c r="BC12" s="178">
        <v>2.105</v>
      </c>
      <c r="BD12" s="179">
        <v>0.67</v>
      </c>
      <c r="BE12" s="179">
        <v>0.79</v>
      </c>
      <c r="BF12" s="179">
        <v>0.21</v>
      </c>
      <c r="BG12" s="179">
        <v>2.3199999999999998</v>
      </c>
      <c r="BH12" s="179">
        <v>0.06</v>
      </c>
      <c r="BI12" s="179">
        <v>0.94</v>
      </c>
      <c r="BJ12" s="179">
        <v>0.6</v>
      </c>
      <c r="BK12" s="174"/>
      <c r="BL12" s="190" t="s">
        <v>574</v>
      </c>
      <c r="BM12" s="190"/>
    </row>
    <row r="13" spans="1:66" s="140" customFormat="1" ht="14.1" customHeight="1">
      <c r="A13" s="175" t="s">
        <v>305</v>
      </c>
      <c r="B13" s="266" t="s">
        <v>435</v>
      </c>
      <c r="C13" s="266" t="s">
        <v>440</v>
      </c>
      <c r="D13" s="266" t="s">
        <v>437</v>
      </c>
      <c r="E13" s="267" t="s">
        <v>272</v>
      </c>
      <c r="F13" s="267">
        <v>535</v>
      </c>
      <c r="G13" s="267">
        <v>1</v>
      </c>
      <c r="H13" s="267">
        <v>5</v>
      </c>
      <c r="I13" s="267">
        <v>11.6</v>
      </c>
      <c r="J13" s="267">
        <v>21</v>
      </c>
      <c r="K13" s="266" t="s">
        <v>570</v>
      </c>
      <c r="L13" s="267">
        <v>2018</v>
      </c>
      <c r="M13" s="267" t="s">
        <v>571</v>
      </c>
      <c r="N13" s="267">
        <v>31</v>
      </c>
      <c r="O13" s="267">
        <v>31</v>
      </c>
      <c r="P13" s="282" t="s">
        <v>572</v>
      </c>
      <c r="Q13" s="267">
        <v>-70.879000000000005</v>
      </c>
      <c r="R13" s="267">
        <v>41.197000000000003</v>
      </c>
      <c r="S13" s="267" t="s">
        <v>271</v>
      </c>
      <c r="T13" s="267">
        <v>25</v>
      </c>
      <c r="U13" s="266" t="s">
        <v>573</v>
      </c>
      <c r="V13" s="268">
        <v>4.952</v>
      </c>
      <c r="W13" s="268">
        <v>5.3999999999999999E-2</v>
      </c>
      <c r="X13" s="268">
        <v>0.77800000000000002</v>
      </c>
      <c r="Y13" s="178">
        <v>0.13300000000000001</v>
      </c>
      <c r="Z13" s="178">
        <v>1.7000000000000001E-2</v>
      </c>
      <c r="AA13" s="178">
        <v>-8888</v>
      </c>
      <c r="AB13" s="178">
        <v>4.2000000000000003E-2</v>
      </c>
      <c r="AC13" s="178">
        <v>0.307</v>
      </c>
      <c r="AD13" s="178">
        <v>0.02</v>
      </c>
      <c r="AE13" s="178">
        <v>1.8979999999999999</v>
      </c>
      <c r="AF13" s="178">
        <v>5.8000000000000003E-2</v>
      </c>
      <c r="AG13" s="178">
        <v>6.0000000000000001E-3</v>
      </c>
      <c r="AH13" s="178">
        <v>4.6379999999999999</v>
      </c>
      <c r="AI13" s="178">
        <v>-8888</v>
      </c>
      <c r="AJ13" s="178">
        <v>0.314</v>
      </c>
      <c r="AK13" s="178">
        <v>5.3999999999999999E-2</v>
      </c>
      <c r="AL13" s="178">
        <v>-8888</v>
      </c>
      <c r="AM13" s="178">
        <v>0.71599999999999997</v>
      </c>
      <c r="AN13" s="178">
        <v>6.2E-2</v>
      </c>
      <c r="AO13" s="178">
        <v>-8888</v>
      </c>
      <c r="AP13" s="178">
        <v>0.01</v>
      </c>
      <c r="AQ13" s="178">
        <v>1.2999999999999999E-2</v>
      </c>
      <c r="AR13" s="178">
        <v>5.3999999999999999E-2</v>
      </c>
      <c r="AS13" s="178">
        <v>0.222</v>
      </c>
      <c r="AT13" s="178">
        <v>1.2999999999999999E-2</v>
      </c>
      <c r="AU13" s="178">
        <v>-8888</v>
      </c>
      <c r="AV13" s="178">
        <v>5.7840000000000007</v>
      </c>
      <c r="AW13" s="178">
        <v>0.50800000000000001</v>
      </c>
      <c r="AX13" s="178">
        <v>1.9729999999999999</v>
      </c>
      <c r="AY13" s="178">
        <v>7.7570000000000006</v>
      </c>
      <c r="AZ13" s="178">
        <v>2.4809999999999999</v>
      </c>
      <c r="BA13" s="178">
        <v>3.3129999999999997</v>
      </c>
      <c r="BB13" s="178">
        <v>8.2650000000000006</v>
      </c>
      <c r="BC13" s="178">
        <v>2.0749999999999997</v>
      </c>
      <c r="BD13" s="179">
        <v>0.67</v>
      </c>
      <c r="BE13" s="179">
        <v>0.8</v>
      </c>
      <c r="BF13" s="179">
        <v>0.2</v>
      </c>
      <c r="BG13" s="179">
        <v>2.33</v>
      </c>
      <c r="BH13" s="179">
        <v>0.06</v>
      </c>
      <c r="BI13" s="179">
        <v>0.94</v>
      </c>
      <c r="BJ13" s="179">
        <v>0.6</v>
      </c>
      <c r="BK13" s="174"/>
      <c r="BL13" s="190" t="s">
        <v>574</v>
      </c>
      <c r="BM13" s="190"/>
    </row>
    <row r="14" spans="1:66" s="140" customFormat="1" ht="14.1" customHeight="1">
      <c r="A14" s="175" t="s">
        <v>306</v>
      </c>
      <c r="B14" s="266" t="s">
        <v>435</v>
      </c>
      <c r="C14" s="266" t="s">
        <v>441</v>
      </c>
      <c r="D14" s="266" t="s">
        <v>437</v>
      </c>
      <c r="E14" s="267" t="s">
        <v>272</v>
      </c>
      <c r="F14" s="267">
        <v>535</v>
      </c>
      <c r="G14" s="267">
        <v>1</v>
      </c>
      <c r="H14" s="267">
        <v>9</v>
      </c>
      <c r="I14" s="267">
        <v>7</v>
      </c>
      <c r="J14" s="267">
        <v>21</v>
      </c>
      <c r="K14" s="266" t="s">
        <v>570</v>
      </c>
      <c r="L14" s="267">
        <v>2018</v>
      </c>
      <c r="M14" s="267" t="s">
        <v>571</v>
      </c>
      <c r="N14" s="267">
        <v>31</v>
      </c>
      <c r="O14" s="267">
        <v>31</v>
      </c>
      <c r="P14" s="282" t="s">
        <v>572</v>
      </c>
      <c r="Q14" s="267">
        <v>-70.879000000000005</v>
      </c>
      <c r="R14" s="267">
        <v>41.197000000000003</v>
      </c>
      <c r="S14" s="267" t="s">
        <v>271</v>
      </c>
      <c r="T14" s="267">
        <v>25</v>
      </c>
      <c r="U14" s="266" t="s">
        <v>573</v>
      </c>
      <c r="V14" s="268">
        <v>5.1480000000000006</v>
      </c>
      <c r="W14" s="268">
        <v>5.5E-2</v>
      </c>
      <c r="X14" s="268">
        <v>0.79900000000000004</v>
      </c>
      <c r="Y14" s="178">
        <v>0.13800000000000001</v>
      </c>
      <c r="Z14" s="178">
        <v>1.6E-2</v>
      </c>
      <c r="AA14" s="178">
        <v>-8888</v>
      </c>
      <c r="AB14" s="178">
        <v>4.2999999999999997E-2</v>
      </c>
      <c r="AC14" s="178">
        <v>0.32400000000000001</v>
      </c>
      <c r="AD14" s="178">
        <v>2.4E-2</v>
      </c>
      <c r="AE14" s="178">
        <v>2.0190000000000001</v>
      </c>
      <c r="AF14" s="178">
        <v>5.5E-2</v>
      </c>
      <c r="AG14" s="178">
        <v>7.0000000000000001E-3</v>
      </c>
      <c r="AH14" s="178">
        <v>4.7990000000000004</v>
      </c>
      <c r="AI14" s="178">
        <v>-8888</v>
      </c>
      <c r="AJ14" s="178">
        <v>0.34899999999999998</v>
      </c>
      <c r="AK14" s="178">
        <v>5.5E-2</v>
      </c>
      <c r="AL14" s="178">
        <v>-8888</v>
      </c>
      <c r="AM14" s="178">
        <v>0.74199999999999999</v>
      </c>
      <c r="AN14" s="178">
        <v>5.7000000000000002E-2</v>
      </c>
      <c r="AO14" s="178">
        <v>-8888</v>
      </c>
      <c r="AP14" s="178">
        <v>0.01</v>
      </c>
      <c r="AQ14" s="178">
        <v>1.2999999999999999E-2</v>
      </c>
      <c r="AR14" s="178">
        <v>0.06</v>
      </c>
      <c r="AS14" s="178">
        <v>0.22</v>
      </c>
      <c r="AT14" s="178">
        <v>1.2999999999999999E-2</v>
      </c>
      <c r="AU14" s="178">
        <v>-8888</v>
      </c>
      <c r="AV14" s="178">
        <v>6.0020000000000007</v>
      </c>
      <c r="AW14" s="178">
        <v>0.53600000000000003</v>
      </c>
      <c r="AX14" s="178">
        <v>2.0900000000000003</v>
      </c>
      <c r="AY14" s="178">
        <v>8.0920000000000005</v>
      </c>
      <c r="AZ14" s="178">
        <v>2.6260000000000003</v>
      </c>
      <c r="BA14" s="178">
        <v>3.4800000000000004</v>
      </c>
      <c r="BB14" s="178">
        <v>8.6280000000000001</v>
      </c>
      <c r="BC14" s="178">
        <v>2.1950000000000003</v>
      </c>
      <c r="BD14" s="179">
        <v>0.68</v>
      </c>
      <c r="BE14" s="179">
        <v>0.8</v>
      </c>
      <c r="BF14" s="179">
        <v>0.2</v>
      </c>
      <c r="BG14" s="179">
        <v>2.29</v>
      </c>
      <c r="BH14" s="179">
        <v>0.06</v>
      </c>
      <c r="BI14" s="179">
        <v>0.94</v>
      </c>
      <c r="BJ14" s="179">
        <v>0.6</v>
      </c>
      <c r="BK14" s="174"/>
      <c r="BL14" s="190" t="s">
        <v>574</v>
      </c>
      <c r="BM14" s="190"/>
    </row>
    <row r="15" spans="1:66" s="140" customFormat="1" ht="14.1" customHeight="1">
      <c r="A15" s="175" t="s">
        <v>307</v>
      </c>
      <c r="B15" s="266" t="s">
        <v>435</v>
      </c>
      <c r="C15" s="266" t="s">
        <v>442</v>
      </c>
      <c r="D15" s="266" t="s">
        <v>437</v>
      </c>
      <c r="E15" s="267" t="s">
        <v>272</v>
      </c>
      <c r="F15" s="267">
        <v>540</v>
      </c>
      <c r="G15" s="267">
        <v>1</v>
      </c>
      <c r="H15" s="267">
        <v>19</v>
      </c>
      <c r="I15" s="267">
        <v>2.7</v>
      </c>
      <c r="J15" s="267">
        <v>21</v>
      </c>
      <c r="K15" s="266" t="s">
        <v>570</v>
      </c>
      <c r="L15" s="267">
        <v>2018</v>
      </c>
      <c r="M15" s="267" t="s">
        <v>571</v>
      </c>
      <c r="N15" s="267">
        <v>31</v>
      </c>
      <c r="O15" s="267">
        <v>31</v>
      </c>
      <c r="P15" s="282" t="s">
        <v>572</v>
      </c>
      <c r="Q15" s="267">
        <v>-70.879000000000005</v>
      </c>
      <c r="R15" s="267">
        <v>41.197000000000003</v>
      </c>
      <c r="S15" s="267" t="s">
        <v>271</v>
      </c>
      <c r="T15" s="267">
        <v>25</v>
      </c>
      <c r="U15" s="266" t="s">
        <v>573</v>
      </c>
      <c r="V15" s="268">
        <v>5.17</v>
      </c>
      <c r="W15" s="268">
        <v>7.4999999999999997E-2</v>
      </c>
      <c r="X15" s="268">
        <v>0.81</v>
      </c>
      <c r="Y15" s="178">
        <v>0.13900000000000001</v>
      </c>
      <c r="Z15" s="178">
        <v>1.6E-2</v>
      </c>
      <c r="AA15" s="178">
        <v>-8888</v>
      </c>
      <c r="AB15" s="178">
        <v>5.1999999999999998E-2</v>
      </c>
      <c r="AC15" s="178">
        <v>0.317</v>
      </c>
      <c r="AD15" s="178">
        <v>3.5000000000000003E-2</v>
      </c>
      <c r="AE15" s="178">
        <v>2.048</v>
      </c>
      <c r="AF15" s="178">
        <v>4.9000000000000002E-2</v>
      </c>
      <c r="AG15" s="178">
        <v>8.0000000000000002E-3</v>
      </c>
      <c r="AH15" s="178">
        <v>4.8419999999999996</v>
      </c>
      <c r="AI15" s="178">
        <v>-8888</v>
      </c>
      <c r="AJ15" s="178">
        <v>0.32800000000000001</v>
      </c>
      <c r="AK15" s="178">
        <v>7.4999999999999997E-2</v>
      </c>
      <c r="AL15" s="178">
        <v>-8888</v>
      </c>
      <c r="AM15" s="178">
        <v>0.748</v>
      </c>
      <c r="AN15" s="178">
        <v>6.2E-2</v>
      </c>
      <c r="AO15" s="178">
        <v>-8888</v>
      </c>
      <c r="AP15" s="178">
        <v>8.9999999999999993E-3</v>
      </c>
      <c r="AQ15" s="178">
        <v>1.7000000000000001E-2</v>
      </c>
      <c r="AR15" s="178">
        <v>6.0999999999999999E-2</v>
      </c>
      <c r="AS15" s="178">
        <v>0.245</v>
      </c>
      <c r="AT15" s="178">
        <v>1.9E-2</v>
      </c>
      <c r="AU15" s="178">
        <v>-8888</v>
      </c>
      <c r="AV15" s="178">
        <v>6.0549999999999997</v>
      </c>
      <c r="AW15" s="178">
        <v>0.55100000000000005</v>
      </c>
      <c r="AX15" s="178">
        <v>2.113</v>
      </c>
      <c r="AY15" s="178">
        <v>8.1679999999999993</v>
      </c>
      <c r="AZ15" s="178">
        <v>2.6640000000000001</v>
      </c>
      <c r="BA15" s="178">
        <v>3.5490000000000004</v>
      </c>
      <c r="BB15" s="178">
        <v>8.7190000000000012</v>
      </c>
      <c r="BC15" s="178">
        <v>2.2480000000000002</v>
      </c>
      <c r="BD15" s="179">
        <v>0.69</v>
      </c>
      <c r="BE15" s="179">
        <v>0.79</v>
      </c>
      <c r="BF15" s="179">
        <v>0.21</v>
      </c>
      <c r="BG15" s="179">
        <v>2.27</v>
      </c>
      <c r="BH15" s="179">
        <v>0.06</v>
      </c>
      <c r="BI15" s="179">
        <v>0.94</v>
      </c>
      <c r="BJ15" s="179">
        <v>0.59</v>
      </c>
      <c r="BK15" s="174"/>
      <c r="BL15" s="190" t="s">
        <v>574</v>
      </c>
      <c r="BM15" s="190"/>
    </row>
    <row r="16" spans="1:66" s="140" customFormat="1" ht="14.1" customHeight="1">
      <c r="A16" s="175" t="s">
        <v>308</v>
      </c>
      <c r="B16" s="266" t="s">
        <v>435</v>
      </c>
      <c r="C16" s="266" t="s">
        <v>443</v>
      </c>
      <c r="D16" s="266" t="s">
        <v>437</v>
      </c>
      <c r="E16" s="267" t="s">
        <v>269</v>
      </c>
      <c r="F16" s="267">
        <v>547</v>
      </c>
      <c r="G16" s="267">
        <v>4</v>
      </c>
      <c r="H16" s="267">
        <v>4</v>
      </c>
      <c r="I16" s="267">
        <v>29.6</v>
      </c>
      <c r="J16" s="267">
        <v>48</v>
      </c>
      <c r="K16" s="266" t="s">
        <v>570</v>
      </c>
      <c r="L16" s="267">
        <v>2018</v>
      </c>
      <c r="M16" s="267" t="s">
        <v>270</v>
      </c>
      <c r="N16" s="267">
        <v>1</v>
      </c>
      <c r="O16" s="267">
        <v>32</v>
      </c>
      <c r="P16" s="282" t="s">
        <v>575</v>
      </c>
      <c r="Q16" s="267">
        <v>-70.873000000000005</v>
      </c>
      <c r="R16" s="267">
        <v>41.021999999999998</v>
      </c>
      <c r="S16" s="267" t="s">
        <v>271</v>
      </c>
      <c r="T16" s="267">
        <v>25</v>
      </c>
      <c r="U16" s="266" t="s">
        <v>573</v>
      </c>
      <c r="V16" s="268">
        <v>4.4320000000000004</v>
      </c>
      <c r="W16" s="268">
        <v>4.8000000000000001E-2</v>
      </c>
      <c r="X16" s="268">
        <v>0.67500000000000004</v>
      </c>
      <c r="Y16" s="178">
        <v>0.14099999999999999</v>
      </c>
      <c r="Z16" s="178">
        <v>1.9E-2</v>
      </c>
      <c r="AA16" s="178">
        <v>5.0000000000000001E-3</v>
      </c>
      <c r="AB16" s="178">
        <v>3.9E-2</v>
      </c>
      <c r="AC16" s="178">
        <v>0.22700000000000001</v>
      </c>
      <c r="AD16" s="178">
        <v>2.7E-2</v>
      </c>
      <c r="AE16" s="178">
        <v>1.919</v>
      </c>
      <c r="AF16" s="178">
        <v>6.2E-2</v>
      </c>
      <c r="AG16" s="178">
        <v>6.0000000000000001E-3</v>
      </c>
      <c r="AH16" s="178">
        <v>4.173</v>
      </c>
      <c r="AI16" s="178">
        <v>-8888</v>
      </c>
      <c r="AJ16" s="178">
        <v>0.25900000000000001</v>
      </c>
      <c r="AK16" s="178">
        <v>4.8000000000000001E-2</v>
      </c>
      <c r="AL16" s="178">
        <v>-8888</v>
      </c>
      <c r="AM16" s="178">
        <v>0.61</v>
      </c>
      <c r="AN16" s="178">
        <v>6.5000000000000002E-2</v>
      </c>
      <c r="AO16" s="178">
        <v>2E-3</v>
      </c>
      <c r="AP16" s="178">
        <v>5.0000000000000001E-3</v>
      </c>
      <c r="AQ16" s="178">
        <v>1.6E-2</v>
      </c>
      <c r="AR16" s="178">
        <v>4.7E-2</v>
      </c>
      <c r="AS16" s="178">
        <v>0.14499999999999999</v>
      </c>
      <c r="AT16" s="178">
        <v>0.01</v>
      </c>
      <c r="AU16" s="178">
        <v>-8888</v>
      </c>
      <c r="AV16" s="178">
        <v>5.1550000000000002</v>
      </c>
      <c r="AW16" s="178">
        <v>0.44000000000000006</v>
      </c>
      <c r="AX16" s="178">
        <v>2.0049999999999999</v>
      </c>
      <c r="AY16" s="178">
        <v>7.16</v>
      </c>
      <c r="AZ16" s="178">
        <v>2.4449999999999998</v>
      </c>
      <c r="BA16" s="178">
        <v>3.1680000000000001</v>
      </c>
      <c r="BB16" s="178">
        <v>7.6000000000000005</v>
      </c>
      <c r="BC16" s="178">
        <v>2.0979999999999999</v>
      </c>
      <c r="BD16" s="179">
        <v>0.71</v>
      </c>
      <c r="BE16" s="179">
        <v>0.82</v>
      </c>
      <c r="BF16" s="179">
        <v>0.18</v>
      </c>
      <c r="BG16" s="179">
        <v>2.11</v>
      </c>
      <c r="BH16" s="179">
        <v>0.06</v>
      </c>
      <c r="BI16" s="179">
        <v>0.94</v>
      </c>
      <c r="BJ16" s="179">
        <v>0.57999999999999996</v>
      </c>
      <c r="BK16" s="174"/>
      <c r="BL16" s="190" t="s">
        <v>576</v>
      </c>
      <c r="BM16" s="190"/>
    </row>
    <row r="17" spans="1:65" s="140" customFormat="1" ht="14.1" customHeight="1">
      <c r="A17" s="175" t="s">
        <v>309</v>
      </c>
      <c r="B17" s="266" t="s">
        <v>435</v>
      </c>
      <c r="C17" s="266" t="s">
        <v>444</v>
      </c>
      <c r="D17" s="266" t="s">
        <v>437</v>
      </c>
      <c r="E17" s="267" t="s">
        <v>269</v>
      </c>
      <c r="F17" s="267">
        <v>535</v>
      </c>
      <c r="G17" s="267">
        <v>4</v>
      </c>
      <c r="H17" s="267">
        <v>12</v>
      </c>
      <c r="I17" s="267">
        <v>3.5</v>
      </c>
      <c r="J17" s="267">
        <v>48</v>
      </c>
      <c r="K17" s="266" t="s">
        <v>570</v>
      </c>
      <c r="L17" s="267">
        <v>2018</v>
      </c>
      <c r="M17" s="267" t="s">
        <v>270</v>
      </c>
      <c r="N17" s="267">
        <v>1</v>
      </c>
      <c r="O17" s="267">
        <v>32</v>
      </c>
      <c r="P17" s="282" t="s">
        <v>575</v>
      </c>
      <c r="Q17" s="267">
        <v>-70.873000000000005</v>
      </c>
      <c r="R17" s="267">
        <v>41.021999999999998</v>
      </c>
      <c r="S17" s="267" t="s">
        <v>271</v>
      </c>
      <c r="T17" s="267">
        <v>25</v>
      </c>
      <c r="U17" s="266" t="s">
        <v>573</v>
      </c>
      <c r="V17" s="268">
        <v>4.3180000000000005</v>
      </c>
      <c r="W17" s="268">
        <v>4.7E-2</v>
      </c>
      <c r="X17" s="268">
        <v>0.65100000000000002</v>
      </c>
      <c r="Y17" s="178">
        <v>0.13900000000000001</v>
      </c>
      <c r="Z17" s="178">
        <v>1.9E-2</v>
      </c>
      <c r="AA17" s="178">
        <v>5.0000000000000001E-3</v>
      </c>
      <c r="AB17" s="178">
        <v>3.7999999999999999E-2</v>
      </c>
      <c r="AC17" s="178">
        <v>0.223</v>
      </c>
      <c r="AD17" s="178">
        <v>2.5999999999999999E-2</v>
      </c>
      <c r="AE17" s="178">
        <v>1.847</v>
      </c>
      <c r="AF17" s="178">
        <v>6.5000000000000002E-2</v>
      </c>
      <c r="AG17" s="178">
        <v>6.0000000000000001E-3</v>
      </c>
      <c r="AH17" s="178">
        <v>4.1390000000000002</v>
      </c>
      <c r="AI17" s="178">
        <v>-8888</v>
      </c>
      <c r="AJ17" s="178">
        <v>0.17899999999999999</v>
      </c>
      <c r="AK17" s="178">
        <v>4.7E-2</v>
      </c>
      <c r="AL17" s="178">
        <v>-8888</v>
      </c>
      <c r="AM17" s="178">
        <v>0.59</v>
      </c>
      <c r="AN17" s="178">
        <v>6.0999999999999999E-2</v>
      </c>
      <c r="AO17" s="178">
        <v>2E-3</v>
      </c>
      <c r="AP17" s="178">
        <v>5.0000000000000001E-3</v>
      </c>
      <c r="AQ17" s="178">
        <v>1.6E-2</v>
      </c>
      <c r="AR17" s="178">
        <v>4.8000000000000001E-2</v>
      </c>
      <c r="AS17" s="178">
        <v>0.154</v>
      </c>
      <c r="AT17" s="178">
        <v>8.9999999999999993E-3</v>
      </c>
      <c r="AU17" s="178">
        <v>-8888</v>
      </c>
      <c r="AV17" s="178">
        <v>5.016</v>
      </c>
      <c r="AW17" s="178">
        <v>0.43200000000000005</v>
      </c>
      <c r="AX17" s="178">
        <v>1.9359999999999997</v>
      </c>
      <c r="AY17" s="178">
        <v>6.952</v>
      </c>
      <c r="AZ17" s="178">
        <v>2.3679999999999999</v>
      </c>
      <c r="BA17" s="178">
        <v>3.0659999999999998</v>
      </c>
      <c r="BB17" s="178">
        <v>7.3840000000000003</v>
      </c>
      <c r="BC17" s="178">
        <v>2.0269999999999997</v>
      </c>
      <c r="BD17" s="179">
        <v>0.71</v>
      </c>
      <c r="BE17" s="179">
        <v>0.82</v>
      </c>
      <c r="BF17" s="179">
        <v>0.18</v>
      </c>
      <c r="BG17" s="179">
        <v>2.12</v>
      </c>
      <c r="BH17" s="179">
        <v>0.06</v>
      </c>
      <c r="BI17" s="179">
        <v>0.94</v>
      </c>
      <c r="BJ17" s="179">
        <v>0.57999999999999996</v>
      </c>
      <c r="BK17" s="174"/>
      <c r="BL17" s="190" t="s">
        <v>576</v>
      </c>
      <c r="BM17" s="190"/>
    </row>
    <row r="18" spans="1:65" s="140" customFormat="1" ht="14.1" customHeight="1">
      <c r="A18" s="175" t="s">
        <v>310</v>
      </c>
      <c r="B18" s="266" t="s">
        <v>435</v>
      </c>
      <c r="C18" s="266" t="s">
        <v>445</v>
      </c>
      <c r="D18" s="266" t="s">
        <v>437</v>
      </c>
      <c r="E18" s="267" t="s">
        <v>269</v>
      </c>
      <c r="F18" s="267">
        <v>547</v>
      </c>
      <c r="G18" s="267">
        <v>5</v>
      </c>
      <c r="H18" s="267">
        <v>5</v>
      </c>
      <c r="I18" s="267">
        <v>30</v>
      </c>
      <c r="J18" s="267">
        <v>56</v>
      </c>
      <c r="K18" s="266" t="s">
        <v>570</v>
      </c>
      <c r="L18" s="267">
        <v>2018</v>
      </c>
      <c r="M18" s="267" t="s">
        <v>270</v>
      </c>
      <c r="N18" s="267">
        <v>1</v>
      </c>
      <c r="O18" s="267">
        <v>32</v>
      </c>
      <c r="P18" s="282" t="s">
        <v>577</v>
      </c>
      <c r="Q18" s="267">
        <v>-70.884</v>
      </c>
      <c r="R18" s="267">
        <v>40.859000000000002</v>
      </c>
      <c r="S18" s="267" t="s">
        <v>271</v>
      </c>
      <c r="T18" s="267">
        <v>25</v>
      </c>
      <c r="U18" s="266" t="s">
        <v>573</v>
      </c>
      <c r="V18" s="268">
        <v>3.4350000000000001</v>
      </c>
      <c r="W18" s="268">
        <v>6.6000000000000003E-2</v>
      </c>
      <c r="X18" s="268">
        <v>0.53900000000000003</v>
      </c>
      <c r="Y18" s="178">
        <v>0.112</v>
      </c>
      <c r="Z18" s="178">
        <v>1.7999999999999999E-2</v>
      </c>
      <c r="AA18" s="178">
        <v>8.0000000000000002E-3</v>
      </c>
      <c r="AB18" s="178">
        <v>3.4000000000000002E-2</v>
      </c>
      <c r="AC18" s="178">
        <v>0.16300000000000001</v>
      </c>
      <c r="AD18" s="178">
        <v>1.2999999999999999E-2</v>
      </c>
      <c r="AE18" s="178">
        <v>1.4490000000000001</v>
      </c>
      <c r="AF18" s="178">
        <v>6.8000000000000005E-2</v>
      </c>
      <c r="AG18" s="178">
        <v>4.0000000000000001E-3</v>
      </c>
      <c r="AH18" s="178">
        <v>3.2709999999999999</v>
      </c>
      <c r="AI18" s="178">
        <v>-8888</v>
      </c>
      <c r="AJ18" s="178">
        <v>0.16400000000000001</v>
      </c>
      <c r="AK18" s="178">
        <v>6.6000000000000003E-2</v>
      </c>
      <c r="AL18" s="178">
        <v>-8888</v>
      </c>
      <c r="AM18" s="178">
        <v>0.46500000000000002</v>
      </c>
      <c r="AN18" s="178">
        <v>7.3999999999999996E-2</v>
      </c>
      <c r="AO18" s="178">
        <v>-8888</v>
      </c>
      <c r="AP18" s="178">
        <v>7.0000000000000001E-3</v>
      </c>
      <c r="AQ18" s="178">
        <v>1.4E-2</v>
      </c>
      <c r="AR18" s="178">
        <v>3.5000000000000003E-2</v>
      </c>
      <c r="AS18" s="178">
        <v>0.08</v>
      </c>
      <c r="AT18" s="178">
        <v>1.4E-2</v>
      </c>
      <c r="AU18" s="178">
        <v>-8888</v>
      </c>
      <c r="AV18" s="178">
        <v>4.04</v>
      </c>
      <c r="AW18" s="178">
        <v>0.32600000000000001</v>
      </c>
      <c r="AX18" s="178">
        <v>1.5430000000000001</v>
      </c>
      <c r="AY18" s="178">
        <v>5.5830000000000002</v>
      </c>
      <c r="AZ18" s="178">
        <v>1.8690000000000002</v>
      </c>
      <c r="BA18" s="178">
        <v>2.4740000000000002</v>
      </c>
      <c r="BB18" s="178">
        <v>5.9090000000000007</v>
      </c>
      <c r="BC18" s="178">
        <v>1.6470000000000002</v>
      </c>
      <c r="BD18" s="179">
        <v>0.72</v>
      </c>
      <c r="BE18" s="179">
        <v>0.83</v>
      </c>
      <c r="BF18" s="179">
        <v>0.17</v>
      </c>
      <c r="BG18" s="179">
        <v>2.16</v>
      </c>
      <c r="BH18" s="179">
        <v>0.06</v>
      </c>
      <c r="BI18" s="179">
        <v>0.94</v>
      </c>
      <c r="BJ18" s="179">
        <v>0.57999999999999996</v>
      </c>
      <c r="BK18" s="174"/>
      <c r="BL18" s="190" t="s">
        <v>578</v>
      </c>
      <c r="BM18" s="190"/>
    </row>
    <row r="19" spans="1:65" s="140" customFormat="1" ht="14.1" customHeight="1">
      <c r="A19" s="175" t="s">
        <v>311</v>
      </c>
      <c r="B19" s="266" t="s">
        <v>435</v>
      </c>
      <c r="C19" s="266" t="s">
        <v>446</v>
      </c>
      <c r="D19" s="266" t="s">
        <v>437</v>
      </c>
      <c r="E19" s="267" t="s">
        <v>269</v>
      </c>
      <c r="F19" s="267">
        <v>535</v>
      </c>
      <c r="G19" s="267">
        <v>5</v>
      </c>
      <c r="H19" s="267">
        <v>13</v>
      </c>
      <c r="I19" s="267">
        <v>3.2</v>
      </c>
      <c r="J19" s="267">
        <v>56</v>
      </c>
      <c r="K19" s="266" t="s">
        <v>570</v>
      </c>
      <c r="L19" s="267">
        <v>2018</v>
      </c>
      <c r="M19" s="267" t="s">
        <v>270</v>
      </c>
      <c r="N19" s="267">
        <v>1</v>
      </c>
      <c r="O19" s="267">
        <v>32</v>
      </c>
      <c r="P19" s="282" t="s">
        <v>577</v>
      </c>
      <c r="Q19" s="267">
        <v>-70.884</v>
      </c>
      <c r="R19" s="267">
        <v>40.859000000000002</v>
      </c>
      <c r="S19" s="267" t="s">
        <v>271</v>
      </c>
      <c r="T19" s="267">
        <v>25</v>
      </c>
      <c r="U19" s="266" t="s">
        <v>573</v>
      </c>
      <c r="V19" s="268">
        <v>4.3199999999999994</v>
      </c>
      <c r="W19" s="268">
        <v>7.0999999999999994E-2</v>
      </c>
      <c r="X19" s="268">
        <v>0.66199999999999992</v>
      </c>
      <c r="Y19" s="178">
        <v>0.14199999999999999</v>
      </c>
      <c r="Z19" s="178">
        <v>-8888</v>
      </c>
      <c r="AA19" s="178">
        <v>8.9999999999999993E-3</v>
      </c>
      <c r="AB19" s="178">
        <v>3.7999999999999999E-2</v>
      </c>
      <c r="AC19" s="178">
        <v>0.20599999999999999</v>
      </c>
      <c r="AD19" s="178">
        <v>1.9E-2</v>
      </c>
      <c r="AE19" s="178">
        <v>1.863</v>
      </c>
      <c r="AF19" s="178">
        <v>8.7999999999999995E-2</v>
      </c>
      <c r="AG19" s="178">
        <v>5.0000000000000001E-3</v>
      </c>
      <c r="AH19" s="178">
        <v>4.1669999999999998</v>
      </c>
      <c r="AI19" s="178">
        <v>-8888</v>
      </c>
      <c r="AJ19" s="178">
        <v>0.153</v>
      </c>
      <c r="AK19" s="178">
        <v>7.0999999999999994E-2</v>
      </c>
      <c r="AL19" s="178">
        <v>-8888</v>
      </c>
      <c r="AM19" s="178">
        <v>0.57199999999999995</v>
      </c>
      <c r="AN19" s="178">
        <v>0.09</v>
      </c>
      <c r="AO19" s="178">
        <v>-8888</v>
      </c>
      <c r="AP19" s="178">
        <v>7.0000000000000001E-3</v>
      </c>
      <c r="AQ19" s="178">
        <v>1.6E-2</v>
      </c>
      <c r="AR19" s="178">
        <v>4.3999999999999997E-2</v>
      </c>
      <c r="AS19" s="178">
        <v>0.10100000000000001</v>
      </c>
      <c r="AT19" s="178">
        <v>1.4999999999999999E-2</v>
      </c>
      <c r="AU19" s="178">
        <v>-8888</v>
      </c>
      <c r="AV19" s="178">
        <v>5.052999999999999</v>
      </c>
      <c r="AW19" s="178">
        <v>0.41000000000000003</v>
      </c>
      <c r="AX19" s="178">
        <v>1.96</v>
      </c>
      <c r="AY19" s="178">
        <v>7.012999999999999</v>
      </c>
      <c r="AZ19" s="178">
        <v>2.37</v>
      </c>
      <c r="BA19" s="178">
        <v>3.1030000000000002</v>
      </c>
      <c r="BB19" s="178">
        <v>7.423</v>
      </c>
      <c r="BC19" s="178">
        <v>2.0739999999999998</v>
      </c>
      <c r="BD19" s="179">
        <v>0.72</v>
      </c>
      <c r="BE19" s="179">
        <v>0.83</v>
      </c>
      <c r="BF19" s="179">
        <v>0.17</v>
      </c>
      <c r="BG19" s="179">
        <v>2.13</v>
      </c>
      <c r="BH19" s="179">
        <v>0.06</v>
      </c>
      <c r="BI19" s="179">
        <v>0.94</v>
      </c>
      <c r="BJ19" s="179">
        <v>0.57999999999999996</v>
      </c>
      <c r="BK19" s="174"/>
      <c r="BL19" s="190" t="s">
        <v>578</v>
      </c>
      <c r="BM19" s="190"/>
    </row>
    <row r="20" spans="1:65" s="140" customFormat="1" ht="14.1" customHeight="1">
      <c r="A20" s="175" t="s">
        <v>312</v>
      </c>
      <c r="B20" s="266" t="s">
        <v>435</v>
      </c>
      <c r="C20" s="266" t="s">
        <v>447</v>
      </c>
      <c r="D20" s="266" t="s">
        <v>437</v>
      </c>
      <c r="E20" s="267" t="s">
        <v>269</v>
      </c>
      <c r="F20" s="267">
        <v>549</v>
      </c>
      <c r="G20" s="267">
        <v>8</v>
      </c>
      <c r="H20" s="267">
        <v>9</v>
      </c>
      <c r="I20" s="267">
        <v>29.6</v>
      </c>
      <c r="J20" s="267">
        <v>66</v>
      </c>
      <c r="K20" s="266" t="s">
        <v>570</v>
      </c>
      <c r="L20" s="267">
        <v>2018</v>
      </c>
      <c r="M20" s="267" t="s">
        <v>270</v>
      </c>
      <c r="N20" s="267">
        <v>1</v>
      </c>
      <c r="O20" s="267">
        <v>32</v>
      </c>
      <c r="P20" s="282" t="s">
        <v>579</v>
      </c>
      <c r="Q20" s="267">
        <v>-70.885000000000005</v>
      </c>
      <c r="R20" s="267">
        <v>40.697000000000003</v>
      </c>
      <c r="S20" s="267" t="s">
        <v>271</v>
      </c>
      <c r="T20" s="267">
        <v>25</v>
      </c>
      <c r="U20" s="266" t="s">
        <v>573</v>
      </c>
      <c r="V20" s="268">
        <v>3.71</v>
      </c>
      <c r="W20" s="268">
        <v>3.9E-2</v>
      </c>
      <c r="X20" s="268">
        <v>0.60799999999999998</v>
      </c>
      <c r="Y20" s="178">
        <v>0.114</v>
      </c>
      <c r="Z20" s="178">
        <v>-8888</v>
      </c>
      <c r="AA20" s="178">
        <v>6.0000000000000001E-3</v>
      </c>
      <c r="AB20" s="178">
        <v>2.5000000000000001E-2</v>
      </c>
      <c r="AC20" s="178">
        <v>0.185</v>
      </c>
      <c r="AD20" s="178">
        <v>1.4999999999999999E-2</v>
      </c>
      <c r="AE20" s="178">
        <v>1.625</v>
      </c>
      <c r="AF20" s="178">
        <v>7.4999999999999997E-2</v>
      </c>
      <c r="AG20" s="178">
        <v>3.0000000000000001E-3</v>
      </c>
      <c r="AH20" s="178">
        <v>3.653</v>
      </c>
      <c r="AI20" s="178">
        <v>-8888</v>
      </c>
      <c r="AJ20" s="178">
        <v>5.7000000000000002E-2</v>
      </c>
      <c r="AK20" s="178">
        <v>3.9E-2</v>
      </c>
      <c r="AL20" s="178">
        <v>-8888</v>
      </c>
      <c r="AM20" s="178">
        <v>0.52500000000000002</v>
      </c>
      <c r="AN20" s="178">
        <v>8.3000000000000004E-2</v>
      </c>
      <c r="AO20" s="178">
        <v>-8888</v>
      </c>
      <c r="AP20" s="178">
        <v>-8888</v>
      </c>
      <c r="AQ20" s="178">
        <v>0.01</v>
      </c>
      <c r="AR20" s="178">
        <v>3.5999999999999997E-2</v>
      </c>
      <c r="AS20" s="178">
        <v>5.3999999999999999E-2</v>
      </c>
      <c r="AT20" s="178">
        <v>1.0999999999999999E-2</v>
      </c>
      <c r="AU20" s="178">
        <v>-8888</v>
      </c>
      <c r="AV20" s="178">
        <v>4.3570000000000002</v>
      </c>
      <c r="AW20" s="178">
        <v>0.34199999999999997</v>
      </c>
      <c r="AX20" s="178">
        <v>1.706</v>
      </c>
      <c r="AY20" s="178">
        <v>6.0630000000000006</v>
      </c>
      <c r="AZ20" s="178">
        <v>2.048</v>
      </c>
      <c r="BA20" s="178">
        <v>2.6950000000000003</v>
      </c>
      <c r="BB20" s="178">
        <v>6.4050000000000002</v>
      </c>
      <c r="BC20" s="178">
        <v>1.7729999999999999</v>
      </c>
      <c r="BD20" s="179">
        <v>0.73</v>
      </c>
      <c r="BE20" s="179">
        <v>0.83</v>
      </c>
      <c r="BF20" s="179">
        <v>0.17</v>
      </c>
      <c r="BG20" s="179">
        <v>2.13</v>
      </c>
      <c r="BH20" s="179">
        <v>0.05</v>
      </c>
      <c r="BI20" s="179">
        <v>0.95</v>
      </c>
      <c r="BJ20" s="179">
        <v>0.57999999999999996</v>
      </c>
      <c r="BK20" s="174"/>
      <c r="BL20" s="190" t="s">
        <v>580</v>
      </c>
      <c r="BM20" s="190"/>
    </row>
    <row r="21" spans="1:65" s="140" customFormat="1" ht="14.1" customHeight="1">
      <c r="A21" s="175" t="s">
        <v>313</v>
      </c>
      <c r="B21" s="266" t="s">
        <v>435</v>
      </c>
      <c r="C21" s="266" t="s">
        <v>448</v>
      </c>
      <c r="D21" s="266" t="s">
        <v>437</v>
      </c>
      <c r="E21" s="267" t="s">
        <v>269</v>
      </c>
      <c r="F21" s="267">
        <v>547</v>
      </c>
      <c r="G21" s="267">
        <v>8</v>
      </c>
      <c r="H21" s="267">
        <v>12</v>
      </c>
      <c r="I21" s="267">
        <v>14.6</v>
      </c>
      <c r="J21" s="267">
        <v>66</v>
      </c>
      <c r="K21" s="266" t="s">
        <v>570</v>
      </c>
      <c r="L21" s="267">
        <v>2018</v>
      </c>
      <c r="M21" s="267" t="s">
        <v>270</v>
      </c>
      <c r="N21" s="267">
        <v>1</v>
      </c>
      <c r="O21" s="267">
        <v>32</v>
      </c>
      <c r="P21" s="282" t="s">
        <v>579</v>
      </c>
      <c r="Q21" s="267">
        <v>-70.885000000000005</v>
      </c>
      <c r="R21" s="267">
        <v>40.697000000000003</v>
      </c>
      <c r="S21" s="267" t="s">
        <v>271</v>
      </c>
      <c r="T21" s="267">
        <v>25</v>
      </c>
      <c r="U21" s="266" t="s">
        <v>573</v>
      </c>
      <c r="V21" s="268">
        <v>3.5209999999999999</v>
      </c>
      <c r="W21" s="268">
        <v>3.7999999999999999E-2</v>
      </c>
      <c r="X21" s="268">
        <v>0.57599999999999996</v>
      </c>
      <c r="Y21" s="178">
        <v>0.109</v>
      </c>
      <c r="Z21" s="178">
        <v>-8888</v>
      </c>
      <c r="AA21" s="178">
        <v>6.0000000000000001E-3</v>
      </c>
      <c r="AB21" s="178">
        <v>2.7E-2</v>
      </c>
      <c r="AC21" s="178">
        <v>0.185</v>
      </c>
      <c r="AD21" s="178">
        <v>1.0999999999999999E-2</v>
      </c>
      <c r="AE21" s="178">
        <v>1.5409999999999999</v>
      </c>
      <c r="AF21" s="178">
        <v>7.9000000000000001E-2</v>
      </c>
      <c r="AG21" s="178">
        <v>3.0000000000000001E-3</v>
      </c>
      <c r="AH21" s="178">
        <v>3.4369999999999998</v>
      </c>
      <c r="AI21" s="178">
        <v>-8888</v>
      </c>
      <c r="AJ21" s="178">
        <v>8.4000000000000005E-2</v>
      </c>
      <c r="AK21" s="178">
        <v>3.7999999999999999E-2</v>
      </c>
      <c r="AL21" s="178">
        <v>-8888</v>
      </c>
      <c r="AM21" s="178">
        <v>0.49299999999999999</v>
      </c>
      <c r="AN21" s="178">
        <v>8.3000000000000004E-2</v>
      </c>
      <c r="AO21" s="178">
        <v>-8888</v>
      </c>
      <c r="AP21" s="178">
        <v>-8888</v>
      </c>
      <c r="AQ21" s="178">
        <v>1.0999999999999999E-2</v>
      </c>
      <c r="AR21" s="178">
        <v>3.2000000000000001E-2</v>
      </c>
      <c r="AS21" s="178">
        <v>5.1999999999999998E-2</v>
      </c>
      <c r="AT21" s="178">
        <v>1.0999999999999999E-2</v>
      </c>
      <c r="AU21" s="178">
        <v>-8888</v>
      </c>
      <c r="AV21" s="178">
        <v>4.1349999999999998</v>
      </c>
      <c r="AW21" s="178">
        <v>0.33500000000000002</v>
      </c>
      <c r="AX21" s="178">
        <v>1.6259999999999999</v>
      </c>
      <c r="AY21" s="178">
        <v>5.7609999999999992</v>
      </c>
      <c r="AZ21" s="178">
        <v>1.9609999999999999</v>
      </c>
      <c r="BA21" s="178">
        <v>2.5749999999999997</v>
      </c>
      <c r="BB21" s="178">
        <v>6.0960000000000001</v>
      </c>
      <c r="BC21" s="178">
        <v>1.694</v>
      </c>
      <c r="BD21" s="179">
        <v>0.73</v>
      </c>
      <c r="BE21" s="179">
        <v>0.83</v>
      </c>
      <c r="BF21" s="179">
        <v>0.17</v>
      </c>
      <c r="BG21" s="179">
        <v>2.11</v>
      </c>
      <c r="BH21" s="179">
        <v>0.05</v>
      </c>
      <c r="BI21" s="179">
        <v>0.95</v>
      </c>
      <c r="BJ21" s="179">
        <v>0.57999999999999996</v>
      </c>
      <c r="BK21" s="174"/>
      <c r="BL21" s="190" t="s">
        <v>580</v>
      </c>
      <c r="BM21" s="190"/>
    </row>
    <row r="22" spans="1:65" s="140" customFormat="1" ht="14.1" customHeight="1">
      <c r="A22" s="175" t="s">
        <v>314</v>
      </c>
      <c r="B22" s="266" t="s">
        <v>435</v>
      </c>
      <c r="C22" s="266" t="s">
        <v>449</v>
      </c>
      <c r="D22" s="266" t="s">
        <v>437</v>
      </c>
      <c r="E22" s="267" t="s">
        <v>269</v>
      </c>
      <c r="F22" s="267">
        <v>535</v>
      </c>
      <c r="G22" s="267">
        <v>8</v>
      </c>
      <c r="H22" s="267">
        <v>16</v>
      </c>
      <c r="I22" s="267">
        <v>5.4</v>
      </c>
      <c r="J22" s="267">
        <v>66</v>
      </c>
      <c r="K22" s="266" t="s">
        <v>570</v>
      </c>
      <c r="L22" s="267">
        <v>2018</v>
      </c>
      <c r="M22" s="267" t="s">
        <v>270</v>
      </c>
      <c r="N22" s="267">
        <v>1</v>
      </c>
      <c r="O22" s="267">
        <v>32</v>
      </c>
      <c r="P22" s="282" t="s">
        <v>579</v>
      </c>
      <c r="Q22" s="267">
        <v>-70.885000000000005</v>
      </c>
      <c r="R22" s="267">
        <v>40.697000000000003</v>
      </c>
      <c r="S22" s="267" t="s">
        <v>271</v>
      </c>
      <c r="T22" s="267">
        <v>25</v>
      </c>
      <c r="U22" s="266" t="s">
        <v>573</v>
      </c>
      <c r="V22" s="268">
        <v>3.5680000000000001</v>
      </c>
      <c r="W22" s="268">
        <v>4.2000000000000003E-2</v>
      </c>
      <c r="X22" s="268">
        <v>0.57699999999999996</v>
      </c>
      <c r="Y22" s="178">
        <v>0.111</v>
      </c>
      <c r="Z22" s="178">
        <v>-8888</v>
      </c>
      <c r="AA22" s="178">
        <v>7.0000000000000001E-3</v>
      </c>
      <c r="AB22" s="178">
        <v>3.1E-2</v>
      </c>
      <c r="AC22" s="178">
        <v>0.20499999999999999</v>
      </c>
      <c r="AD22" s="178">
        <v>2.3E-2</v>
      </c>
      <c r="AE22" s="178">
        <v>1.544</v>
      </c>
      <c r="AF22" s="178">
        <v>8.4000000000000005E-2</v>
      </c>
      <c r="AG22" s="178">
        <v>4.0000000000000001E-3</v>
      </c>
      <c r="AH22" s="178">
        <v>3.5049999999999999</v>
      </c>
      <c r="AI22" s="178">
        <v>-8888</v>
      </c>
      <c r="AJ22" s="178">
        <v>6.3E-2</v>
      </c>
      <c r="AK22" s="178">
        <v>4.2000000000000003E-2</v>
      </c>
      <c r="AL22" s="178">
        <v>-8888</v>
      </c>
      <c r="AM22" s="178">
        <v>0.5</v>
      </c>
      <c r="AN22" s="178">
        <v>7.6999999999999999E-2</v>
      </c>
      <c r="AO22" s="178">
        <v>-8888</v>
      </c>
      <c r="AP22" s="178">
        <v>4.0000000000000001E-3</v>
      </c>
      <c r="AQ22" s="178">
        <v>1.2E-2</v>
      </c>
      <c r="AR22" s="178">
        <v>3.5999999999999997E-2</v>
      </c>
      <c r="AS22" s="178">
        <v>5.1999999999999998E-2</v>
      </c>
      <c r="AT22" s="178">
        <v>1.2E-2</v>
      </c>
      <c r="AU22" s="178">
        <v>-8888</v>
      </c>
      <c r="AV22" s="178">
        <v>4.1869999999999994</v>
      </c>
      <c r="AW22" s="178">
        <v>0.374</v>
      </c>
      <c r="AX22" s="178">
        <v>1.635</v>
      </c>
      <c r="AY22" s="178">
        <v>5.8219999999999992</v>
      </c>
      <c r="AZ22" s="178">
        <v>2.0089999999999999</v>
      </c>
      <c r="BA22" s="178">
        <v>2.6279999999999997</v>
      </c>
      <c r="BB22" s="178">
        <v>6.1959999999999997</v>
      </c>
      <c r="BC22" s="178">
        <v>1.712</v>
      </c>
      <c r="BD22" s="179">
        <v>0.74</v>
      </c>
      <c r="BE22" s="179">
        <v>0.81</v>
      </c>
      <c r="BF22" s="179">
        <v>0.19</v>
      </c>
      <c r="BG22" s="179">
        <v>2.08</v>
      </c>
      <c r="BH22" s="179">
        <v>0.06</v>
      </c>
      <c r="BI22" s="179">
        <v>0.94</v>
      </c>
      <c r="BJ22" s="179">
        <v>0.57999999999999996</v>
      </c>
      <c r="BK22" s="174"/>
      <c r="BL22" s="190" t="s">
        <v>580</v>
      </c>
      <c r="BM22" s="190"/>
    </row>
    <row r="23" spans="1:65" s="140" customFormat="1" ht="14.1" customHeight="1">
      <c r="A23" s="175" t="s">
        <v>315</v>
      </c>
      <c r="B23" s="266" t="s">
        <v>435</v>
      </c>
      <c r="C23" s="266" t="s">
        <v>450</v>
      </c>
      <c r="D23" s="266" t="s">
        <v>437</v>
      </c>
      <c r="E23" s="267" t="s">
        <v>269</v>
      </c>
      <c r="F23" s="267">
        <v>549</v>
      </c>
      <c r="G23" s="267">
        <v>9</v>
      </c>
      <c r="H23" s="267">
        <v>9</v>
      </c>
      <c r="I23" s="267">
        <v>30</v>
      </c>
      <c r="J23" s="267">
        <v>76</v>
      </c>
      <c r="K23" s="266" t="s">
        <v>570</v>
      </c>
      <c r="L23" s="267">
        <v>2018</v>
      </c>
      <c r="M23" s="267" t="s">
        <v>270</v>
      </c>
      <c r="N23" s="267">
        <v>1</v>
      </c>
      <c r="O23" s="267">
        <v>32</v>
      </c>
      <c r="P23" s="282" t="s">
        <v>581</v>
      </c>
      <c r="Q23" s="267">
        <v>-70.893000000000001</v>
      </c>
      <c r="R23" s="267">
        <v>40.524000000000001</v>
      </c>
      <c r="S23" s="267" t="s">
        <v>271</v>
      </c>
      <c r="T23" s="267">
        <v>25</v>
      </c>
      <c r="U23" s="266" t="s">
        <v>573</v>
      </c>
      <c r="V23" s="268">
        <v>3.0629999999999997</v>
      </c>
      <c r="W23" s="268">
        <v>6.7000000000000004E-2</v>
      </c>
      <c r="X23" s="268">
        <v>0.46900000000000003</v>
      </c>
      <c r="Y23" s="178">
        <v>0.10299999999999999</v>
      </c>
      <c r="Z23" s="178">
        <v>-8888</v>
      </c>
      <c r="AA23" s="178">
        <v>2.5000000000000001E-2</v>
      </c>
      <c r="AB23" s="178">
        <v>3.1E-2</v>
      </c>
      <c r="AC23" s="178">
        <v>0.14399999999999999</v>
      </c>
      <c r="AD23" s="178">
        <v>5.0000000000000001E-3</v>
      </c>
      <c r="AE23" s="178">
        <v>1.335</v>
      </c>
      <c r="AF23" s="178">
        <v>0.184</v>
      </c>
      <c r="AG23" s="178">
        <v>4.0000000000000001E-3</v>
      </c>
      <c r="AH23" s="178">
        <v>3.0049999999999999</v>
      </c>
      <c r="AI23" s="178">
        <v>-8888</v>
      </c>
      <c r="AJ23" s="178">
        <v>5.8000000000000003E-2</v>
      </c>
      <c r="AK23" s="178">
        <v>6.7000000000000004E-2</v>
      </c>
      <c r="AL23" s="178">
        <v>-8888</v>
      </c>
      <c r="AM23" s="178">
        <v>0.33600000000000002</v>
      </c>
      <c r="AN23" s="178">
        <v>0.13300000000000001</v>
      </c>
      <c r="AO23" s="178">
        <v>1E-3</v>
      </c>
      <c r="AP23" s="178">
        <v>8.0000000000000002E-3</v>
      </c>
      <c r="AQ23" s="178">
        <v>1.0999999999999999E-2</v>
      </c>
      <c r="AR23" s="178">
        <v>2.3E-2</v>
      </c>
      <c r="AS23" s="178">
        <v>0.06</v>
      </c>
      <c r="AT23" s="178">
        <v>0.02</v>
      </c>
      <c r="AU23" s="178">
        <v>-8888</v>
      </c>
      <c r="AV23" s="178">
        <v>3.5989999999999998</v>
      </c>
      <c r="AW23" s="178">
        <v>0.28699999999999998</v>
      </c>
      <c r="AX23" s="178">
        <v>1.5439999999999998</v>
      </c>
      <c r="AY23" s="178">
        <v>5.1429999999999998</v>
      </c>
      <c r="AZ23" s="178">
        <v>1.8309999999999997</v>
      </c>
      <c r="BA23" s="178">
        <v>2.3669999999999995</v>
      </c>
      <c r="BB23" s="178">
        <v>5.43</v>
      </c>
      <c r="BC23" s="178">
        <v>1.6459999999999999</v>
      </c>
      <c r="BD23" s="179">
        <v>0.77</v>
      </c>
      <c r="BE23" s="179">
        <v>0.84</v>
      </c>
      <c r="BF23" s="179">
        <v>0.16</v>
      </c>
      <c r="BG23" s="179">
        <v>1.97</v>
      </c>
      <c r="BH23" s="179">
        <v>0.05</v>
      </c>
      <c r="BI23" s="179">
        <v>0.95</v>
      </c>
      <c r="BJ23" s="179">
        <v>0.56000000000000005</v>
      </c>
      <c r="BK23" s="174"/>
      <c r="BL23" s="190" t="s">
        <v>582</v>
      </c>
      <c r="BM23" s="190"/>
    </row>
    <row r="24" spans="1:65" s="140" customFormat="1" ht="14.1" customHeight="1">
      <c r="A24" s="175" t="s">
        <v>316</v>
      </c>
      <c r="B24" s="266" t="s">
        <v>435</v>
      </c>
      <c r="C24" s="266" t="s">
        <v>451</v>
      </c>
      <c r="D24" s="266" t="s">
        <v>437</v>
      </c>
      <c r="E24" s="267" t="s">
        <v>269</v>
      </c>
      <c r="F24" s="267">
        <v>535</v>
      </c>
      <c r="G24" s="267">
        <v>9</v>
      </c>
      <c r="H24" s="267">
        <v>16</v>
      </c>
      <c r="I24" s="267">
        <v>4</v>
      </c>
      <c r="J24" s="267">
        <v>76</v>
      </c>
      <c r="K24" s="266" t="s">
        <v>570</v>
      </c>
      <c r="L24" s="267">
        <v>2018</v>
      </c>
      <c r="M24" s="267" t="s">
        <v>270</v>
      </c>
      <c r="N24" s="267">
        <v>1</v>
      </c>
      <c r="O24" s="267">
        <v>32</v>
      </c>
      <c r="P24" s="282" t="s">
        <v>581</v>
      </c>
      <c r="Q24" s="267">
        <v>-70.893000000000001</v>
      </c>
      <c r="R24" s="267">
        <v>40.524000000000001</v>
      </c>
      <c r="S24" s="267" t="s">
        <v>271</v>
      </c>
      <c r="T24" s="267">
        <v>25</v>
      </c>
      <c r="U24" s="266" t="s">
        <v>573</v>
      </c>
      <c r="V24" s="268">
        <v>3.2690000000000001</v>
      </c>
      <c r="W24" s="268">
        <v>7.0000000000000007E-2</v>
      </c>
      <c r="X24" s="268">
        <v>0.505</v>
      </c>
      <c r="Y24" s="178">
        <v>0.11</v>
      </c>
      <c r="Z24" s="178">
        <v>-8888</v>
      </c>
      <c r="AA24" s="178">
        <v>2.5999999999999999E-2</v>
      </c>
      <c r="AB24" s="178">
        <v>0.03</v>
      </c>
      <c r="AC24" s="178">
        <v>0.156</v>
      </c>
      <c r="AD24" s="178">
        <v>6.0000000000000001E-3</v>
      </c>
      <c r="AE24" s="178">
        <v>1.44</v>
      </c>
      <c r="AF24" s="178">
        <v>0.193</v>
      </c>
      <c r="AG24" s="178">
        <v>5.0000000000000001E-3</v>
      </c>
      <c r="AH24" s="178">
        <v>3.1880000000000002</v>
      </c>
      <c r="AI24" s="178">
        <v>-8888</v>
      </c>
      <c r="AJ24" s="178">
        <v>8.1000000000000003E-2</v>
      </c>
      <c r="AK24" s="178">
        <v>7.0000000000000007E-2</v>
      </c>
      <c r="AL24" s="178">
        <v>-8888</v>
      </c>
      <c r="AM24" s="178">
        <v>0.36899999999999999</v>
      </c>
      <c r="AN24" s="178">
        <v>0.13600000000000001</v>
      </c>
      <c r="AO24" s="178">
        <v>-8888</v>
      </c>
      <c r="AP24" s="178">
        <v>8.0000000000000002E-3</v>
      </c>
      <c r="AQ24" s="178">
        <v>1.2E-2</v>
      </c>
      <c r="AR24" s="178">
        <v>2.5999999999999999E-2</v>
      </c>
      <c r="AS24" s="178">
        <v>0.05</v>
      </c>
      <c r="AT24" s="178">
        <v>2.1000000000000001E-2</v>
      </c>
      <c r="AU24" s="178">
        <v>-8888</v>
      </c>
      <c r="AV24" s="178">
        <v>3.8439999999999999</v>
      </c>
      <c r="AW24" s="178">
        <v>0.307</v>
      </c>
      <c r="AX24" s="178">
        <v>1.659</v>
      </c>
      <c r="AY24" s="178">
        <v>5.5030000000000001</v>
      </c>
      <c r="AZ24" s="178">
        <v>1.966</v>
      </c>
      <c r="BA24" s="178">
        <v>2.5409999999999999</v>
      </c>
      <c r="BB24" s="178">
        <v>5.8100000000000005</v>
      </c>
      <c r="BC24" s="178">
        <v>1.764</v>
      </c>
      <c r="BD24" s="179">
        <v>0.78</v>
      </c>
      <c r="BE24" s="179">
        <v>0.84</v>
      </c>
      <c r="BF24" s="179">
        <v>0.16</v>
      </c>
      <c r="BG24" s="179">
        <v>1.96</v>
      </c>
      <c r="BH24" s="179">
        <v>0.05</v>
      </c>
      <c r="BI24" s="179">
        <v>0.95</v>
      </c>
      <c r="BJ24" s="179">
        <v>0.56000000000000005</v>
      </c>
      <c r="BK24" s="174"/>
      <c r="BL24" s="190" t="s">
        <v>582</v>
      </c>
      <c r="BM24" s="190"/>
    </row>
    <row r="25" spans="1:65" s="140" customFormat="1" ht="14.1" customHeight="1">
      <c r="A25" s="175" t="s">
        <v>317</v>
      </c>
      <c r="B25" s="266" t="s">
        <v>435</v>
      </c>
      <c r="C25" s="266" t="s">
        <v>452</v>
      </c>
      <c r="D25" s="266" t="s">
        <v>437</v>
      </c>
      <c r="E25" s="267" t="s">
        <v>269</v>
      </c>
      <c r="F25" s="267">
        <v>549</v>
      </c>
      <c r="G25" s="267">
        <v>12</v>
      </c>
      <c r="H25" s="267">
        <v>8</v>
      </c>
      <c r="I25" s="267">
        <v>54.6</v>
      </c>
      <c r="J25" s="267">
        <v>96</v>
      </c>
      <c r="K25" s="266" t="s">
        <v>570</v>
      </c>
      <c r="L25" s="267">
        <v>2018</v>
      </c>
      <c r="M25" s="267" t="s">
        <v>270</v>
      </c>
      <c r="N25" s="267">
        <v>2</v>
      </c>
      <c r="O25" s="267">
        <v>33</v>
      </c>
      <c r="P25" s="282" t="s">
        <v>583</v>
      </c>
      <c r="Q25" s="267">
        <v>-70.879000000000005</v>
      </c>
      <c r="R25" s="267">
        <v>40.359000000000002</v>
      </c>
      <c r="S25" s="267" t="s">
        <v>271</v>
      </c>
      <c r="T25" s="267">
        <v>25</v>
      </c>
      <c r="U25" s="266" t="s">
        <v>573</v>
      </c>
      <c r="V25" s="268">
        <v>1.675</v>
      </c>
      <c r="W25" s="268">
        <v>5.0999999999999997E-2</v>
      </c>
      <c r="X25" s="268">
        <v>0.26</v>
      </c>
      <c r="Y25" s="178">
        <v>5.7000000000000002E-2</v>
      </c>
      <c r="Z25" s="178">
        <v>8.9999999999999993E-3</v>
      </c>
      <c r="AA25" s="178">
        <v>1.7000000000000001E-2</v>
      </c>
      <c r="AB25" s="178">
        <v>2.3E-2</v>
      </c>
      <c r="AC25" s="178">
        <v>6.8000000000000005E-2</v>
      </c>
      <c r="AD25" s="178">
        <v>2E-3</v>
      </c>
      <c r="AE25" s="178">
        <v>0.70399999999999996</v>
      </c>
      <c r="AF25" s="178">
        <v>8.5999999999999993E-2</v>
      </c>
      <c r="AG25" s="178">
        <v>4.0000000000000001E-3</v>
      </c>
      <c r="AH25" s="178">
        <v>1.651</v>
      </c>
      <c r="AI25" s="178">
        <v>-8888</v>
      </c>
      <c r="AJ25" s="178">
        <v>2.4E-2</v>
      </c>
      <c r="AK25" s="178">
        <v>5.0999999999999997E-2</v>
      </c>
      <c r="AL25" s="178">
        <v>-8888</v>
      </c>
      <c r="AM25" s="178">
        <v>0.189</v>
      </c>
      <c r="AN25" s="178">
        <v>7.0999999999999994E-2</v>
      </c>
      <c r="AO25" s="178">
        <v>-8888</v>
      </c>
      <c r="AP25" s="178">
        <v>6.0000000000000001E-3</v>
      </c>
      <c r="AQ25" s="178">
        <v>6.0000000000000001E-3</v>
      </c>
      <c r="AR25" s="178">
        <v>1.6E-2</v>
      </c>
      <c r="AS25" s="178">
        <v>2.9000000000000001E-2</v>
      </c>
      <c r="AT25" s="178">
        <v>1.4999999999999999E-2</v>
      </c>
      <c r="AU25" s="178">
        <v>-8888</v>
      </c>
      <c r="AV25" s="178">
        <v>1.986</v>
      </c>
      <c r="AW25" s="178">
        <v>0.154</v>
      </c>
      <c r="AX25" s="178">
        <v>0.81599999999999995</v>
      </c>
      <c r="AY25" s="178">
        <v>2.802</v>
      </c>
      <c r="AZ25" s="178">
        <v>0.97</v>
      </c>
      <c r="BA25" s="178">
        <v>1.2809999999999999</v>
      </c>
      <c r="BB25" s="178">
        <v>2.956</v>
      </c>
      <c r="BC25" s="178">
        <v>0.89399999999999991</v>
      </c>
      <c r="BD25" s="179">
        <v>0.76</v>
      </c>
      <c r="BE25" s="179">
        <v>0.84</v>
      </c>
      <c r="BF25" s="179">
        <v>0.16</v>
      </c>
      <c r="BG25" s="179">
        <v>2.0499999999999998</v>
      </c>
      <c r="BH25" s="179">
        <v>0.05</v>
      </c>
      <c r="BI25" s="179">
        <v>0.95</v>
      </c>
      <c r="BJ25" s="179">
        <v>0.56999999999999995</v>
      </c>
      <c r="BK25" s="174"/>
      <c r="BL25" s="190" t="s">
        <v>584</v>
      </c>
      <c r="BM25" s="190"/>
    </row>
    <row r="26" spans="1:65" s="140" customFormat="1" ht="14.1" customHeight="1">
      <c r="A26" s="175" t="s">
        <v>318</v>
      </c>
      <c r="B26" s="266" t="s">
        <v>435</v>
      </c>
      <c r="C26" s="266" t="s">
        <v>453</v>
      </c>
      <c r="D26" s="266" t="s">
        <v>437</v>
      </c>
      <c r="E26" s="267" t="s">
        <v>269</v>
      </c>
      <c r="F26" s="267">
        <v>547</v>
      </c>
      <c r="G26" s="267">
        <v>12</v>
      </c>
      <c r="H26" s="267">
        <v>11</v>
      </c>
      <c r="I26" s="267">
        <v>35.6</v>
      </c>
      <c r="J26" s="267">
        <v>96</v>
      </c>
      <c r="K26" s="266" t="s">
        <v>570</v>
      </c>
      <c r="L26" s="267">
        <v>2018</v>
      </c>
      <c r="M26" s="267" t="s">
        <v>270</v>
      </c>
      <c r="N26" s="267">
        <v>2</v>
      </c>
      <c r="O26" s="267">
        <v>33</v>
      </c>
      <c r="P26" s="282" t="s">
        <v>583</v>
      </c>
      <c r="Q26" s="267">
        <v>-70.879000000000005</v>
      </c>
      <c r="R26" s="267">
        <v>40.359000000000002</v>
      </c>
      <c r="S26" s="267" t="s">
        <v>271</v>
      </c>
      <c r="T26" s="267">
        <v>25</v>
      </c>
      <c r="U26" s="266" t="s">
        <v>573</v>
      </c>
      <c r="V26" s="268">
        <v>1.9769999999999999</v>
      </c>
      <c r="W26" s="268">
        <v>4.7E-2</v>
      </c>
      <c r="X26" s="268">
        <v>0.30399999999999999</v>
      </c>
      <c r="Y26" s="178">
        <v>6.6000000000000003E-2</v>
      </c>
      <c r="Z26" s="178">
        <v>-8888</v>
      </c>
      <c r="AA26" s="178">
        <v>1.9E-2</v>
      </c>
      <c r="AB26" s="178">
        <v>2.1999999999999999E-2</v>
      </c>
      <c r="AC26" s="178">
        <v>8.8999999999999996E-2</v>
      </c>
      <c r="AD26" s="178">
        <v>4.0000000000000001E-3</v>
      </c>
      <c r="AE26" s="178">
        <v>0.86499999999999999</v>
      </c>
      <c r="AF26" s="178">
        <v>8.4000000000000005E-2</v>
      </c>
      <c r="AG26" s="178">
        <v>4.0000000000000001E-3</v>
      </c>
      <c r="AH26" s="178">
        <v>1.944</v>
      </c>
      <c r="AI26" s="178">
        <v>-8888</v>
      </c>
      <c r="AJ26" s="178">
        <v>3.3000000000000002E-2</v>
      </c>
      <c r="AK26" s="178">
        <v>4.7E-2</v>
      </c>
      <c r="AL26" s="178">
        <v>-8888</v>
      </c>
      <c r="AM26" s="178">
        <v>0.22800000000000001</v>
      </c>
      <c r="AN26" s="178">
        <v>7.5999999999999998E-2</v>
      </c>
      <c r="AO26" s="178">
        <v>-8888</v>
      </c>
      <c r="AP26" s="178">
        <v>6.0000000000000001E-3</v>
      </c>
      <c r="AQ26" s="178">
        <v>8.0000000000000002E-3</v>
      </c>
      <c r="AR26" s="178">
        <v>1.7999999999999999E-2</v>
      </c>
      <c r="AS26" s="178">
        <v>3.1E-2</v>
      </c>
      <c r="AT26" s="178">
        <v>1.6E-2</v>
      </c>
      <c r="AU26" s="178">
        <v>-8888</v>
      </c>
      <c r="AV26" s="178">
        <v>2.3279999999999998</v>
      </c>
      <c r="AW26" s="178">
        <v>0.185</v>
      </c>
      <c r="AX26" s="178">
        <v>0.96799999999999997</v>
      </c>
      <c r="AY26" s="178">
        <v>3.2959999999999998</v>
      </c>
      <c r="AZ26" s="178">
        <v>1.153</v>
      </c>
      <c r="BA26" s="178">
        <v>1.504</v>
      </c>
      <c r="BB26" s="178">
        <v>3.4809999999999999</v>
      </c>
      <c r="BC26" s="178">
        <v>1.0409999999999999</v>
      </c>
      <c r="BD26" s="179">
        <v>0.76</v>
      </c>
      <c r="BE26" s="179">
        <v>0.84</v>
      </c>
      <c r="BF26" s="179">
        <v>0.16</v>
      </c>
      <c r="BG26" s="179">
        <v>2.02</v>
      </c>
      <c r="BH26" s="179">
        <v>0.05</v>
      </c>
      <c r="BI26" s="179">
        <v>0.95</v>
      </c>
      <c r="BJ26" s="179">
        <v>0.56999999999999995</v>
      </c>
      <c r="BK26" s="174"/>
      <c r="BL26" s="190" t="s">
        <v>584</v>
      </c>
      <c r="BM26" s="190"/>
    </row>
    <row r="27" spans="1:65" s="140" customFormat="1" ht="14.1" customHeight="1">
      <c r="A27" s="175" t="s">
        <v>319</v>
      </c>
      <c r="B27" s="266" t="s">
        <v>435</v>
      </c>
      <c r="C27" s="266" t="s">
        <v>454</v>
      </c>
      <c r="D27" s="266" t="s">
        <v>437</v>
      </c>
      <c r="E27" s="267" t="s">
        <v>269</v>
      </c>
      <c r="F27" s="267">
        <v>535</v>
      </c>
      <c r="G27" s="267">
        <v>12</v>
      </c>
      <c r="H27" s="267">
        <v>18</v>
      </c>
      <c r="I27" s="267">
        <v>4.8</v>
      </c>
      <c r="J27" s="267">
        <v>96</v>
      </c>
      <c r="K27" s="266" t="s">
        <v>570</v>
      </c>
      <c r="L27" s="267">
        <v>2018</v>
      </c>
      <c r="M27" s="267" t="s">
        <v>270</v>
      </c>
      <c r="N27" s="267">
        <v>2</v>
      </c>
      <c r="O27" s="267">
        <v>33</v>
      </c>
      <c r="P27" s="282" t="s">
        <v>583</v>
      </c>
      <c r="Q27" s="267">
        <v>-70.879000000000005</v>
      </c>
      <c r="R27" s="267">
        <v>40.359000000000002</v>
      </c>
      <c r="S27" s="267" t="s">
        <v>271</v>
      </c>
      <c r="T27" s="267">
        <v>25</v>
      </c>
      <c r="U27" s="266" t="s">
        <v>573</v>
      </c>
      <c r="V27" s="268">
        <v>2.1359999999999997</v>
      </c>
      <c r="W27" s="268">
        <v>5.1999999999999998E-2</v>
      </c>
      <c r="X27" s="268">
        <v>0.32</v>
      </c>
      <c r="Y27" s="178">
        <v>7.1999999999999995E-2</v>
      </c>
      <c r="Z27" s="178">
        <v>-8888</v>
      </c>
      <c r="AA27" s="178">
        <v>1.9E-2</v>
      </c>
      <c r="AB27" s="178">
        <v>2.7E-2</v>
      </c>
      <c r="AC27" s="178">
        <v>0.1</v>
      </c>
      <c r="AD27" s="178">
        <v>5.0000000000000001E-3</v>
      </c>
      <c r="AE27" s="178">
        <v>0.91600000000000004</v>
      </c>
      <c r="AF27" s="178">
        <v>0.107</v>
      </c>
      <c r="AG27" s="178">
        <v>4.0000000000000001E-3</v>
      </c>
      <c r="AH27" s="178">
        <v>2.0979999999999999</v>
      </c>
      <c r="AI27" s="178">
        <v>-8888</v>
      </c>
      <c r="AJ27" s="178">
        <v>3.7999999999999999E-2</v>
      </c>
      <c r="AK27" s="178">
        <v>5.1999999999999998E-2</v>
      </c>
      <c r="AL27" s="178">
        <v>-8888</v>
      </c>
      <c r="AM27" s="178">
        <v>0.245</v>
      </c>
      <c r="AN27" s="178">
        <v>7.4999999999999997E-2</v>
      </c>
      <c r="AO27" s="178">
        <v>-8888</v>
      </c>
      <c r="AP27" s="178">
        <v>7.0000000000000001E-3</v>
      </c>
      <c r="AQ27" s="178">
        <v>8.9999999999999993E-3</v>
      </c>
      <c r="AR27" s="178">
        <v>1.9E-2</v>
      </c>
      <c r="AS27" s="178">
        <v>3.5000000000000003E-2</v>
      </c>
      <c r="AT27" s="178">
        <v>1.6E-2</v>
      </c>
      <c r="AU27" s="178">
        <v>-8888</v>
      </c>
      <c r="AV27" s="178">
        <v>2.5079999999999996</v>
      </c>
      <c r="AW27" s="178">
        <v>0.20800000000000002</v>
      </c>
      <c r="AX27" s="178">
        <v>1.042</v>
      </c>
      <c r="AY27" s="178">
        <v>3.55</v>
      </c>
      <c r="AZ27" s="178">
        <v>1.25</v>
      </c>
      <c r="BA27" s="178">
        <v>1.6220000000000001</v>
      </c>
      <c r="BB27" s="178">
        <v>3.758</v>
      </c>
      <c r="BC27" s="178">
        <v>1.125</v>
      </c>
      <c r="BD27" s="179">
        <v>0.76</v>
      </c>
      <c r="BE27" s="179">
        <v>0.83</v>
      </c>
      <c r="BF27" s="179">
        <v>0.17</v>
      </c>
      <c r="BG27" s="179">
        <v>2.0099999999999998</v>
      </c>
      <c r="BH27" s="179">
        <v>0.06</v>
      </c>
      <c r="BI27" s="179">
        <v>0.94</v>
      </c>
      <c r="BJ27" s="179">
        <v>0.56999999999999995</v>
      </c>
      <c r="BK27" s="174"/>
      <c r="BL27" s="190" t="s">
        <v>584</v>
      </c>
      <c r="BM27" s="190"/>
    </row>
    <row r="28" spans="1:65" s="140" customFormat="1" ht="14.1" customHeight="1">
      <c r="A28" s="175" t="s">
        <v>320</v>
      </c>
      <c r="B28" s="266" t="s">
        <v>435</v>
      </c>
      <c r="C28" s="266" t="s">
        <v>455</v>
      </c>
      <c r="D28" s="266" t="s">
        <v>437</v>
      </c>
      <c r="E28" s="267" t="s">
        <v>269</v>
      </c>
      <c r="F28" s="267">
        <v>1055</v>
      </c>
      <c r="G28" s="267">
        <v>14</v>
      </c>
      <c r="H28" s="267">
        <v>13</v>
      </c>
      <c r="I28" s="267">
        <v>67.099999999999994</v>
      </c>
      <c r="J28" s="267">
        <v>129</v>
      </c>
      <c r="K28" s="266" t="s">
        <v>570</v>
      </c>
      <c r="L28" s="267">
        <v>2018</v>
      </c>
      <c r="M28" s="267" t="s">
        <v>270</v>
      </c>
      <c r="N28" s="267">
        <v>2</v>
      </c>
      <c r="O28" s="267">
        <v>33</v>
      </c>
      <c r="P28" s="282" t="s">
        <v>585</v>
      </c>
      <c r="Q28" s="267">
        <v>-70.894000000000005</v>
      </c>
      <c r="R28" s="267">
        <v>40.215000000000003</v>
      </c>
      <c r="S28" s="267" t="s">
        <v>271</v>
      </c>
      <c r="T28" s="267">
        <v>25</v>
      </c>
      <c r="U28" s="266" t="s">
        <v>573</v>
      </c>
      <c r="V28" s="268">
        <v>1.321</v>
      </c>
      <c r="W28" s="268">
        <v>4.2000000000000003E-2</v>
      </c>
      <c r="X28" s="268">
        <v>0.20800000000000002</v>
      </c>
      <c r="Y28" s="178">
        <v>4.7E-2</v>
      </c>
      <c r="Z28" s="178">
        <v>-8888</v>
      </c>
      <c r="AA28" s="178">
        <v>2.1000000000000001E-2</v>
      </c>
      <c r="AB28" s="178">
        <v>1.0999999999999999E-2</v>
      </c>
      <c r="AC28" s="178">
        <v>4.3999999999999997E-2</v>
      </c>
      <c r="AD28" s="178">
        <v>2E-3</v>
      </c>
      <c r="AE28" s="178">
        <v>0.64800000000000002</v>
      </c>
      <c r="AF28" s="178">
        <v>5.0000000000000001E-3</v>
      </c>
      <c r="AG28" s="178">
        <v>7.0000000000000001E-3</v>
      </c>
      <c r="AH28" s="178">
        <v>1.3129999999999999</v>
      </c>
      <c r="AI28" s="178">
        <v>-8888</v>
      </c>
      <c r="AJ28" s="178">
        <v>8.0000000000000002E-3</v>
      </c>
      <c r="AK28" s="178">
        <v>4.2000000000000003E-2</v>
      </c>
      <c r="AL28" s="178">
        <v>-8888</v>
      </c>
      <c r="AM28" s="178">
        <v>0.112</v>
      </c>
      <c r="AN28" s="178">
        <v>9.6000000000000002E-2</v>
      </c>
      <c r="AO28" s="178">
        <v>-8888</v>
      </c>
      <c r="AP28" s="178">
        <v>5.0000000000000001E-3</v>
      </c>
      <c r="AQ28" s="178">
        <v>4.0000000000000001E-3</v>
      </c>
      <c r="AR28" s="178">
        <v>1.4E-2</v>
      </c>
      <c r="AS28" s="178">
        <v>5.2999999999999999E-2</v>
      </c>
      <c r="AT28" s="178">
        <v>1.4E-2</v>
      </c>
      <c r="AU28" s="178">
        <v>-8888</v>
      </c>
      <c r="AV28" s="178">
        <v>1.571</v>
      </c>
      <c r="AW28" s="178">
        <v>0.111</v>
      </c>
      <c r="AX28" s="178">
        <v>0.67400000000000004</v>
      </c>
      <c r="AY28" s="178">
        <v>2.2450000000000001</v>
      </c>
      <c r="AZ28" s="178">
        <v>0.78500000000000003</v>
      </c>
      <c r="BA28" s="178">
        <v>1.0350000000000001</v>
      </c>
      <c r="BB28" s="178">
        <v>2.3559999999999999</v>
      </c>
      <c r="BC28" s="178">
        <v>0.7340000000000001</v>
      </c>
      <c r="BD28" s="179">
        <v>0.78</v>
      </c>
      <c r="BE28" s="179">
        <v>0.86</v>
      </c>
      <c r="BF28" s="179">
        <v>0.14000000000000001</v>
      </c>
      <c r="BG28" s="179">
        <v>2</v>
      </c>
      <c r="BH28" s="179">
        <v>0.05</v>
      </c>
      <c r="BI28" s="179">
        <v>0.95</v>
      </c>
      <c r="BJ28" s="179">
        <v>0.56000000000000005</v>
      </c>
      <c r="BK28" s="174"/>
      <c r="BL28" s="190" t="s">
        <v>586</v>
      </c>
      <c r="BM28" s="190"/>
    </row>
    <row r="29" spans="1:65" s="140" customFormat="1" ht="14.25" customHeight="1">
      <c r="A29" s="175" t="s">
        <v>321</v>
      </c>
      <c r="B29" s="266" t="s">
        <v>435</v>
      </c>
      <c r="C29" s="266" t="s">
        <v>456</v>
      </c>
      <c r="D29" s="266" t="s">
        <v>437</v>
      </c>
      <c r="E29" s="267" t="s">
        <v>269</v>
      </c>
      <c r="F29" s="267">
        <v>1057</v>
      </c>
      <c r="G29" s="267">
        <v>14</v>
      </c>
      <c r="H29" s="267">
        <v>22</v>
      </c>
      <c r="I29" s="267">
        <v>6.9</v>
      </c>
      <c r="J29" s="267">
        <v>129</v>
      </c>
      <c r="K29" s="266" t="s">
        <v>570</v>
      </c>
      <c r="L29" s="267">
        <v>2018</v>
      </c>
      <c r="M29" s="267" t="s">
        <v>270</v>
      </c>
      <c r="N29" s="267">
        <v>2</v>
      </c>
      <c r="O29" s="267">
        <v>33</v>
      </c>
      <c r="P29" s="282" t="s">
        <v>585</v>
      </c>
      <c r="Q29" s="267">
        <v>-70.894000000000005</v>
      </c>
      <c r="R29" s="267">
        <v>40.215000000000003</v>
      </c>
      <c r="S29" s="267" t="s">
        <v>271</v>
      </c>
      <c r="T29" s="267">
        <v>25</v>
      </c>
      <c r="U29" s="266" t="s">
        <v>573</v>
      </c>
      <c r="V29" s="268">
        <v>2.956</v>
      </c>
      <c r="W29" s="268">
        <v>9.9000000000000005E-2</v>
      </c>
      <c r="X29" s="268">
        <v>0.45900000000000002</v>
      </c>
      <c r="Y29" s="178">
        <v>0.10199999999999999</v>
      </c>
      <c r="Z29" s="178">
        <v>1.6E-2</v>
      </c>
      <c r="AA29" s="178">
        <v>0.03</v>
      </c>
      <c r="AB29" s="178">
        <v>2.9000000000000001E-2</v>
      </c>
      <c r="AC29" s="178">
        <v>0.11700000000000001</v>
      </c>
      <c r="AD29" s="178">
        <v>6.0000000000000001E-3</v>
      </c>
      <c r="AE29" s="178">
        <v>1.292</v>
      </c>
      <c r="AF29" s="178">
        <v>0.159</v>
      </c>
      <c r="AG29" s="178">
        <v>6.0000000000000001E-3</v>
      </c>
      <c r="AH29" s="178">
        <v>2.92</v>
      </c>
      <c r="AI29" s="178">
        <v>-8888</v>
      </c>
      <c r="AJ29" s="178">
        <v>3.5999999999999997E-2</v>
      </c>
      <c r="AK29" s="178">
        <v>9.9000000000000005E-2</v>
      </c>
      <c r="AL29" s="178">
        <v>-8888</v>
      </c>
      <c r="AM29" s="178">
        <v>0.32900000000000001</v>
      </c>
      <c r="AN29" s="178">
        <v>0.13</v>
      </c>
      <c r="AO29" s="178">
        <v>2E-3</v>
      </c>
      <c r="AP29" s="178">
        <v>1.0999999999999999E-2</v>
      </c>
      <c r="AQ29" s="178">
        <v>1.2999999999999999E-2</v>
      </c>
      <c r="AR29" s="178">
        <v>2.4E-2</v>
      </c>
      <c r="AS29" s="178">
        <v>5.3999999999999999E-2</v>
      </c>
      <c r="AT29" s="178">
        <v>2.5999999999999999E-2</v>
      </c>
      <c r="AU29" s="178">
        <v>-8888</v>
      </c>
      <c r="AV29" s="178">
        <v>3.5140000000000002</v>
      </c>
      <c r="AW29" s="178">
        <v>0.26</v>
      </c>
      <c r="AX29" s="178">
        <v>1.4970000000000001</v>
      </c>
      <c r="AY29" s="178">
        <v>5.0110000000000001</v>
      </c>
      <c r="AZ29" s="178">
        <v>1.7570000000000001</v>
      </c>
      <c r="BA29" s="178">
        <v>2.3149999999999999</v>
      </c>
      <c r="BB29" s="178">
        <v>5.2709999999999999</v>
      </c>
      <c r="BC29" s="178">
        <v>1.6310000000000002</v>
      </c>
      <c r="BD29" s="179">
        <v>0.78</v>
      </c>
      <c r="BE29" s="179">
        <v>0.85</v>
      </c>
      <c r="BF29" s="179">
        <v>0.15</v>
      </c>
      <c r="BG29" s="179">
        <v>2</v>
      </c>
      <c r="BH29" s="179">
        <v>0.05</v>
      </c>
      <c r="BI29" s="179">
        <v>0.95</v>
      </c>
      <c r="BJ29" s="179">
        <v>0.56000000000000005</v>
      </c>
      <c r="BK29" s="174"/>
      <c r="BL29" s="190" t="s">
        <v>586</v>
      </c>
      <c r="BM29" s="190"/>
    </row>
    <row r="30" spans="1:65" s="140" customFormat="1" ht="14.1" customHeight="1">
      <c r="A30" s="175" t="s">
        <v>322</v>
      </c>
      <c r="B30" s="266" t="s">
        <v>435</v>
      </c>
      <c r="C30" s="266" t="s">
        <v>457</v>
      </c>
      <c r="D30" s="266" t="s">
        <v>437</v>
      </c>
      <c r="E30" s="267" t="s">
        <v>269</v>
      </c>
      <c r="F30" s="269">
        <v>1050</v>
      </c>
      <c r="G30" s="267">
        <v>15</v>
      </c>
      <c r="H30" s="267">
        <v>11</v>
      </c>
      <c r="I30" s="267">
        <v>34.200000000000003</v>
      </c>
      <c r="J30" s="267">
        <v>137</v>
      </c>
      <c r="K30" s="266" t="s">
        <v>570</v>
      </c>
      <c r="L30" s="267">
        <v>2018</v>
      </c>
      <c r="M30" s="267" t="s">
        <v>270</v>
      </c>
      <c r="N30" s="267">
        <v>2</v>
      </c>
      <c r="O30" s="267">
        <v>33</v>
      </c>
      <c r="P30" s="282" t="s">
        <v>587</v>
      </c>
      <c r="Q30" s="267">
        <v>-70.798000000000002</v>
      </c>
      <c r="R30" s="267">
        <v>40.125999999999998</v>
      </c>
      <c r="S30" s="267" t="s">
        <v>271</v>
      </c>
      <c r="T30" s="267">
        <v>25</v>
      </c>
      <c r="U30" s="266" t="s">
        <v>573</v>
      </c>
      <c r="V30" s="268">
        <v>1.958</v>
      </c>
      <c r="W30" s="268">
        <v>8.7999999999999995E-2</v>
      </c>
      <c r="X30" s="268">
        <v>0.32800000000000001</v>
      </c>
      <c r="Y30" s="178">
        <v>7.0999999999999994E-2</v>
      </c>
      <c r="Z30" s="178">
        <v>1.7999999999999999E-2</v>
      </c>
      <c r="AA30" s="178">
        <v>4.9000000000000002E-2</v>
      </c>
      <c r="AB30" s="178">
        <v>2.3E-2</v>
      </c>
      <c r="AC30" s="178">
        <v>7.4999999999999997E-2</v>
      </c>
      <c r="AD30" s="178">
        <v>4.0000000000000001E-3</v>
      </c>
      <c r="AE30" s="178">
        <v>0.80500000000000005</v>
      </c>
      <c r="AF30" s="178">
        <v>0.13200000000000001</v>
      </c>
      <c r="AG30" s="178">
        <v>6.0000000000000001E-3</v>
      </c>
      <c r="AH30" s="178">
        <v>1.929</v>
      </c>
      <c r="AI30" s="178">
        <v>-8888</v>
      </c>
      <c r="AJ30" s="178">
        <v>2.9000000000000001E-2</v>
      </c>
      <c r="AK30" s="178">
        <v>8.7999999999999995E-2</v>
      </c>
      <c r="AL30" s="178">
        <v>-8888</v>
      </c>
      <c r="AM30" s="178">
        <v>0.19900000000000001</v>
      </c>
      <c r="AN30" s="178">
        <v>0.129</v>
      </c>
      <c r="AO30" s="178">
        <v>1E-3</v>
      </c>
      <c r="AP30" s="178">
        <v>8.9999999999999993E-3</v>
      </c>
      <c r="AQ30" s="178">
        <v>8.9999999999999993E-3</v>
      </c>
      <c r="AR30" s="178">
        <v>1.7000000000000001E-2</v>
      </c>
      <c r="AS30" s="178">
        <v>4.2999999999999997E-2</v>
      </c>
      <c r="AT30" s="178">
        <v>2.4E-2</v>
      </c>
      <c r="AU30" s="178">
        <v>-8888</v>
      </c>
      <c r="AV30" s="178">
        <v>2.3739999999999997</v>
      </c>
      <c r="AW30" s="178">
        <v>0.17899999999999999</v>
      </c>
      <c r="AX30" s="178">
        <v>1.004</v>
      </c>
      <c r="AY30" s="178">
        <v>3.3779999999999997</v>
      </c>
      <c r="AZ30" s="178">
        <v>1.1830000000000001</v>
      </c>
      <c r="BA30" s="178">
        <v>1.5990000000000002</v>
      </c>
      <c r="BB30" s="178">
        <v>3.5570000000000004</v>
      </c>
      <c r="BC30" s="178">
        <v>1.121</v>
      </c>
      <c r="BD30" s="179">
        <v>0.82</v>
      </c>
      <c r="BE30" s="179">
        <v>0.85</v>
      </c>
      <c r="BF30" s="179">
        <v>0.15</v>
      </c>
      <c r="BG30" s="179">
        <v>2.0099999999999998</v>
      </c>
      <c r="BH30" s="179">
        <v>0.05</v>
      </c>
      <c r="BI30" s="179">
        <v>0.95</v>
      </c>
      <c r="BJ30" s="179">
        <v>0.55000000000000004</v>
      </c>
      <c r="BK30" s="174"/>
      <c r="BL30" s="190" t="s">
        <v>588</v>
      </c>
      <c r="BM30" s="190" t="s">
        <v>589</v>
      </c>
    </row>
    <row r="31" spans="1:65" s="140" customFormat="1" ht="14.1" customHeight="1">
      <c r="A31" s="175" t="s">
        <v>323</v>
      </c>
      <c r="B31" s="266" t="s">
        <v>435</v>
      </c>
      <c r="C31" s="266" t="s">
        <v>458</v>
      </c>
      <c r="D31" s="266" t="s">
        <v>437</v>
      </c>
      <c r="E31" s="267" t="s">
        <v>269</v>
      </c>
      <c r="F31" s="267">
        <v>1060</v>
      </c>
      <c r="G31" s="267">
        <v>15</v>
      </c>
      <c r="H31" s="267">
        <v>15</v>
      </c>
      <c r="I31" s="267">
        <v>14.4</v>
      </c>
      <c r="J31" s="267">
        <v>137</v>
      </c>
      <c r="K31" s="266" t="s">
        <v>570</v>
      </c>
      <c r="L31" s="267">
        <v>2018</v>
      </c>
      <c r="M31" s="267" t="s">
        <v>270</v>
      </c>
      <c r="N31" s="267">
        <v>2</v>
      </c>
      <c r="O31" s="267">
        <v>33</v>
      </c>
      <c r="P31" s="282" t="s">
        <v>587</v>
      </c>
      <c r="Q31" s="267">
        <v>-70.798000000000002</v>
      </c>
      <c r="R31" s="267">
        <v>40.125999999999998</v>
      </c>
      <c r="S31" s="267" t="s">
        <v>271</v>
      </c>
      <c r="T31" s="267">
        <v>25</v>
      </c>
      <c r="U31" s="266" t="s">
        <v>573</v>
      </c>
      <c r="V31" s="268">
        <v>2.6539999999999999</v>
      </c>
      <c r="W31" s="268">
        <v>0.105</v>
      </c>
      <c r="X31" s="268">
        <v>0.42299999999999999</v>
      </c>
      <c r="Y31" s="178">
        <v>9.2999999999999999E-2</v>
      </c>
      <c r="Z31" s="178">
        <v>1.6E-2</v>
      </c>
      <c r="AA31" s="178">
        <v>3.5999999999999997E-2</v>
      </c>
      <c r="AB31" s="178">
        <v>3.2000000000000001E-2</v>
      </c>
      <c r="AC31" s="178">
        <v>0.11899999999999999</v>
      </c>
      <c r="AD31" s="178">
        <v>7.0000000000000001E-3</v>
      </c>
      <c r="AE31" s="178">
        <v>1.0640000000000001</v>
      </c>
      <c r="AF31" s="178">
        <v>0.247</v>
      </c>
      <c r="AG31" s="178">
        <v>7.0000000000000001E-3</v>
      </c>
      <c r="AH31" s="178">
        <v>2.6139999999999999</v>
      </c>
      <c r="AI31" s="178">
        <v>-8888</v>
      </c>
      <c r="AJ31" s="178">
        <v>0.04</v>
      </c>
      <c r="AK31" s="178">
        <v>0.105</v>
      </c>
      <c r="AL31" s="178">
        <v>-8888</v>
      </c>
      <c r="AM31" s="178">
        <v>0.312</v>
      </c>
      <c r="AN31" s="178">
        <v>0.111</v>
      </c>
      <c r="AO31" s="178">
        <v>2E-3</v>
      </c>
      <c r="AP31" s="178">
        <v>1.0999999999999999E-2</v>
      </c>
      <c r="AQ31" s="178">
        <v>1.2999999999999999E-2</v>
      </c>
      <c r="AR31" s="178">
        <v>2.1000000000000001E-2</v>
      </c>
      <c r="AS31" s="178">
        <v>0.04</v>
      </c>
      <c r="AT31" s="178">
        <v>2.5999999999999999E-2</v>
      </c>
      <c r="AU31" s="178">
        <v>-8888</v>
      </c>
      <c r="AV31" s="178">
        <v>3.1819999999999999</v>
      </c>
      <c r="AW31" s="178">
        <v>0.25800000000000001</v>
      </c>
      <c r="AX31" s="178">
        <v>1.363</v>
      </c>
      <c r="AY31" s="178">
        <v>4.5449999999999999</v>
      </c>
      <c r="AZ31" s="178">
        <v>1.621</v>
      </c>
      <c r="BA31" s="178">
        <v>2.149</v>
      </c>
      <c r="BB31" s="178">
        <v>4.8029999999999999</v>
      </c>
      <c r="BC31" s="178">
        <v>1.5070000000000001</v>
      </c>
      <c r="BD31" s="179">
        <v>0.81</v>
      </c>
      <c r="BE31" s="179">
        <v>0.84</v>
      </c>
      <c r="BF31" s="179">
        <v>0.16</v>
      </c>
      <c r="BG31" s="179">
        <v>1.96</v>
      </c>
      <c r="BH31" s="179">
        <v>0.05</v>
      </c>
      <c r="BI31" s="179">
        <v>0.95</v>
      </c>
      <c r="BJ31" s="179">
        <v>0.55000000000000004</v>
      </c>
      <c r="BK31" s="174"/>
      <c r="BL31" s="190" t="s">
        <v>588</v>
      </c>
      <c r="BM31" s="190"/>
    </row>
    <row r="32" spans="1:65" s="140" customFormat="1" ht="14.1" customHeight="1">
      <c r="A32" s="175" t="s">
        <v>324</v>
      </c>
      <c r="B32" s="266" t="s">
        <v>435</v>
      </c>
      <c r="C32" s="266" t="s">
        <v>459</v>
      </c>
      <c r="D32" s="266" t="s">
        <v>437</v>
      </c>
      <c r="E32" s="267" t="s">
        <v>269</v>
      </c>
      <c r="F32" s="267">
        <v>1057</v>
      </c>
      <c r="G32" s="267">
        <v>15</v>
      </c>
      <c r="H32" s="267">
        <v>19</v>
      </c>
      <c r="I32" s="267">
        <v>6.3</v>
      </c>
      <c r="J32" s="267">
        <v>137</v>
      </c>
      <c r="K32" s="266" t="s">
        <v>570</v>
      </c>
      <c r="L32" s="267">
        <v>2018</v>
      </c>
      <c r="M32" s="267" t="s">
        <v>270</v>
      </c>
      <c r="N32" s="267">
        <v>2</v>
      </c>
      <c r="O32" s="267">
        <v>33</v>
      </c>
      <c r="P32" s="282" t="s">
        <v>587</v>
      </c>
      <c r="Q32" s="267">
        <v>-70.798000000000002</v>
      </c>
      <c r="R32" s="267">
        <v>40.125999999999998</v>
      </c>
      <c r="S32" s="267" t="s">
        <v>271</v>
      </c>
      <c r="T32" s="267">
        <v>25</v>
      </c>
      <c r="U32" s="266" t="s">
        <v>573</v>
      </c>
      <c r="V32" s="268">
        <v>2.6739999999999999</v>
      </c>
      <c r="W32" s="268">
        <v>0.108</v>
      </c>
      <c r="X32" s="268">
        <v>0.42799999999999999</v>
      </c>
      <c r="Y32" s="178">
        <v>0.09</v>
      </c>
      <c r="Z32" s="178">
        <v>-8888</v>
      </c>
      <c r="AA32" s="178">
        <v>3.6999999999999998E-2</v>
      </c>
      <c r="AB32" s="178">
        <v>3.3000000000000002E-2</v>
      </c>
      <c r="AC32" s="178">
        <v>0.123</v>
      </c>
      <c r="AD32" s="178">
        <v>8.0000000000000002E-3</v>
      </c>
      <c r="AE32" s="178">
        <v>1.1080000000000001</v>
      </c>
      <c r="AF32" s="178">
        <v>0.222</v>
      </c>
      <c r="AG32" s="178">
        <v>6.0000000000000001E-3</v>
      </c>
      <c r="AH32" s="178">
        <v>2.633</v>
      </c>
      <c r="AI32" s="178">
        <v>-8888</v>
      </c>
      <c r="AJ32" s="178">
        <v>4.1000000000000002E-2</v>
      </c>
      <c r="AK32" s="178">
        <v>0.108</v>
      </c>
      <c r="AL32" s="178">
        <v>-8888</v>
      </c>
      <c r="AM32" s="178">
        <v>0.31900000000000001</v>
      </c>
      <c r="AN32" s="178">
        <v>0.109</v>
      </c>
      <c r="AO32" s="178">
        <v>2E-3</v>
      </c>
      <c r="AP32" s="178">
        <v>1.0999999999999999E-2</v>
      </c>
      <c r="AQ32" s="178">
        <v>1.4E-2</v>
      </c>
      <c r="AR32" s="178">
        <v>2.3E-2</v>
      </c>
      <c r="AS32" s="178">
        <v>4.2000000000000003E-2</v>
      </c>
      <c r="AT32" s="178">
        <v>2.7E-2</v>
      </c>
      <c r="AU32" s="178">
        <v>-8888</v>
      </c>
      <c r="AV32" s="178">
        <v>3.21</v>
      </c>
      <c r="AW32" s="178">
        <v>0.26</v>
      </c>
      <c r="AX32" s="178">
        <v>1.367</v>
      </c>
      <c r="AY32" s="178">
        <v>4.577</v>
      </c>
      <c r="AZ32" s="178">
        <v>1.627</v>
      </c>
      <c r="BA32" s="178">
        <v>2.1630000000000003</v>
      </c>
      <c r="BB32" s="178">
        <v>4.8369999999999997</v>
      </c>
      <c r="BC32" s="178">
        <v>1.514</v>
      </c>
      <c r="BD32" s="179">
        <v>0.81</v>
      </c>
      <c r="BE32" s="179">
        <v>0.84</v>
      </c>
      <c r="BF32" s="179">
        <v>0.16</v>
      </c>
      <c r="BG32" s="179">
        <v>1.97</v>
      </c>
      <c r="BH32" s="179">
        <v>0.05</v>
      </c>
      <c r="BI32" s="179">
        <v>0.95</v>
      </c>
      <c r="BJ32" s="179">
        <v>0.55000000000000004</v>
      </c>
      <c r="BK32" s="174"/>
      <c r="BL32" s="190" t="s">
        <v>588</v>
      </c>
      <c r="BM32" s="190"/>
    </row>
    <row r="33" spans="1:65" s="140" customFormat="1" ht="14.1" customHeight="1">
      <c r="A33" s="175" t="s">
        <v>325</v>
      </c>
      <c r="B33" s="266" t="s">
        <v>435</v>
      </c>
      <c r="C33" s="266" t="s">
        <v>460</v>
      </c>
      <c r="D33" s="266" t="s">
        <v>437</v>
      </c>
      <c r="E33" s="267" t="s">
        <v>269</v>
      </c>
      <c r="F33" s="267">
        <v>1060</v>
      </c>
      <c r="G33" s="267">
        <v>19</v>
      </c>
      <c r="H33" s="267">
        <v>11</v>
      </c>
      <c r="I33" s="267">
        <v>54.6</v>
      </c>
      <c r="J33" s="267">
        <v>1604</v>
      </c>
      <c r="K33" s="266" t="s">
        <v>570</v>
      </c>
      <c r="L33" s="267">
        <v>2018</v>
      </c>
      <c r="M33" s="267" t="s">
        <v>270</v>
      </c>
      <c r="N33" s="267">
        <v>3</v>
      </c>
      <c r="O33" s="267">
        <v>34</v>
      </c>
      <c r="P33" s="282" t="s">
        <v>590</v>
      </c>
      <c r="Q33" s="267">
        <v>-70.885999999999996</v>
      </c>
      <c r="R33" s="267">
        <v>39.768999999999998</v>
      </c>
      <c r="S33" s="267" t="s">
        <v>271</v>
      </c>
      <c r="T33" s="267">
        <v>25</v>
      </c>
      <c r="U33" s="266" t="s">
        <v>573</v>
      </c>
      <c r="V33" s="268">
        <v>1.8579999999999999</v>
      </c>
      <c r="W33" s="268">
        <v>9.0999999999999998E-2</v>
      </c>
      <c r="X33" s="268">
        <v>0.32100000000000001</v>
      </c>
      <c r="Y33" s="178">
        <v>6.5000000000000002E-2</v>
      </c>
      <c r="Z33" s="178">
        <v>2.1000000000000001E-2</v>
      </c>
      <c r="AA33" s="178">
        <v>5.7000000000000002E-2</v>
      </c>
      <c r="AB33" s="178">
        <v>2.4E-2</v>
      </c>
      <c r="AC33" s="178">
        <v>7.1999999999999995E-2</v>
      </c>
      <c r="AD33" s="178">
        <v>4.0000000000000001E-3</v>
      </c>
      <c r="AE33" s="178">
        <v>0.745</v>
      </c>
      <c r="AF33" s="178">
        <v>0.151</v>
      </c>
      <c r="AG33" s="178">
        <v>8.0000000000000002E-3</v>
      </c>
      <c r="AH33" s="178">
        <v>1.829</v>
      </c>
      <c r="AI33" s="178">
        <v>-8888</v>
      </c>
      <c r="AJ33" s="178">
        <v>2.9000000000000001E-2</v>
      </c>
      <c r="AK33" s="178">
        <v>9.0999999999999998E-2</v>
      </c>
      <c r="AL33" s="178">
        <v>-8888</v>
      </c>
      <c r="AM33" s="178">
        <v>0.19800000000000001</v>
      </c>
      <c r="AN33" s="178">
        <v>0.123</v>
      </c>
      <c r="AO33" s="178">
        <v>2E-3</v>
      </c>
      <c r="AP33" s="178">
        <v>8.0000000000000002E-3</v>
      </c>
      <c r="AQ33" s="178">
        <v>8.9999999999999993E-3</v>
      </c>
      <c r="AR33" s="178">
        <v>1.7000000000000001E-2</v>
      </c>
      <c r="AS33" s="178">
        <v>0.05</v>
      </c>
      <c r="AT33" s="178">
        <v>2.5000000000000001E-2</v>
      </c>
      <c r="AU33" s="178">
        <v>-8888</v>
      </c>
      <c r="AV33" s="178">
        <v>2.27</v>
      </c>
      <c r="AW33" s="178">
        <v>0.17300000000000001</v>
      </c>
      <c r="AX33" s="178">
        <v>0.97400000000000009</v>
      </c>
      <c r="AY33" s="178">
        <v>3.2440000000000002</v>
      </c>
      <c r="AZ33" s="178">
        <v>1.147</v>
      </c>
      <c r="BA33" s="178">
        <v>1.5589999999999999</v>
      </c>
      <c r="BB33" s="178">
        <v>3.4169999999999998</v>
      </c>
      <c r="BC33" s="178">
        <v>1.097</v>
      </c>
      <c r="BD33" s="179">
        <v>0.84</v>
      </c>
      <c r="BE33" s="179">
        <v>0.85</v>
      </c>
      <c r="BF33" s="179">
        <v>0.15</v>
      </c>
      <c r="BG33" s="179">
        <v>1.98</v>
      </c>
      <c r="BH33" s="179">
        <v>0.05</v>
      </c>
      <c r="BI33" s="179">
        <v>0.95</v>
      </c>
      <c r="BJ33" s="179">
        <v>0.54</v>
      </c>
      <c r="BK33" s="174"/>
      <c r="BL33" s="190" t="s">
        <v>591</v>
      </c>
      <c r="BM33" s="190"/>
    </row>
    <row r="34" spans="1:65" s="140" customFormat="1" ht="14.1" customHeight="1">
      <c r="A34" s="175" t="s">
        <v>326</v>
      </c>
      <c r="B34" s="266" t="s">
        <v>435</v>
      </c>
      <c r="C34" s="266" t="s">
        <v>461</v>
      </c>
      <c r="D34" s="266" t="s">
        <v>437</v>
      </c>
      <c r="E34" s="267" t="s">
        <v>269</v>
      </c>
      <c r="F34" s="267">
        <v>1057</v>
      </c>
      <c r="G34" s="267">
        <v>19</v>
      </c>
      <c r="H34" s="267">
        <v>18</v>
      </c>
      <c r="I34" s="267">
        <v>4.3</v>
      </c>
      <c r="J34" s="267">
        <v>1604</v>
      </c>
      <c r="K34" s="266" t="s">
        <v>570</v>
      </c>
      <c r="L34" s="267">
        <v>2018</v>
      </c>
      <c r="M34" s="267" t="s">
        <v>270</v>
      </c>
      <c r="N34" s="267">
        <v>3</v>
      </c>
      <c r="O34" s="267">
        <v>34</v>
      </c>
      <c r="P34" s="282" t="s">
        <v>590</v>
      </c>
      <c r="Q34" s="267">
        <v>-70.885999999999996</v>
      </c>
      <c r="R34" s="267">
        <v>39.768999999999998</v>
      </c>
      <c r="S34" s="267" t="s">
        <v>271</v>
      </c>
      <c r="T34" s="267">
        <v>25</v>
      </c>
      <c r="U34" s="266" t="s">
        <v>573</v>
      </c>
      <c r="V34" s="268">
        <v>1.788</v>
      </c>
      <c r="W34" s="268">
        <v>9.9000000000000005E-2</v>
      </c>
      <c r="X34" s="268">
        <v>0.32</v>
      </c>
      <c r="Y34" s="178">
        <v>6.4000000000000001E-2</v>
      </c>
      <c r="Z34" s="178">
        <v>2.1000000000000001E-2</v>
      </c>
      <c r="AA34" s="178">
        <v>0.06</v>
      </c>
      <c r="AB34" s="178">
        <v>0.03</v>
      </c>
      <c r="AC34" s="178">
        <v>8.2000000000000003E-2</v>
      </c>
      <c r="AD34" s="178">
        <v>5.0000000000000001E-3</v>
      </c>
      <c r="AE34" s="178">
        <v>0.70599999999999996</v>
      </c>
      <c r="AF34" s="178">
        <v>0.124</v>
      </c>
      <c r="AG34" s="178">
        <v>8.0000000000000002E-3</v>
      </c>
      <c r="AH34" s="178">
        <v>1.744</v>
      </c>
      <c r="AI34" s="178">
        <v>-8888</v>
      </c>
      <c r="AJ34" s="178">
        <v>4.3999999999999997E-2</v>
      </c>
      <c r="AK34" s="178">
        <v>9.9000000000000005E-2</v>
      </c>
      <c r="AL34" s="178">
        <v>-8888</v>
      </c>
      <c r="AM34" s="178">
        <v>0.19900000000000001</v>
      </c>
      <c r="AN34" s="178">
        <v>0.121</v>
      </c>
      <c r="AO34" s="178">
        <v>3.0000000000000001E-3</v>
      </c>
      <c r="AP34" s="178">
        <v>0.01</v>
      </c>
      <c r="AQ34" s="178">
        <v>1.0999999999999999E-2</v>
      </c>
      <c r="AR34" s="178">
        <v>1.7999999999999999E-2</v>
      </c>
      <c r="AS34" s="178">
        <v>4.9000000000000002E-2</v>
      </c>
      <c r="AT34" s="178">
        <v>2.5999999999999999E-2</v>
      </c>
      <c r="AU34" s="178">
        <v>-8888</v>
      </c>
      <c r="AV34" s="178">
        <v>2.2069999999999999</v>
      </c>
      <c r="AW34" s="178">
        <v>0.189</v>
      </c>
      <c r="AX34" s="178">
        <v>0.91099999999999992</v>
      </c>
      <c r="AY34" s="178">
        <v>3.1179999999999999</v>
      </c>
      <c r="AZ34" s="178">
        <v>1.0999999999999999</v>
      </c>
      <c r="BA34" s="178">
        <v>1.5189999999999999</v>
      </c>
      <c r="BB34" s="178">
        <v>3.3069999999999999</v>
      </c>
      <c r="BC34" s="178">
        <v>1.048</v>
      </c>
      <c r="BD34" s="179">
        <v>0.85</v>
      </c>
      <c r="BE34" s="179">
        <v>0.83</v>
      </c>
      <c r="BF34" s="179">
        <v>0.17</v>
      </c>
      <c r="BG34" s="179">
        <v>2.0099999999999998</v>
      </c>
      <c r="BH34" s="179">
        <v>0.06</v>
      </c>
      <c r="BI34" s="179">
        <v>0.94</v>
      </c>
      <c r="BJ34" s="179">
        <v>0.54</v>
      </c>
      <c r="BK34" s="174"/>
      <c r="BL34" s="190" t="s">
        <v>591</v>
      </c>
      <c r="BM34" s="190"/>
    </row>
    <row r="35" spans="1:65" s="140" customFormat="1" ht="14.1" customHeight="1">
      <c r="A35" s="175" t="s">
        <v>327</v>
      </c>
      <c r="B35" s="270" t="s">
        <v>435</v>
      </c>
      <c r="C35" s="270" t="s">
        <v>462</v>
      </c>
      <c r="D35" s="270" t="s">
        <v>437</v>
      </c>
      <c r="E35" s="271" t="s">
        <v>269</v>
      </c>
      <c r="F35" s="271">
        <v>1055</v>
      </c>
      <c r="G35" s="271">
        <v>21</v>
      </c>
      <c r="H35" s="271">
        <v>9</v>
      </c>
      <c r="I35" s="271">
        <v>99.5</v>
      </c>
      <c r="J35" s="271">
        <v>462</v>
      </c>
      <c r="K35" s="270" t="s">
        <v>570</v>
      </c>
      <c r="L35" s="271">
        <v>2018</v>
      </c>
      <c r="M35" s="271" t="s">
        <v>270</v>
      </c>
      <c r="N35" s="271">
        <v>3</v>
      </c>
      <c r="O35" s="271">
        <v>34</v>
      </c>
      <c r="P35" s="283" t="s">
        <v>592</v>
      </c>
      <c r="Q35" s="271">
        <v>-70.888000000000005</v>
      </c>
      <c r="R35" s="271">
        <v>39.932000000000002</v>
      </c>
      <c r="S35" s="271" t="s">
        <v>271</v>
      </c>
      <c r="T35" s="271">
        <v>25</v>
      </c>
      <c r="U35" s="270" t="s">
        <v>573</v>
      </c>
      <c r="V35" s="268">
        <v>0.20499999999999999</v>
      </c>
      <c r="W35" s="268">
        <v>8.9999999999999993E-3</v>
      </c>
      <c r="X35" s="268">
        <v>3.6999999999999998E-2</v>
      </c>
      <c r="Y35" s="178">
        <v>8.9999999999999993E-3</v>
      </c>
      <c r="Z35" s="178">
        <v>-8888</v>
      </c>
      <c r="AA35" s="178">
        <v>7.0000000000000001E-3</v>
      </c>
      <c r="AB35" s="178">
        <v>2E-3</v>
      </c>
      <c r="AC35" s="178">
        <v>7.0000000000000001E-3</v>
      </c>
      <c r="AD35" s="178">
        <v>-8888</v>
      </c>
      <c r="AE35" s="178">
        <v>9.6000000000000002E-2</v>
      </c>
      <c r="AF35" s="178">
        <v>-8888</v>
      </c>
      <c r="AG35" s="178">
        <v>2E-3</v>
      </c>
      <c r="AH35" s="178">
        <v>0.20399999999999999</v>
      </c>
      <c r="AI35" s="178">
        <v>-8888</v>
      </c>
      <c r="AJ35" s="178">
        <v>1E-3</v>
      </c>
      <c r="AK35" s="178">
        <v>8.9999999999999993E-3</v>
      </c>
      <c r="AL35" s="178">
        <v>-8888</v>
      </c>
      <c r="AM35" s="178">
        <v>1.7999999999999999E-2</v>
      </c>
      <c r="AN35" s="178">
        <v>1.9E-2</v>
      </c>
      <c r="AO35" s="178">
        <v>-8888</v>
      </c>
      <c r="AP35" s="178">
        <v>1E-3</v>
      </c>
      <c r="AQ35" s="178">
        <v>1E-3</v>
      </c>
      <c r="AR35" s="178">
        <v>6.0000000000000001E-3</v>
      </c>
      <c r="AS35" s="178">
        <v>2.3E-2</v>
      </c>
      <c r="AT35" s="178">
        <v>3.0000000000000001E-3</v>
      </c>
      <c r="AU35" s="178">
        <v>-8888</v>
      </c>
      <c r="AV35" s="178">
        <v>0.251</v>
      </c>
      <c r="AW35" s="178">
        <v>0.02</v>
      </c>
      <c r="AX35" s="178">
        <v>0.10300000000000001</v>
      </c>
      <c r="AY35" s="178">
        <v>0.35399999999999998</v>
      </c>
      <c r="AZ35" s="178">
        <v>0.12300000000000001</v>
      </c>
      <c r="BA35" s="178">
        <v>0.16900000000000001</v>
      </c>
      <c r="BB35" s="178">
        <v>0.374</v>
      </c>
      <c r="BC35" s="178">
        <v>0.11600000000000001</v>
      </c>
      <c r="BD35" s="179">
        <v>0.82</v>
      </c>
      <c r="BE35" s="179">
        <v>0.84</v>
      </c>
      <c r="BF35" s="179">
        <v>0.16</v>
      </c>
      <c r="BG35" s="179">
        <v>2.04</v>
      </c>
      <c r="BH35" s="179">
        <v>0.05</v>
      </c>
      <c r="BI35" s="179">
        <v>0.95</v>
      </c>
      <c r="BJ35" s="179">
        <v>0.55000000000000004</v>
      </c>
      <c r="BK35" s="174"/>
      <c r="BL35" s="190" t="s">
        <v>593</v>
      </c>
      <c r="BM35" s="190"/>
    </row>
    <row r="36" spans="1:65" s="140" customFormat="1" ht="14.1" customHeight="1">
      <c r="A36" s="175" t="s">
        <v>328</v>
      </c>
      <c r="B36" s="270" t="s">
        <v>435</v>
      </c>
      <c r="C36" s="270" t="s">
        <v>463</v>
      </c>
      <c r="D36" s="270" t="s">
        <v>437</v>
      </c>
      <c r="E36" s="271" t="s">
        <v>269</v>
      </c>
      <c r="F36" s="271">
        <v>1060</v>
      </c>
      <c r="G36" s="271">
        <v>21</v>
      </c>
      <c r="H36" s="271">
        <v>14</v>
      </c>
      <c r="I36" s="271">
        <v>30.6</v>
      </c>
      <c r="J36" s="271">
        <v>462</v>
      </c>
      <c r="K36" s="270" t="s">
        <v>570</v>
      </c>
      <c r="L36" s="271">
        <v>2018</v>
      </c>
      <c r="M36" s="271" t="s">
        <v>270</v>
      </c>
      <c r="N36" s="271">
        <v>3</v>
      </c>
      <c r="O36" s="271">
        <v>34</v>
      </c>
      <c r="P36" s="283" t="s">
        <v>592</v>
      </c>
      <c r="Q36" s="271">
        <v>-70.888000000000005</v>
      </c>
      <c r="R36" s="271">
        <v>39.932000000000002</v>
      </c>
      <c r="S36" s="271" t="s">
        <v>271</v>
      </c>
      <c r="T36" s="271">
        <v>25</v>
      </c>
      <c r="U36" s="270" t="s">
        <v>573</v>
      </c>
      <c r="V36" s="268">
        <v>2.016</v>
      </c>
      <c r="W36" s="268">
        <v>9.0999999999999998E-2</v>
      </c>
      <c r="X36" s="268">
        <v>0.33</v>
      </c>
      <c r="Y36" s="178">
        <v>7.0999999999999994E-2</v>
      </c>
      <c r="Z36" s="178">
        <v>1.7000000000000001E-2</v>
      </c>
      <c r="AA36" s="178">
        <v>4.7E-2</v>
      </c>
      <c r="AB36" s="178">
        <v>2.5000000000000001E-2</v>
      </c>
      <c r="AC36" s="178">
        <v>8.7999999999999995E-2</v>
      </c>
      <c r="AD36" s="178">
        <v>5.0000000000000001E-3</v>
      </c>
      <c r="AE36" s="178">
        <v>0.80800000000000005</v>
      </c>
      <c r="AF36" s="178">
        <v>0.16</v>
      </c>
      <c r="AG36" s="178">
        <v>7.0000000000000001E-3</v>
      </c>
      <c r="AH36" s="178">
        <v>1.9830000000000001</v>
      </c>
      <c r="AI36" s="178">
        <v>-8888</v>
      </c>
      <c r="AJ36" s="178">
        <v>3.3000000000000002E-2</v>
      </c>
      <c r="AK36" s="178">
        <v>9.0999999999999998E-2</v>
      </c>
      <c r="AL36" s="178">
        <v>-8888</v>
      </c>
      <c r="AM36" s="178">
        <v>0.21299999999999999</v>
      </c>
      <c r="AN36" s="178">
        <v>0.11700000000000001</v>
      </c>
      <c r="AO36" s="178">
        <v>2E-3</v>
      </c>
      <c r="AP36" s="178">
        <v>8.9999999999999993E-3</v>
      </c>
      <c r="AQ36" s="178">
        <v>1.0999999999999999E-2</v>
      </c>
      <c r="AR36" s="178">
        <v>1.7000000000000001E-2</v>
      </c>
      <c r="AS36" s="178">
        <v>4.7E-2</v>
      </c>
      <c r="AT36" s="178">
        <v>2.5999999999999999E-2</v>
      </c>
      <c r="AU36" s="178">
        <v>-8888</v>
      </c>
      <c r="AV36" s="178">
        <v>2.4370000000000003</v>
      </c>
      <c r="AW36" s="178">
        <v>0.19600000000000001</v>
      </c>
      <c r="AX36" s="178">
        <v>1.032</v>
      </c>
      <c r="AY36" s="178">
        <v>3.4690000000000003</v>
      </c>
      <c r="AZ36" s="178">
        <v>1.228</v>
      </c>
      <c r="BA36" s="178">
        <v>1.649</v>
      </c>
      <c r="BB36" s="178">
        <v>3.665</v>
      </c>
      <c r="BC36" s="178">
        <v>1.155</v>
      </c>
      <c r="BD36" s="179">
        <v>0.82</v>
      </c>
      <c r="BE36" s="179">
        <v>0.84</v>
      </c>
      <c r="BF36" s="179">
        <v>0.16</v>
      </c>
      <c r="BG36" s="179">
        <v>1.98</v>
      </c>
      <c r="BH36" s="179">
        <v>0.05</v>
      </c>
      <c r="BI36" s="179">
        <v>0.95</v>
      </c>
      <c r="BJ36" s="179">
        <v>0.55000000000000004</v>
      </c>
      <c r="BK36" s="174"/>
      <c r="BL36" s="190" t="s">
        <v>593</v>
      </c>
      <c r="BM36" s="190"/>
    </row>
    <row r="37" spans="1:65" s="140" customFormat="1" ht="14.1" customHeight="1">
      <c r="A37" s="175" t="s">
        <v>329</v>
      </c>
      <c r="B37" s="270" t="s">
        <v>435</v>
      </c>
      <c r="C37" s="270" t="s">
        <v>464</v>
      </c>
      <c r="D37" s="270" t="s">
        <v>437</v>
      </c>
      <c r="E37" s="271" t="s">
        <v>269</v>
      </c>
      <c r="F37" s="271">
        <v>1057</v>
      </c>
      <c r="G37" s="271">
        <v>21</v>
      </c>
      <c r="H37" s="271">
        <v>19</v>
      </c>
      <c r="I37" s="271">
        <v>5.2</v>
      </c>
      <c r="J37" s="271">
        <v>462</v>
      </c>
      <c r="K37" s="270" t="s">
        <v>570</v>
      </c>
      <c r="L37" s="271">
        <v>2018</v>
      </c>
      <c r="M37" s="271" t="s">
        <v>270</v>
      </c>
      <c r="N37" s="271">
        <v>3</v>
      </c>
      <c r="O37" s="271">
        <v>34</v>
      </c>
      <c r="P37" s="283" t="s">
        <v>592</v>
      </c>
      <c r="Q37" s="271">
        <v>-70.888000000000005</v>
      </c>
      <c r="R37" s="271">
        <v>39.932000000000002</v>
      </c>
      <c r="S37" s="271" t="s">
        <v>271</v>
      </c>
      <c r="T37" s="271">
        <v>25</v>
      </c>
      <c r="U37" s="270" t="s">
        <v>573</v>
      </c>
      <c r="V37" s="268">
        <v>2.0829999999999997</v>
      </c>
      <c r="W37" s="268">
        <v>9.1999999999999998E-2</v>
      </c>
      <c r="X37" s="268">
        <v>0.33799999999999997</v>
      </c>
      <c r="Y37" s="178">
        <v>7.1999999999999995E-2</v>
      </c>
      <c r="Z37" s="178">
        <v>1.7000000000000001E-2</v>
      </c>
      <c r="AA37" s="178">
        <v>4.8000000000000001E-2</v>
      </c>
      <c r="AB37" s="178">
        <v>2.5999999999999999E-2</v>
      </c>
      <c r="AC37" s="178">
        <v>8.6999999999999994E-2</v>
      </c>
      <c r="AD37" s="178">
        <v>5.0000000000000001E-3</v>
      </c>
      <c r="AE37" s="178">
        <v>0.871</v>
      </c>
      <c r="AF37" s="178">
        <v>0.11799999999999999</v>
      </c>
      <c r="AG37" s="178">
        <v>7.0000000000000001E-3</v>
      </c>
      <c r="AH37" s="178">
        <v>2.0419999999999998</v>
      </c>
      <c r="AI37" s="178">
        <v>-8888</v>
      </c>
      <c r="AJ37" s="178">
        <v>4.1000000000000002E-2</v>
      </c>
      <c r="AK37" s="178">
        <v>9.1999999999999998E-2</v>
      </c>
      <c r="AL37" s="178">
        <v>-8888</v>
      </c>
      <c r="AM37" s="178">
        <v>0.216</v>
      </c>
      <c r="AN37" s="178">
        <v>0.122</v>
      </c>
      <c r="AO37" s="178">
        <v>2E-3</v>
      </c>
      <c r="AP37" s="178">
        <v>1.0999999999999999E-2</v>
      </c>
      <c r="AQ37" s="178">
        <v>1.0999999999999999E-2</v>
      </c>
      <c r="AR37" s="178">
        <v>1.9E-2</v>
      </c>
      <c r="AS37" s="178">
        <v>4.5999999999999999E-2</v>
      </c>
      <c r="AT37" s="178">
        <v>2.5999999999999999E-2</v>
      </c>
      <c r="AU37" s="178">
        <v>-8888</v>
      </c>
      <c r="AV37" s="178">
        <v>2.5129999999999999</v>
      </c>
      <c r="AW37" s="178">
        <v>0.19700000000000001</v>
      </c>
      <c r="AX37" s="178">
        <v>1.054</v>
      </c>
      <c r="AY37" s="178">
        <v>3.5670000000000002</v>
      </c>
      <c r="AZ37" s="178">
        <v>1.2510000000000001</v>
      </c>
      <c r="BA37" s="178">
        <v>1.681</v>
      </c>
      <c r="BB37" s="178">
        <v>3.7639999999999998</v>
      </c>
      <c r="BC37" s="178">
        <v>1.179</v>
      </c>
      <c r="BD37" s="179">
        <v>0.81</v>
      </c>
      <c r="BE37" s="179">
        <v>0.84</v>
      </c>
      <c r="BF37" s="179">
        <v>0.16</v>
      </c>
      <c r="BG37" s="179">
        <v>2.0099999999999998</v>
      </c>
      <c r="BH37" s="179">
        <v>0.05</v>
      </c>
      <c r="BI37" s="179">
        <v>0.95</v>
      </c>
      <c r="BJ37" s="179">
        <v>0.55000000000000004</v>
      </c>
      <c r="BK37" s="174"/>
      <c r="BL37" s="190" t="s">
        <v>593</v>
      </c>
      <c r="BM37" s="190"/>
    </row>
    <row r="38" spans="1:65" s="140" customFormat="1" ht="14.1" customHeight="1">
      <c r="A38" s="175" t="s">
        <v>330</v>
      </c>
      <c r="B38" s="270" t="s">
        <v>435</v>
      </c>
      <c r="C38" s="270" t="s">
        <v>465</v>
      </c>
      <c r="D38" s="270" t="s">
        <v>437</v>
      </c>
      <c r="E38" s="271" t="s">
        <v>269</v>
      </c>
      <c r="F38" s="271">
        <v>1030</v>
      </c>
      <c r="G38" s="271">
        <v>22</v>
      </c>
      <c r="H38" s="271">
        <v>13</v>
      </c>
      <c r="I38" s="271">
        <v>41.1</v>
      </c>
      <c r="J38" s="271">
        <v>150</v>
      </c>
      <c r="K38" s="270" t="s">
        <v>570</v>
      </c>
      <c r="L38" s="271">
        <v>2018</v>
      </c>
      <c r="M38" s="271" t="s">
        <v>270</v>
      </c>
      <c r="N38" s="271">
        <v>4</v>
      </c>
      <c r="O38" s="271">
        <v>35</v>
      </c>
      <c r="P38" s="283" t="s">
        <v>594</v>
      </c>
      <c r="Q38" s="271">
        <v>-70.856999999999999</v>
      </c>
      <c r="R38" s="271">
        <v>40.085999999999999</v>
      </c>
      <c r="S38" s="271" t="s">
        <v>271</v>
      </c>
      <c r="T38" s="271">
        <v>25</v>
      </c>
      <c r="U38" s="270" t="s">
        <v>573</v>
      </c>
      <c r="V38" s="268">
        <v>2.024</v>
      </c>
      <c r="W38" s="268">
        <v>0.09</v>
      </c>
      <c r="X38" s="268">
        <v>0.33300000000000002</v>
      </c>
      <c r="Y38" s="178">
        <v>7.0000000000000007E-2</v>
      </c>
      <c r="Z38" s="178">
        <v>1.6E-2</v>
      </c>
      <c r="AA38" s="178">
        <v>3.7999999999999999E-2</v>
      </c>
      <c r="AB38" s="178">
        <v>2.5999999999999999E-2</v>
      </c>
      <c r="AC38" s="178">
        <v>9.1999999999999998E-2</v>
      </c>
      <c r="AD38" s="178">
        <v>4.0000000000000001E-3</v>
      </c>
      <c r="AE38" s="178">
        <v>0.78500000000000003</v>
      </c>
      <c r="AF38" s="178">
        <v>0.21199999999999999</v>
      </c>
      <c r="AG38" s="178">
        <v>6.0000000000000001E-3</v>
      </c>
      <c r="AH38" s="178">
        <v>1.99</v>
      </c>
      <c r="AI38" s="178">
        <v>-8888</v>
      </c>
      <c r="AJ38" s="178">
        <v>3.4000000000000002E-2</v>
      </c>
      <c r="AK38" s="178">
        <v>0.09</v>
      </c>
      <c r="AL38" s="178">
        <v>-8888</v>
      </c>
      <c r="AM38" s="178">
        <v>0.224</v>
      </c>
      <c r="AN38" s="178">
        <v>0.109</v>
      </c>
      <c r="AO38" s="178">
        <v>2E-3</v>
      </c>
      <c r="AP38" s="178">
        <v>0.01</v>
      </c>
      <c r="AQ38" s="178">
        <v>0.01</v>
      </c>
      <c r="AR38" s="178">
        <v>1.7000000000000001E-2</v>
      </c>
      <c r="AS38" s="178">
        <v>3.5999999999999997E-2</v>
      </c>
      <c r="AT38" s="178">
        <v>2.3E-2</v>
      </c>
      <c r="AU38" s="178">
        <v>-8888</v>
      </c>
      <c r="AV38" s="178">
        <v>2.4470000000000001</v>
      </c>
      <c r="AW38" s="178">
        <v>0.19800000000000001</v>
      </c>
      <c r="AX38" s="178">
        <v>1.0510000000000002</v>
      </c>
      <c r="AY38" s="178">
        <v>3.4980000000000002</v>
      </c>
      <c r="AZ38" s="178">
        <v>1.2490000000000001</v>
      </c>
      <c r="BA38" s="178">
        <v>1.6720000000000002</v>
      </c>
      <c r="BB38" s="178">
        <v>3.6960000000000002</v>
      </c>
      <c r="BC38" s="178">
        <v>1.173</v>
      </c>
      <c r="BD38" s="179">
        <v>0.83</v>
      </c>
      <c r="BE38" s="179">
        <v>0.84</v>
      </c>
      <c r="BF38" s="179">
        <v>0.16</v>
      </c>
      <c r="BG38" s="179">
        <v>1.96</v>
      </c>
      <c r="BH38" s="179">
        <v>0.05</v>
      </c>
      <c r="BI38" s="179">
        <v>0.95</v>
      </c>
      <c r="BJ38" s="179">
        <v>0.55000000000000004</v>
      </c>
      <c r="BK38" s="174"/>
      <c r="BL38" s="190" t="s">
        <v>593</v>
      </c>
      <c r="BM38" s="190"/>
    </row>
    <row r="39" spans="1:65" s="140" customFormat="1" ht="14.1" customHeight="1">
      <c r="A39" s="175" t="s">
        <v>332</v>
      </c>
      <c r="B39" s="270" t="s">
        <v>435</v>
      </c>
      <c r="C39" s="270" t="s">
        <v>466</v>
      </c>
      <c r="D39" s="270" t="s">
        <v>437</v>
      </c>
      <c r="E39" s="271" t="s">
        <v>269</v>
      </c>
      <c r="F39" s="271">
        <v>1030</v>
      </c>
      <c r="G39" s="271">
        <v>22</v>
      </c>
      <c r="H39" s="271">
        <v>19</v>
      </c>
      <c r="I39" s="271">
        <v>5.2</v>
      </c>
      <c r="J39" s="271">
        <v>150</v>
      </c>
      <c r="K39" s="270" t="s">
        <v>570</v>
      </c>
      <c r="L39" s="271">
        <v>2018</v>
      </c>
      <c r="M39" s="271" t="s">
        <v>270</v>
      </c>
      <c r="N39" s="271">
        <v>4</v>
      </c>
      <c r="O39" s="271">
        <v>35</v>
      </c>
      <c r="P39" s="283" t="s">
        <v>594</v>
      </c>
      <c r="Q39" s="271">
        <v>-70.856999999999999</v>
      </c>
      <c r="R39" s="271">
        <v>40.085999999999999</v>
      </c>
      <c r="S39" s="271" t="s">
        <v>271</v>
      </c>
      <c r="T39" s="271">
        <v>25</v>
      </c>
      <c r="U39" s="270" t="s">
        <v>573</v>
      </c>
      <c r="V39" s="268">
        <v>2.012</v>
      </c>
      <c r="W39" s="268">
        <v>9.0999999999999998E-2</v>
      </c>
      <c r="X39" s="268">
        <v>0.32700000000000001</v>
      </c>
      <c r="Y39" s="178">
        <v>7.3999999999999996E-2</v>
      </c>
      <c r="Z39" s="178">
        <v>1.4999999999999999E-2</v>
      </c>
      <c r="AA39" s="178">
        <v>3.2000000000000001E-2</v>
      </c>
      <c r="AB39" s="178">
        <v>2.9000000000000001E-2</v>
      </c>
      <c r="AC39" s="178">
        <v>0.10100000000000001</v>
      </c>
      <c r="AD39" s="178">
        <v>3.0000000000000001E-3</v>
      </c>
      <c r="AE39" s="178">
        <v>0.76700000000000002</v>
      </c>
      <c r="AF39" s="178">
        <v>0.22600000000000001</v>
      </c>
      <c r="AG39" s="178">
        <v>7.0000000000000001E-3</v>
      </c>
      <c r="AH39" s="178">
        <v>1.9750000000000001</v>
      </c>
      <c r="AI39" s="178">
        <v>-8888</v>
      </c>
      <c r="AJ39" s="178">
        <v>3.6999999999999998E-2</v>
      </c>
      <c r="AK39" s="178">
        <v>9.0999999999999998E-2</v>
      </c>
      <c r="AL39" s="178">
        <v>-8888</v>
      </c>
      <c r="AM39" s="178">
        <v>0.23200000000000001</v>
      </c>
      <c r="AN39" s="178">
        <v>9.5000000000000001E-2</v>
      </c>
      <c r="AO39" s="178">
        <v>2E-3</v>
      </c>
      <c r="AP39" s="178">
        <v>0.01</v>
      </c>
      <c r="AQ39" s="178">
        <v>1.2E-2</v>
      </c>
      <c r="AR39" s="178">
        <v>1.7000000000000001E-2</v>
      </c>
      <c r="AS39" s="178">
        <v>4.1000000000000002E-2</v>
      </c>
      <c r="AT39" s="178">
        <v>2.4E-2</v>
      </c>
      <c r="AU39" s="178">
        <v>-8888</v>
      </c>
      <c r="AV39" s="178">
        <v>2.4300000000000002</v>
      </c>
      <c r="AW39" s="178">
        <v>0.21400000000000002</v>
      </c>
      <c r="AX39" s="178">
        <v>1.04</v>
      </c>
      <c r="AY39" s="178">
        <v>3.47</v>
      </c>
      <c r="AZ39" s="178">
        <v>1.254</v>
      </c>
      <c r="BA39" s="178">
        <v>1.6719999999999999</v>
      </c>
      <c r="BB39" s="178">
        <v>3.6840000000000002</v>
      </c>
      <c r="BC39" s="178">
        <v>1.167</v>
      </c>
      <c r="BD39" s="179">
        <v>0.83</v>
      </c>
      <c r="BE39" s="179">
        <v>0.83</v>
      </c>
      <c r="BF39" s="179">
        <v>0.17</v>
      </c>
      <c r="BG39" s="179">
        <v>1.94</v>
      </c>
      <c r="BH39" s="179">
        <v>0.06</v>
      </c>
      <c r="BI39" s="179">
        <v>0.94</v>
      </c>
      <c r="BJ39" s="179">
        <v>0.55000000000000004</v>
      </c>
      <c r="BK39" s="174"/>
      <c r="BL39" s="190" t="s">
        <v>593</v>
      </c>
      <c r="BM39" s="190"/>
    </row>
    <row r="40" spans="1:65" s="140" customFormat="1" ht="14.1" customHeight="1">
      <c r="A40" s="175" t="s">
        <v>333</v>
      </c>
      <c r="B40" s="266" t="s">
        <v>435</v>
      </c>
      <c r="C40" s="266" t="s">
        <v>467</v>
      </c>
      <c r="D40" s="266" t="s">
        <v>437</v>
      </c>
      <c r="E40" s="267" t="s">
        <v>269</v>
      </c>
      <c r="F40" s="267">
        <v>535</v>
      </c>
      <c r="G40" s="267">
        <v>30</v>
      </c>
      <c r="H40" s="267">
        <v>1</v>
      </c>
      <c r="I40" s="267">
        <v>13.4</v>
      </c>
      <c r="J40" s="267">
        <v>17</v>
      </c>
      <c r="K40" s="266" t="s">
        <v>570</v>
      </c>
      <c r="L40" s="267">
        <v>2018</v>
      </c>
      <c r="M40" s="267" t="s">
        <v>270</v>
      </c>
      <c r="N40" s="267">
        <v>5</v>
      </c>
      <c r="O40" s="267">
        <v>36</v>
      </c>
      <c r="P40" s="282" t="s">
        <v>595</v>
      </c>
      <c r="Q40" s="267">
        <v>-70.575999999999993</v>
      </c>
      <c r="R40" s="267">
        <v>41.322000000000003</v>
      </c>
      <c r="S40" s="267" t="s">
        <v>271</v>
      </c>
      <c r="T40" s="267">
        <v>25</v>
      </c>
      <c r="U40" s="266" t="s">
        <v>573</v>
      </c>
      <c r="V40" s="268">
        <v>3.964</v>
      </c>
      <c r="W40" s="268">
        <v>4.2999999999999997E-2</v>
      </c>
      <c r="X40" s="268">
        <v>0.63900000000000001</v>
      </c>
      <c r="Y40" s="178">
        <v>0.11600000000000001</v>
      </c>
      <c r="Z40" s="178">
        <v>-8888</v>
      </c>
      <c r="AA40" s="178">
        <v>6.0000000000000001E-3</v>
      </c>
      <c r="AB40" s="178">
        <v>3.2000000000000001E-2</v>
      </c>
      <c r="AC40" s="178">
        <v>0.40100000000000002</v>
      </c>
      <c r="AD40" s="178">
        <v>4.2000000000000003E-2</v>
      </c>
      <c r="AE40" s="178">
        <v>1.5129999999999999</v>
      </c>
      <c r="AF40" s="178">
        <v>4.4999999999999998E-2</v>
      </c>
      <c r="AG40" s="178">
        <v>1.4999999999999999E-2</v>
      </c>
      <c r="AH40" s="178">
        <v>3.5350000000000001</v>
      </c>
      <c r="AI40" s="178">
        <v>-8888</v>
      </c>
      <c r="AJ40" s="178">
        <v>0.42899999999999999</v>
      </c>
      <c r="AK40" s="178">
        <v>4.2999999999999997E-2</v>
      </c>
      <c r="AL40" s="178">
        <v>-8888</v>
      </c>
      <c r="AM40" s="178">
        <v>0.57299999999999995</v>
      </c>
      <c r="AN40" s="178">
        <v>6.6000000000000003E-2</v>
      </c>
      <c r="AO40" s="178">
        <v>-8888</v>
      </c>
      <c r="AP40" s="178">
        <v>8.9999999999999993E-3</v>
      </c>
      <c r="AQ40" s="178">
        <v>2.1000000000000001E-2</v>
      </c>
      <c r="AR40" s="178">
        <v>7.2999999999999995E-2</v>
      </c>
      <c r="AS40" s="178">
        <v>0.34799999999999998</v>
      </c>
      <c r="AT40" s="178">
        <v>1.6E-2</v>
      </c>
      <c r="AU40" s="178">
        <v>-8888</v>
      </c>
      <c r="AV40" s="178">
        <v>4.6459999999999999</v>
      </c>
      <c r="AW40" s="178">
        <v>0.60600000000000009</v>
      </c>
      <c r="AX40" s="178">
        <v>1.5639999999999998</v>
      </c>
      <c r="AY40" s="178">
        <v>6.21</v>
      </c>
      <c r="AZ40" s="178">
        <v>2.17</v>
      </c>
      <c r="BA40" s="178">
        <v>2.8520000000000003</v>
      </c>
      <c r="BB40" s="178">
        <v>6.8160000000000007</v>
      </c>
      <c r="BC40" s="178">
        <v>1.6539999999999999</v>
      </c>
      <c r="BD40" s="179">
        <v>0.72</v>
      </c>
      <c r="BE40" s="179">
        <v>0.72</v>
      </c>
      <c r="BF40" s="179">
        <v>0.28000000000000003</v>
      </c>
      <c r="BG40" s="179">
        <v>2.14</v>
      </c>
      <c r="BH40" s="179">
        <v>0.09</v>
      </c>
      <c r="BI40" s="179">
        <v>0.91</v>
      </c>
      <c r="BJ40" s="179">
        <v>0.57999999999999996</v>
      </c>
      <c r="BK40" s="174"/>
      <c r="BL40" s="190" t="s">
        <v>596</v>
      </c>
      <c r="BM40" s="190"/>
    </row>
    <row r="41" spans="1:65" s="140" customFormat="1" ht="14.1" customHeight="1">
      <c r="A41" s="175" t="s">
        <v>334</v>
      </c>
      <c r="B41" s="266" t="s">
        <v>435</v>
      </c>
      <c r="C41" s="266" t="s">
        <v>468</v>
      </c>
      <c r="D41" s="266" t="s">
        <v>437</v>
      </c>
      <c r="E41" s="267" t="s">
        <v>269</v>
      </c>
      <c r="F41" s="267">
        <v>535</v>
      </c>
      <c r="G41" s="267">
        <v>30</v>
      </c>
      <c r="H41" s="267">
        <v>5</v>
      </c>
      <c r="I41" s="267">
        <v>10.199999999999999</v>
      </c>
      <c r="J41" s="267">
        <v>17</v>
      </c>
      <c r="K41" s="266" t="s">
        <v>570</v>
      </c>
      <c r="L41" s="267">
        <v>2018</v>
      </c>
      <c r="M41" s="267" t="s">
        <v>270</v>
      </c>
      <c r="N41" s="267">
        <v>5</v>
      </c>
      <c r="O41" s="267">
        <v>36</v>
      </c>
      <c r="P41" s="282" t="s">
        <v>595</v>
      </c>
      <c r="Q41" s="267">
        <v>-70.575999999999993</v>
      </c>
      <c r="R41" s="267">
        <v>41.322000000000003</v>
      </c>
      <c r="S41" s="267" t="s">
        <v>271</v>
      </c>
      <c r="T41" s="267">
        <v>25</v>
      </c>
      <c r="U41" s="266" t="s">
        <v>573</v>
      </c>
      <c r="V41" s="268">
        <v>3.5870000000000002</v>
      </c>
      <c r="W41" s="268">
        <v>4.4999999999999998E-2</v>
      </c>
      <c r="X41" s="268">
        <v>0.58800000000000008</v>
      </c>
      <c r="Y41" s="178">
        <v>0.10299999999999999</v>
      </c>
      <c r="Z41" s="178">
        <v>-8888</v>
      </c>
      <c r="AA41" s="178">
        <v>6.0000000000000001E-3</v>
      </c>
      <c r="AB41" s="178">
        <v>0.03</v>
      </c>
      <c r="AC41" s="178">
        <v>0.35899999999999999</v>
      </c>
      <c r="AD41" s="178">
        <v>0.04</v>
      </c>
      <c r="AE41" s="178">
        <v>1.3720000000000001</v>
      </c>
      <c r="AF41" s="178">
        <v>4.2999999999999997E-2</v>
      </c>
      <c r="AG41" s="178">
        <v>1.2999999999999999E-2</v>
      </c>
      <c r="AH41" s="178">
        <v>3.2160000000000002</v>
      </c>
      <c r="AI41" s="178">
        <v>-8888</v>
      </c>
      <c r="AJ41" s="178">
        <v>0.371</v>
      </c>
      <c r="AK41" s="178">
        <v>4.4999999999999998E-2</v>
      </c>
      <c r="AL41" s="178">
        <v>-8888</v>
      </c>
      <c r="AM41" s="178">
        <v>0.52500000000000002</v>
      </c>
      <c r="AN41" s="178">
        <v>6.3E-2</v>
      </c>
      <c r="AO41" s="178">
        <v>2E-3</v>
      </c>
      <c r="AP41" s="178">
        <v>7.0000000000000001E-3</v>
      </c>
      <c r="AQ41" s="178">
        <v>1.9E-2</v>
      </c>
      <c r="AR41" s="178">
        <v>0.06</v>
      </c>
      <c r="AS41" s="178">
        <v>0.26800000000000002</v>
      </c>
      <c r="AT41" s="178">
        <v>1.4999999999999999E-2</v>
      </c>
      <c r="AU41" s="178">
        <v>-8888</v>
      </c>
      <c r="AV41" s="178">
        <v>4.2200000000000006</v>
      </c>
      <c r="AW41" s="178">
        <v>0.54500000000000004</v>
      </c>
      <c r="AX41" s="178">
        <v>1.421</v>
      </c>
      <c r="AY41" s="178">
        <v>5.6410000000000009</v>
      </c>
      <c r="AZ41" s="178">
        <v>1.9660000000000002</v>
      </c>
      <c r="BA41" s="178">
        <v>2.5990000000000002</v>
      </c>
      <c r="BB41" s="178">
        <v>6.1859999999999999</v>
      </c>
      <c r="BC41" s="178">
        <v>1.5090000000000001</v>
      </c>
      <c r="BD41" s="179">
        <v>0.72</v>
      </c>
      <c r="BE41" s="179">
        <v>0.72</v>
      </c>
      <c r="BF41" s="179">
        <v>0.28000000000000003</v>
      </c>
      <c r="BG41" s="179">
        <v>2.15</v>
      </c>
      <c r="BH41" s="179">
        <v>0.09</v>
      </c>
      <c r="BI41" s="179">
        <v>0.91</v>
      </c>
      <c r="BJ41" s="179">
        <v>0.57999999999999996</v>
      </c>
      <c r="BK41" s="174"/>
      <c r="BL41" s="190" t="s">
        <v>596</v>
      </c>
      <c r="BM41" s="190"/>
    </row>
    <row r="42" spans="1:65" s="140" customFormat="1" ht="14.1" customHeight="1">
      <c r="A42" s="175" t="s">
        <v>335</v>
      </c>
      <c r="B42" s="266" t="s">
        <v>435</v>
      </c>
      <c r="C42" s="266" t="s">
        <v>469</v>
      </c>
      <c r="D42" s="266" t="s">
        <v>437</v>
      </c>
      <c r="E42" s="267" t="s">
        <v>272</v>
      </c>
      <c r="F42" s="267">
        <v>535</v>
      </c>
      <c r="G42" s="267">
        <v>30</v>
      </c>
      <c r="H42" s="267">
        <v>9</v>
      </c>
      <c r="I42" s="267">
        <v>4</v>
      </c>
      <c r="J42" s="267">
        <v>17</v>
      </c>
      <c r="K42" s="266" t="s">
        <v>570</v>
      </c>
      <c r="L42" s="267">
        <v>2018</v>
      </c>
      <c r="M42" s="267" t="s">
        <v>270</v>
      </c>
      <c r="N42" s="267">
        <v>5</v>
      </c>
      <c r="O42" s="267">
        <v>36</v>
      </c>
      <c r="P42" s="282" t="s">
        <v>595</v>
      </c>
      <c r="Q42" s="267">
        <v>-70.575999999999993</v>
      </c>
      <c r="R42" s="267">
        <v>41.322000000000003</v>
      </c>
      <c r="S42" s="267" t="s">
        <v>271</v>
      </c>
      <c r="T42" s="267">
        <v>25</v>
      </c>
      <c r="U42" s="266" t="s">
        <v>573</v>
      </c>
      <c r="V42" s="268">
        <v>3.6280000000000001</v>
      </c>
      <c r="W42" s="268">
        <v>4.4999999999999998E-2</v>
      </c>
      <c r="X42" s="268">
        <v>0.58000000000000007</v>
      </c>
      <c r="Y42" s="178">
        <v>0.109</v>
      </c>
      <c r="Z42" s="178">
        <v>-8888</v>
      </c>
      <c r="AA42" s="178">
        <v>6.0000000000000001E-3</v>
      </c>
      <c r="AB42" s="178">
        <v>3.2000000000000001E-2</v>
      </c>
      <c r="AC42" s="178">
        <v>0.36099999999999999</v>
      </c>
      <c r="AD42" s="178">
        <v>4.4999999999999998E-2</v>
      </c>
      <c r="AE42" s="178">
        <v>1.393</v>
      </c>
      <c r="AF42" s="178">
        <v>4.2000000000000003E-2</v>
      </c>
      <c r="AG42" s="178">
        <v>1.4E-2</v>
      </c>
      <c r="AH42" s="178">
        <v>3.3210000000000002</v>
      </c>
      <c r="AI42" s="178">
        <v>-8888</v>
      </c>
      <c r="AJ42" s="178">
        <v>0.307</v>
      </c>
      <c r="AK42" s="178">
        <v>4.4999999999999998E-2</v>
      </c>
      <c r="AL42" s="178">
        <v>-8888</v>
      </c>
      <c r="AM42" s="178">
        <v>0.51800000000000002</v>
      </c>
      <c r="AN42" s="178">
        <v>6.2E-2</v>
      </c>
      <c r="AO42" s="178">
        <v>-8888</v>
      </c>
      <c r="AP42" s="178">
        <v>7.0000000000000001E-3</v>
      </c>
      <c r="AQ42" s="178">
        <v>0.02</v>
      </c>
      <c r="AR42" s="178">
        <v>5.8000000000000003E-2</v>
      </c>
      <c r="AS42" s="178">
        <v>0.23</v>
      </c>
      <c r="AT42" s="178">
        <v>1.6E-2</v>
      </c>
      <c r="AU42" s="178">
        <v>-8888</v>
      </c>
      <c r="AV42" s="178">
        <v>4.2530000000000001</v>
      </c>
      <c r="AW42" s="178">
        <v>0.56100000000000005</v>
      </c>
      <c r="AX42" s="178">
        <v>1.4410000000000001</v>
      </c>
      <c r="AY42" s="178">
        <v>5.694</v>
      </c>
      <c r="AZ42" s="178">
        <v>2.0020000000000002</v>
      </c>
      <c r="BA42" s="178">
        <v>2.6270000000000002</v>
      </c>
      <c r="BB42" s="178">
        <v>6.2550000000000008</v>
      </c>
      <c r="BC42" s="178">
        <v>1.532</v>
      </c>
      <c r="BD42" s="179">
        <v>0.72</v>
      </c>
      <c r="BE42" s="179">
        <v>0.72</v>
      </c>
      <c r="BF42" s="179">
        <v>0.28000000000000003</v>
      </c>
      <c r="BG42" s="179">
        <v>2.12</v>
      </c>
      <c r="BH42" s="179">
        <v>0.09</v>
      </c>
      <c r="BI42" s="179">
        <v>0.91</v>
      </c>
      <c r="BJ42" s="179">
        <v>0.57999999999999996</v>
      </c>
      <c r="BK42" s="174"/>
      <c r="BL42" s="190" t="s">
        <v>596</v>
      </c>
      <c r="BM42" s="190"/>
    </row>
    <row r="43" spans="1:65" s="140" customFormat="1" ht="14.1" customHeight="1">
      <c r="A43" s="175" t="s">
        <v>336</v>
      </c>
      <c r="B43" s="266" t="s">
        <v>435</v>
      </c>
      <c r="C43" s="266" t="s">
        <v>470</v>
      </c>
      <c r="D43" s="266" t="s">
        <v>437</v>
      </c>
      <c r="E43" s="267" t="s">
        <v>272</v>
      </c>
      <c r="F43" s="267">
        <v>540</v>
      </c>
      <c r="G43" s="267">
        <v>30</v>
      </c>
      <c r="H43" s="267">
        <v>9</v>
      </c>
      <c r="I43" s="267">
        <v>4</v>
      </c>
      <c r="J43" s="267">
        <v>17</v>
      </c>
      <c r="K43" s="266" t="s">
        <v>570</v>
      </c>
      <c r="L43" s="267">
        <v>2018</v>
      </c>
      <c r="M43" s="267" t="s">
        <v>270</v>
      </c>
      <c r="N43" s="267">
        <v>5</v>
      </c>
      <c r="O43" s="267">
        <v>36</v>
      </c>
      <c r="P43" s="282" t="s">
        <v>595</v>
      </c>
      <c r="Q43" s="267">
        <v>-70.575999999999993</v>
      </c>
      <c r="R43" s="267">
        <v>41.322000000000003</v>
      </c>
      <c r="S43" s="267" t="s">
        <v>271</v>
      </c>
      <c r="T43" s="267">
        <v>25</v>
      </c>
      <c r="U43" s="266" t="s">
        <v>573</v>
      </c>
      <c r="V43" s="268">
        <v>3.343</v>
      </c>
      <c r="W43" s="268">
        <v>0.04</v>
      </c>
      <c r="X43" s="268">
        <v>0.54499999999999993</v>
      </c>
      <c r="Y43" s="178">
        <v>9.9000000000000005E-2</v>
      </c>
      <c r="Z43" s="178">
        <v>-8888</v>
      </c>
      <c r="AA43" s="178">
        <v>5.0000000000000001E-3</v>
      </c>
      <c r="AB43" s="178">
        <v>2.9000000000000001E-2</v>
      </c>
      <c r="AC43" s="178">
        <v>0.315</v>
      </c>
      <c r="AD43" s="178">
        <v>7.4999999999999997E-2</v>
      </c>
      <c r="AE43" s="178">
        <v>1.2789999999999999</v>
      </c>
      <c r="AF43" s="178">
        <v>4.3999999999999997E-2</v>
      </c>
      <c r="AG43" s="178">
        <v>1.4999999999999999E-2</v>
      </c>
      <c r="AH43" s="178">
        <v>3.008</v>
      </c>
      <c r="AI43" s="178">
        <v>-8888</v>
      </c>
      <c r="AJ43" s="178">
        <v>0.33500000000000002</v>
      </c>
      <c r="AK43" s="178">
        <v>0.04</v>
      </c>
      <c r="AL43" s="178">
        <v>-8888</v>
      </c>
      <c r="AM43" s="178">
        <v>0.48099999999999998</v>
      </c>
      <c r="AN43" s="178">
        <v>6.4000000000000001E-2</v>
      </c>
      <c r="AO43" s="178">
        <v>-8888</v>
      </c>
      <c r="AP43" s="178">
        <v>6.0000000000000001E-3</v>
      </c>
      <c r="AQ43" s="178">
        <v>1.7999999999999999E-2</v>
      </c>
      <c r="AR43" s="178">
        <v>5.0999999999999997E-2</v>
      </c>
      <c r="AS43" s="178">
        <v>0.20799999999999999</v>
      </c>
      <c r="AT43" s="178">
        <v>1.4999999999999999E-2</v>
      </c>
      <c r="AU43" s="178">
        <v>-8888</v>
      </c>
      <c r="AV43" s="178">
        <v>3.9279999999999999</v>
      </c>
      <c r="AW43" s="178">
        <v>0.53300000000000003</v>
      </c>
      <c r="AX43" s="178">
        <v>1.3279999999999998</v>
      </c>
      <c r="AY43" s="178">
        <v>5.2560000000000002</v>
      </c>
      <c r="AZ43" s="178">
        <v>1.8609999999999998</v>
      </c>
      <c r="BA43" s="178">
        <v>2.4459999999999997</v>
      </c>
      <c r="BB43" s="178">
        <v>5.7889999999999997</v>
      </c>
      <c r="BC43" s="178">
        <v>1.4119999999999999</v>
      </c>
      <c r="BD43" s="179">
        <v>0.73</v>
      </c>
      <c r="BE43" s="179">
        <v>0.71</v>
      </c>
      <c r="BF43" s="179">
        <v>0.28999999999999998</v>
      </c>
      <c r="BG43" s="179">
        <v>2.11</v>
      </c>
      <c r="BH43" s="179">
        <v>0.09</v>
      </c>
      <c r="BI43" s="179">
        <v>0.91</v>
      </c>
      <c r="BJ43" s="179">
        <v>0.57999999999999996</v>
      </c>
      <c r="BK43" s="174"/>
      <c r="BL43" s="190" t="s">
        <v>596</v>
      </c>
      <c r="BM43" s="190"/>
    </row>
    <row r="44" spans="1:65" s="140" customFormat="1" ht="14.1" customHeight="1">
      <c r="A44" s="175" t="s">
        <v>337</v>
      </c>
      <c r="B44" s="266" t="s">
        <v>435</v>
      </c>
      <c r="C44" s="266" t="s">
        <v>471</v>
      </c>
      <c r="D44" s="266" t="s">
        <v>472</v>
      </c>
      <c r="E44" s="267" t="s">
        <v>269</v>
      </c>
      <c r="F44" s="267">
        <v>547</v>
      </c>
      <c r="G44" s="267">
        <v>1</v>
      </c>
      <c r="H44" s="267">
        <v>5</v>
      </c>
      <c r="I44" s="267">
        <v>9</v>
      </c>
      <c r="J44" s="267">
        <v>20</v>
      </c>
      <c r="K44" s="266" t="s">
        <v>570</v>
      </c>
      <c r="L44" s="267">
        <v>2018</v>
      </c>
      <c r="M44" s="267" t="s">
        <v>597</v>
      </c>
      <c r="N44" s="267">
        <v>3</v>
      </c>
      <c r="O44" s="267">
        <v>93</v>
      </c>
      <c r="P44" s="282" t="s">
        <v>598</v>
      </c>
      <c r="Q44" s="267">
        <v>-70.882999999999996</v>
      </c>
      <c r="R44" s="267">
        <v>41.197000000000003</v>
      </c>
      <c r="S44" s="267" t="s">
        <v>271</v>
      </c>
      <c r="T44" s="267">
        <v>25</v>
      </c>
      <c r="U44" s="266" t="s">
        <v>573</v>
      </c>
      <c r="V44" s="268">
        <v>0.92800000000000005</v>
      </c>
      <c r="W44" s="268">
        <v>4.9000000000000002E-2</v>
      </c>
      <c r="X44" s="268">
        <v>0.22899999999999998</v>
      </c>
      <c r="Y44" s="178">
        <v>0.03</v>
      </c>
      <c r="Z44" s="178">
        <v>2.1000000000000001E-2</v>
      </c>
      <c r="AA44" s="178">
        <v>1.4E-2</v>
      </c>
      <c r="AB44" s="178">
        <v>0.01</v>
      </c>
      <c r="AC44" s="178">
        <v>5.7000000000000002E-2</v>
      </c>
      <c r="AD44" s="178">
        <v>0.01</v>
      </c>
      <c r="AE44" s="178">
        <v>0.35</v>
      </c>
      <c r="AF44" s="178">
        <v>1.9E-2</v>
      </c>
      <c r="AG44" s="178">
        <v>8.0000000000000002E-3</v>
      </c>
      <c r="AH44" s="178">
        <v>0.9</v>
      </c>
      <c r="AI44" s="178">
        <v>-8888</v>
      </c>
      <c r="AJ44" s="178">
        <v>2.8000000000000001E-2</v>
      </c>
      <c r="AK44" s="178">
        <v>4.9000000000000002E-2</v>
      </c>
      <c r="AL44" s="178">
        <v>-8888</v>
      </c>
      <c r="AM44" s="178">
        <v>0.127</v>
      </c>
      <c r="AN44" s="178">
        <v>0.10199999999999999</v>
      </c>
      <c r="AO44" s="178">
        <v>-8888</v>
      </c>
      <c r="AP44" s="178">
        <v>4.0000000000000001E-3</v>
      </c>
      <c r="AQ44" s="178">
        <v>7.0000000000000001E-3</v>
      </c>
      <c r="AR44" s="178">
        <v>3.7999999999999999E-2</v>
      </c>
      <c r="AS44" s="178">
        <v>2.4E-2</v>
      </c>
      <c r="AT44" s="178">
        <v>-8888</v>
      </c>
      <c r="AU44" s="178">
        <v>-8888</v>
      </c>
      <c r="AV44" s="178">
        <v>1.206</v>
      </c>
      <c r="AW44" s="178">
        <v>0.11499999999999999</v>
      </c>
      <c r="AX44" s="178">
        <v>0.40400000000000003</v>
      </c>
      <c r="AY44" s="178">
        <v>1.6099999999999999</v>
      </c>
      <c r="AZ44" s="178">
        <v>0.51900000000000002</v>
      </c>
      <c r="BA44" s="178">
        <v>0.79700000000000004</v>
      </c>
      <c r="BB44" s="178">
        <v>1.7250000000000001</v>
      </c>
      <c r="BC44" s="178">
        <v>0.47100000000000003</v>
      </c>
      <c r="BD44" s="179">
        <v>0.86</v>
      </c>
      <c r="BE44" s="179">
        <v>0.78</v>
      </c>
      <c r="BF44" s="179">
        <v>0.22</v>
      </c>
      <c r="BG44" s="179">
        <v>2.3199999999999998</v>
      </c>
      <c r="BH44" s="179">
        <v>7.0000000000000007E-2</v>
      </c>
      <c r="BI44" s="179">
        <v>0.93</v>
      </c>
      <c r="BJ44" s="179">
        <v>0.54</v>
      </c>
      <c r="BK44" s="174"/>
      <c r="BL44" s="190" t="s">
        <v>574</v>
      </c>
      <c r="BM44" s="190"/>
    </row>
    <row r="45" spans="1:65" s="140" customFormat="1" ht="14.1" customHeight="1">
      <c r="A45" s="175" t="s">
        <v>338</v>
      </c>
      <c r="B45" s="266" t="s">
        <v>435</v>
      </c>
      <c r="C45" s="266" t="s">
        <v>473</v>
      </c>
      <c r="D45" s="266" t="s">
        <v>472</v>
      </c>
      <c r="E45" s="267" t="s">
        <v>269</v>
      </c>
      <c r="F45" s="267">
        <v>535</v>
      </c>
      <c r="G45" s="267">
        <v>1</v>
      </c>
      <c r="H45" s="267">
        <v>8</v>
      </c>
      <c r="I45" s="267">
        <v>3</v>
      </c>
      <c r="J45" s="267">
        <v>20</v>
      </c>
      <c r="K45" s="266" t="s">
        <v>570</v>
      </c>
      <c r="L45" s="267">
        <v>2018</v>
      </c>
      <c r="M45" s="267" t="s">
        <v>597</v>
      </c>
      <c r="N45" s="267">
        <v>3</v>
      </c>
      <c r="O45" s="267">
        <v>93</v>
      </c>
      <c r="P45" s="282" t="s">
        <v>598</v>
      </c>
      <c r="Q45" s="267">
        <v>-70.882999999999996</v>
      </c>
      <c r="R45" s="267">
        <v>41.197000000000003</v>
      </c>
      <c r="S45" s="267" t="s">
        <v>271</v>
      </c>
      <c r="T45" s="267">
        <v>25</v>
      </c>
      <c r="U45" s="266" t="s">
        <v>573</v>
      </c>
      <c r="V45" s="268">
        <v>0.90500000000000003</v>
      </c>
      <c r="W45" s="268">
        <v>4.8000000000000001E-2</v>
      </c>
      <c r="X45" s="268">
        <v>0.22</v>
      </c>
      <c r="Y45" s="178">
        <v>0.03</v>
      </c>
      <c r="Z45" s="178">
        <v>2.1000000000000001E-2</v>
      </c>
      <c r="AA45" s="178">
        <v>1.4E-2</v>
      </c>
      <c r="AB45" s="178">
        <v>1.0999999999999999E-2</v>
      </c>
      <c r="AC45" s="178">
        <v>0.06</v>
      </c>
      <c r="AD45" s="178">
        <v>7.0000000000000001E-3</v>
      </c>
      <c r="AE45" s="178">
        <v>0.33700000000000002</v>
      </c>
      <c r="AF45" s="178">
        <v>1.9E-2</v>
      </c>
      <c r="AG45" s="178">
        <v>8.9999999999999993E-3</v>
      </c>
      <c r="AH45" s="178">
        <v>0.871</v>
      </c>
      <c r="AI45" s="178">
        <v>-8888</v>
      </c>
      <c r="AJ45" s="178">
        <v>3.4000000000000002E-2</v>
      </c>
      <c r="AK45" s="178">
        <v>4.8000000000000001E-2</v>
      </c>
      <c r="AL45" s="178">
        <v>-8888</v>
      </c>
      <c r="AM45" s="178">
        <v>0.11899999999999999</v>
      </c>
      <c r="AN45" s="178">
        <v>0.10100000000000001</v>
      </c>
      <c r="AO45" s="178">
        <v>-8888</v>
      </c>
      <c r="AP45" s="178">
        <v>4.0000000000000001E-3</v>
      </c>
      <c r="AQ45" s="178">
        <v>7.0000000000000001E-3</v>
      </c>
      <c r="AR45" s="178">
        <v>1.7000000000000001E-2</v>
      </c>
      <c r="AS45" s="178">
        <v>2.3E-2</v>
      </c>
      <c r="AT45" s="178">
        <v>-8888</v>
      </c>
      <c r="AU45" s="178">
        <v>-8888</v>
      </c>
      <c r="AV45" s="178">
        <v>1.173</v>
      </c>
      <c r="AW45" s="178">
        <v>0.11699999999999999</v>
      </c>
      <c r="AX45" s="178">
        <v>0.39100000000000007</v>
      </c>
      <c r="AY45" s="178">
        <v>1.5640000000000001</v>
      </c>
      <c r="AZ45" s="178">
        <v>0.50800000000000001</v>
      </c>
      <c r="BA45" s="178">
        <v>0.77600000000000002</v>
      </c>
      <c r="BB45" s="178">
        <v>1.681</v>
      </c>
      <c r="BC45" s="178">
        <v>0.45900000000000007</v>
      </c>
      <c r="BD45" s="179">
        <v>0.86</v>
      </c>
      <c r="BE45" s="179">
        <v>0.77</v>
      </c>
      <c r="BF45" s="179">
        <v>0.23</v>
      </c>
      <c r="BG45" s="179">
        <v>2.31</v>
      </c>
      <c r="BH45" s="179">
        <v>7.0000000000000007E-2</v>
      </c>
      <c r="BI45" s="179">
        <v>0.93</v>
      </c>
      <c r="BJ45" s="179">
        <v>0.54</v>
      </c>
      <c r="BK45" s="174"/>
      <c r="BL45" s="190" t="s">
        <v>574</v>
      </c>
      <c r="BM45" s="190"/>
    </row>
    <row r="46" spans="1:65" s="140" customFormat="1" ht="14.1" customHeight="1">
      <c r="A46" s="175" t="s">
        <v>339</v>
      </c>
      <c r="B46" s="266" t="s">
        <v>435</v>
      </c>
      <c r="C46" s="266" t="s">
        <v>474</v>
      </c>
      <c r="D46" s="266" t="s">
        <v>472</v>
      </c>
      <c r="E46" s="267" t="s">
        <v>269</v>
      </c>
      <c r="F46" s="267">
        <v>277</v>
      </c>
      <c r="G46" s="267">
        <v>2</v>
      </c>
      <c r="H46" s="267">
        <v>5</v>
      </c>
      <c r="I46" s="267">
        <v>26.8</v>
      </c>
      <c r="J46" s="267">
        <v>46</v>
      </c>
      <c r="K46" s="266" t="s">
        <v>570</v>
      </c>
      <c r="L46" s="267">
        <v>2018</v>
      </c>
      <c r="M46" s="267" t="s">
        <v>597</v>
      </c>
      <c r="N46" s="267">
        <v>3</v>
      </c>
      <c r="O46" s="267">
        <v>93</v>
      </c>
      <c r="P46" s="282" t="s">
        <v>599</v>
      </c>
      <c r="Q46" s="267">
        <v>-70.882999999999996</v>
      </c>
      <c r="R46" s="267">
        <v>41.030999999999999</v>
      </c>
      <c r="S46" s="267" t="s">
        <v>271</v>
      </c>
      <c r="T46" s="267">
        <v>25</v>
      </c>
      <c r="U46" s="266" t="s">
        <v>573</v>
      </c>
      <c r="V46" s="268">
        <v>5.4610000000000003</v>
      </c>
      <c r="W46" s="268">
        <v>-8888</v>
      </c>
      <c r="X46" s="268">
        <v>2.044</v>
      </c>
      <c r="Y46" s="178">
        <v>0.11799999999999999</v>
      </c>
      <c r="Z46" s="178">
        <v>-8888</v>
      </c>
      <c r="AA46" s="178">
        <v>0.02</v>
      </c>
      <c r="AB46" s="178">
        <v>-8888</v>
      </c>
      <c r="AC46" s="178">
        <v>0.189</v>
      </c>
      <c r="AD46" s="178">
        <v>-8888</v>
      </c>
      <c r="AE46" s="178">
        <v>1.857</v>
      </c>
      <c r="AF46" s="178">
        <v>-8888</v>
      </c>
      <c r="AG46" s="178">
        <v>-8888</v>
      </c>
      <c r="AH46" s="178">
        <v>5.1470000000000002</v>
      </c>
      <c r="AI46" s="178">
        <v>-8888</v>
      </c>
      <c r="AJ46" s="178">
        <v>0.314</v>
      </c>
      <c r="AK46" s="178">
        <v>-8888</v>
      </c>
      <c r="AL46" s="178">
        <v>-8888</v>
      </c>
      <c r="AM46" s="178">
        <v>0.82399999999999995</v>
      </c>
      <c r="AN46" s="178">
        <v>1.22</v>
      </c>
      <c r="AO46" s="178">
        <v>-8888</v>
      </c>
      <c r="AP46" s="178">
        <v>-8888</v>
      </c>
      <c r="AQ46" s="178">
        <v>-8888</v>
      </c>
      <c r="AR46" s="178">
        <v>0.57399999999999995</v>
      </c>
      <c r="AS46" s="178">
        <v>0.27600000000000002</v>
      </c>
      <c r="AT46" s="178">
        <v>-8888</v>
      </c>
      <c r="AU46" s="178">
        <v>-8888</v>
      </c>
      <c r="AV46" s="178">
        <v>7.5050000000000008</v>
      </c>
      <c r="AW46" s="178">
        <v>0.307</v>
      </c>
      <c r="AX46" s="178">
        <v>1.877</v>
      </c>
      <c r="AY46" s="178">
        <v>9.3820000000000014</v>
      </c>
      <c r="AZ46" s="178">
        <v>2.1840000000000002</v>
      </c>
      <c r="BA46" s="178">
        <v>4.2279999999999998</v>
      </c>
      <c r="BB46" s="178">
        <v>9.6890000000000001</v>
      </c>
      <c r="BC46" s="178">
        <v>1.877</v>
      </c>
      <c r="BD46" s="179">
        <v>0.77</v>
      </c>
      <c r="BE46" s="179">
        <v>0.86</v>
      </c>
      <c r="BF46" s="179">
        <v>0.14000000000000001</v>
      </c>
      <c r="BG46" s="179">
        <v>3.44</v>
      </c>
      <c r="BH46" s="179">
        <v>0.03</v>
      </c>
      <c r="BI46" s="179">
        <v>0.97</v>
      </c>
      <c r="BJ46" s="179">
        <v>0.56000000000000005</v>
      </c>
      <c r="BK46" s="174"/>
      <c r="BL46" s="190" t="s">
        <v>576</v>
      </c>
      <c r="BM46" s="190"/>
    </row>
    <row r="47" spans="1:65" s="140" customFormat="1" ht="14.1" customHeight="1">
      <c r="A47" s="175" t="s">
        <v>340</v>
      </c>
      <c r="B47" s="266" t="s">
        <v>435</v>
      </c>
      <c r="C47" s="266" t="s">
        <v>475</v>
      </c>
      <c r="D47" s="266" t="s">
        <v>472</v>
      </c>
      <c r="E47" s="267" t="s">
        <v>269</v>
      </c>
      <c r="F47" s="267">
        <v>547</v>
      </c>
      <c r="G47" s="267">
        <v>2</v>
      </c>
      <c r="H47" s="267">
        <v>11</v>
      </c>
      <c r="I47" s="267">
        <v>3</v>
      </c>
      <c r="J47" s="267">
        <v>46</v>
      </c>
      <c r="K47" s="266" t="s">
        <v>570</v>
      </c>
      <c r="L47" s="267">
        <v>2018</v>
      </c>
      <c r="M47" s="267" t="s">
        <v>597</v>
      </c>
      <c r="N47" s="267">
        <v>3</v>
      </c>
      <c r="O47" s="267">
        <v>93</v>
      </c>
      <c r="P47" s="282" t="s">
        <v>599</v>
      </c>
      <c r="Q47" s="267">
        <v>-70.882999999999996</v>
      </c>
      <c r="R47" s="267">
        <v>41.030999999999999</v>
      </c>
      <c r="S47" s="267" t="s">
        <v>271</v>
      </c>
      <c r="T47" s="267">
        <v>25</v>
      </c>
      <c r="U47" s="266" t="s">
        <v>573</v>
      </c>
      <c r="V47" s="268">
        <v>0.46100000000000002</v>
      </c>
      <c r="W47" s="268">
        <v>1.9E-2</v>
      </c>
      <c r="X47" s="268">
        <v>9.2999999999999999E-2</v>
      </c>
      <c r="Y47" s="178">
        <v>2.1999999999999999E-2</v>
      </c>
      <c r="Z47" s="178">
        <v>-8888</v>
      </c>
      <c r="AA47" s="178">
        <v>1.2E-2</v>
      </c>
      <c r="AB47" s="178">
        <v>0.03</v>
      </c>
      <c r="AC47" s="178">
        <v>3.4000000000000002E-2</v>
      </c>
      <c r="AD47" s="178">
        <v>7.0000000000000001E-3</v>
      </c>
      <c r="AE47" s="178">
        <v>0.11899999999999999</v>
      </c>
      <c r="AF47" s="178">
        <v>2.8000000000000001E-2</v>
      </c>
      <c r="AG47" s="178">
        <v>1.4E-2</v>
      </c>
      <c r="AH47" s="178">
        <v>0.44500000000000001</v>
      </c>
      <c r="AI47" s="178">
        <v>-8888</v>
      </c>
      <c r="AJ47" s="178">
        <v>1.6E-2</v>
      </c>
      <c r="AK47" s="178">
        <v>1.9E-2</v>
      </c>
      <c r="AL47" s="178">
        <v>-8888</v>
      </c>
      <c r="AM47" s="178">
        <v>5.3999999999999999E-2</v>
      </c>
      <c r="AN47" s="178">
        <v>3.9E-2</v>
      </c>
      <c r="AO47" s="178">
        <v>-8888</v>
      </c>
      <c r="AP47" s="178">
        <v>2E-3</v>
      </c>
      <c r="AQ47" s="178">
        <v>4.0000000000000001E-3</v>
      </c>
      <c r="AR47" s="178">
        <v>8.0000000000000002E-3</v>
      </c>
      <c r="AS47" s="178">
        <v>1.7000000000000001E-2</v>
      </c>
      <c r="AT47" s="178">
        <v>-8888</v>
      </c>
      <c r="AU47" s="178">
        <v>-8888</v>
      </c>
      <c r="AV47" s="178">
        <v>0.57300000000000006</v>
      </c>
      <c r="AW47" s="178">
        <v>0.10700000000000001</v>
      </c>
      <c r="AX47" s="178">
        <v>0.159</v>
      </c>
      <c r="AY47" s="178">
        <v>0.7320000000000001</v>
      </c>
      <c r="AZ47" s="178">
        <v>0.26600000000000001</v>
      </c>
      <c r="BA47" s="178">
        <v>0.378</v>
      </c>
      <c r="BB47" s="178">
        <v>0.83899999999999997</v>
      </c>
      <c r="BC47" s="178">
        <v>0.222</v>
      </c>
      <c r="BD47" s="179">
        <v>0.82</v>
      </c>
      <c r="BE47" s="179">
        <v>0.6</v>
      </c>
      <c r="BF47" s="179">
        <v>0.4</v>
      </c>
      <c r="BG47" s="179">
        <v>2.15</v>
      </c>
      <c r="BH47" s="179">
        <v>0.13</v>
      </c>
      <c r="BI47" s="179">
        <v>0.87</v>
      </c>
      <c r="BJ47" s="179">
        <v>0.55000000000000004</v>
      </c>
      <c r="BK47" s="174"/>
      <c r="BL47" s="190" t="s">
        <v>576</v>
      </c>
      <c r="BM47" s="190"/>
    </row>
    <row r="48" spans="1:65" s="140" customFormat="1" ht="14.1" customHeight="1">
      <c r="A48" s="175" t="s">
        <v>341</v>
      </c>
      <c r="B48" s="266" t="s">
        <v>435</v>
      </c>
      <c r="C48" s="266" t="s">
        <v>476</v>
      </c>
      <c r="D48" s="266" t="s">
        <v>472</v>
      </c>
      <c r="E48" s="267" t="s">
        <v>269</v>
      </c>
      <c r="F48" s="267">
        <v>517</v>
      </c>
      <c r="G48" s="267">
        <v>3</v>
      </c>
      <c r="H48" s="267">
        <v>4</v>
      </c>
      <c r="I48" s="267">
        <v>34.799999999999997</v>
      </c>
      <c r="J48" s="267">
        <v>55</v>
      </c>
      <c r="K48" s="266" t="s">
        <v>570</v>
      </c>
      <c r="L48" s="267">
        <v>2018</v>
      </c>
      <c r="M48" s="267" t="s">
        <v>597</v>
      </c>
      <c r="N48" s="267">
        <v>4</v>
      </c>
      <c r="O48" s="267">
        <v>94</v>
      </c>
      <c r="P48" s="282" t="s">
        <v>600</v>
      </c>
      <c r="Q48" s="267">
        <v>-70.885000000000005</v>
      </c>
      <c r="R48" s="267">
        <v>40.863999999999997</v>
      </c>
      <c r="S48" s="267" t="s">
        <v>271</v>
      </c>
      <c r="T48" s="267">
        <v>25</v>
      </c>
      <c r="U48" s="266" t="s">
        <v>573</v>
      </c>
      <c r="V48" s="268">
        <v>4.5369999999999999</v>
      </c>
      <c r="W48" s="268">
        <v>-8888</v>
      </c>
      <c r="X48" s="268">
        <v>1.508</v>
      </c>
      <c r="Y48" s="178">
        <v>7.9000000000000001E-2</v>
      </c>
      <c r="Z48" s="178">
        <v>-8888</v>
      </c>
      <c r="AA48" s="178">
        <v>1.0999999999999999E-2</v>
      </c>
      <c r="AB48" s="178">
        <v>-8888</v>
      </c>
      <c r="AC48" s="178">
        <v>0.13200000000000001</v>
      </c>
      <c r="AD48" s="178">
        <v>-8888</v>
      </c>
      <c r="AE48" s="178">
        <v>1.1950000000000001</v>
      </c>
      <c r="AF48" s="178">
        <v>-8888</v>
      </c>
      <c r="AG48" s="178">
        <v>-8888</v>
      </c>
      <c r="AH48" s="178">
        <v>4.3490000000000002</v>
      </c>
      <c r="AI48" s="178">
        <v>-8888</v>
      </c>
      <c r="AJ48" s="178">
        <v>0.188</v>
      </c>
      <c r="AK48" s="178">
        <v>-8888</v>
      </c>
      <c r="AL48" s="178">
        <v>-8888</v>
      </c>
      <c r="AM48" s="178">
        <v>0.59099999999999997</v>
      </c>
      <c r="AN48" s="178">
        <v>0.91700000000000004</v>
      </c>
      <c r="AO48" s="178">
        <v>-8888</v>
      </c>
      <c r="AP48" s="178">
        <v>7.0000000000000001E-3</v>
      </c>
      <c r="AQ48" s="178">
        <v>-8888</v>
      </c>
      <c r="AR48" s="178">
        <v>6.3E-2</v>
      </c>
      <c r="AS48" s="178">
        <v>8.7999999999999995E-2</v>
      </c>
      <c r="AT48" s="178">
        <v>-8888</v>
      </c>
      <c r="AU48" s="178">
        <v>-8888</v>
      </c>
      <c r="AV48" s="178">
        <v>6.0449999999999999</v>
      </c>
      <c r="AW48" s="178">
        <v>0.21100000000000002</v>
      </c>
      <c r="AX48" s="178">
        <v>1.206</v>
      </c>
      <c r="AY48" s="178">
        <v>7.2509999999999994</v>
      </c>
      <c r="AZ48" s="178">
        <v>1.417</v>
      </c>
      <c r="BA48" s="178">
        <v>2.9249999999999998</v>
      </c>
      <c r="BB48" s="178">
        <v>7.4619999999999997</v>
      </c>
      <c r="BC48" s="178">
        <v>1.206</v>
      </c>
      <c r="BD48" s="179">
        <v>0.64</v>
      </c>
      <c r="BE48" s="179">
        <v>0.85</v>
      </c>
      <c r="BF48" s="179">
        <v>0.15</v>
      </c>
      <c r="BG48" s="179">
        <v>4.2699999999999996</v>
      </c>
      <c r="BH48" s="179">
        <v>0.03</v>
      </c>
      <c r="BI48" s="179">
        <v>0.97</v>
      </c>
      <c r="BJ48" s="179">
        <v>0.61</v>
      </c>
      <c r="BK48" s="174"/>
      <c r="BL48" s="190" t="s">
        <v>578</v>
      </c>
      <c r="BM48" s="190"/>
    </row>
    <row r="49" spans="1:65" s="140" customFormat="1" ht="14.1" customHeight="1">
      <c r="A49" s="175" t="s">
        <v>342</v>
      </c>
      <c r="B49" s="266" t="s">
        <v>435</v>
      </c>
      <c r="C49" s="266" t="s">
        <v>477</v>
      </c>
      <c r="D49" s="266" t="s">
        <v>472</v>
      </c>
      <c r="E49" s="267" t="s">
        <v>269</v>
      </c>
      <c r="F49" s="267">
        <v>525</v>
      </c>
      <c r="G49" s="267">
        <v>3</v>
      </c>
      <c r="H49" s="267">
        <v>9</v>
      </c>
      <c r="I49" s="267">
        <v>2</v>
      </c>
      <c r="J49" s="267">
        <v>55</v>
      </c>
      <c r="K49" s="266" t="s">
        <v>570</v>
      </c>
      <c r="L49" s="267">
        <v>2018</v>
      </c>
      <c r="M49" s="267" t="s">
        <v>597</v>
      </c>
      <c r="N49" s="267">
        <v>4</v>
      </c>
      <c r="O49" s="267">
        <v>94</v>
      </c>
      <c r="P49" s="282" t="s">
        <v>600</v>
      </c>
      <c r="Q49" s="267">
        <v>-70.885000000000005</v>
      </c>
      <c r="R49" s="267">
        <v>40.863999999999997</v>
      </c>
      <c r="S49" s="267" t="s">
        <v>271</v>
      </c>
      <c r="T49" s="267">
        <v>25</v>
      </c>
      <c r="U49" s="266" t="s">
        <v>573</v>
      </c>
      <c r="V49" s="268">
        <v>0.93300000000000005</v>
      </c>
      <c r="W49" s="268">
        <v>1.4E-2</v>
      </c>
      <c r="X49" s="268">
        <v>0.21100000000000002</v>
      </c>
      <c r="Y49" s="178">
        <v>2.4E-2</v>
      </c>
      <c r="Z49" s="178">
        <v>3.0000000000000001E-3</v>
      </c>
      <c r="AA49" s="178">
        <v>8.9999999999999993E-3</v>
      </c>
      <c r="AB49" s="178">
        <v>3.4000000000000002E-2</v>
      </c>
      <c r="AC49" s="178">
        <v>3.5999999999999997E-2</v>
      </c>
      <c r="AD49" s="178">
        <v>3.0000000000000001E-3</v>
      </c>
      <c r="AE49" s="178">
        <v>0.188</v>
      </c>
      <c r="AF49" s="178">
        <v>2.1999999999999999E-2</v>
      </c>
      <c r="AG49" s="178">
        <v>5.0000000000000001E-3</v>
      </c>
      <c r="AH49" s="178">
        <v>0.90400000000000003</v>
      </c>
      <c r="AI49" s="178">
        <v>-8888</v>
      </c>
      <c r="AJ49" s="178">
        <v>2.9000000000000001E-2</v>
      </c>
      <c r="AK49" s="178">
        <v>1.4E-2</v>
      </c>
      <c r="AL49" s="178">
        <v>-8888</v>
      </c>
      <c r="AM49" s="178">
        <v>0.114</v>
      </c>
      <c r="AN49" s="178">
        <v>9.7000000000000003E-2</v>
      </c>
      <c r="AO49" s="178">
        <v>-8888</v>
      </c>
      <c r="AP49" s="178">
        <v>-8888</v>
      </c>
      <c r="AQ49" s="178">
        <v>2E-3</v>
      </c>
      <c r="AR49" s="178">
        <v>1.2999999999999999E-2</v>
      </c>
      <c r="AS49" s="178">
        <v>1.7999999999999999E-2</v>
      </c>
      <c r="AT49" s="178">
        <v>-8888</v>
      </c>
      <c r="AU49" s="178">
        <v>-8888</v>
      </c>
      <c r="AV49" s="178">
        <v>1.1580000000000001</v>
      </c>
      <c r="AW49" s="178">
        <v>0.10200000000000001</v>
      </c>
      <c r="AX49" s="178">
        <v>0.222</v>
      </c>
      <c r="AY49" s="178">
        <v>1.3800000000000001</v>
      </c>
      <c r="AZ49" s="178">
        <v>0.32400000000000001</v>
      </c>
      <c r="BA49" s="178">
        <v>0.54900000000000004</v>
      </c>
      <c r="BB49" s="178">
        <v>1.4820000000000002</v>
      </c>
      <c r="BC49" s="178">
        <v>0.27500000000000002</v>
      </c>
      <c r="BD49" s="179">
        <v>0.59</v>
      </c>
      <c r="BE49" s="179">
        <v>0.69</v>
      </c>
      <c r="BF49" s="179">
        <v>0.31</v>
      </c>
      <c r="BG49" s="179">
        <v>3.57</v>
      </c>
      <c r="BH49" s="179">
        <v>7.0000000000000007E-2</v>
      </c>
      <c r="BI49" s="179">
        <v>0.93</v>
      </c>
      <c r="BJ49" s="179">
        <v>0.63</v>
      </c>
      <c r="BK49" s="174"/>
      <c r="BL49" s="190" t="s">
        <v>578</v>
      </c>
      <c r="BM49" s="190"/>
    </row>
    <row r="50" spans="1:65" s="140" customFormat="1" ht="14.1" customHeight="1">
      <c r="A50" s="175" t="s">
        <v>343</v>
      </c>
      <c r="B50" s="266" t="s">
        <v>435</v>
      </c>
      <c r="C50" s="266" t="s">
        <v>478</v>
      </c>
      <c r="D50" s="266" t="s">
        <v>472</v>
      </c>
      <c r="E50" s="267" t="s">
        <v>269</v>
      </c>
      <c r="F50" s="269">
        <v>315</v>
      </c>
      <c r="G50" s="267">
        <v>4</v>
      </c>
      <c r="H50" s="267">
        <v>3</v>
      </c>
      <c r="I50" s="267">
        <v>44.1</v>
      </c>
      <c r="J50" s="267">
        <v>66</v>
      </c>
      <c r="K50" s="266" t="s">
        <v>570</v>
      </c>
      <c r="L50" s="267">
        <v>2018</v>
      </c>
      <c r="M50" s="267" t="s">
        <v>597</v>
      </c>
      <c r="N50" s="267">
        <v>4</v>
      </c>
      <c r="O50" s="267">
        <v>94</v>
      </c>
      <c r="P50" s="282" t="s">
        <v>601</v>
      </c>
      <c r="Q50" s="267">
        <v>-70.882999999999996</v>
      </c>
      <c r="R50" s="267">
        <v>40.697000000000003</v>
      </c>
      <c r="S50" s="267" t="s">
        <v>271</v>
      </c>
      <c r="T50" s="267">
        <v>25</v>
      </c>
      <c r="U50" s="266" t="s">
        <v>573</v>
      </c>
      <c r="V50" s="268">
        <v>3.4139999999999997</v>
      </c>
      <c r="W50" s="268">
        <v>-8888</v>
      </c>
      <c r="X50" s="268">
        <v>1.1519999999999999</v>
      </c>
      <c r="Y50" s="178">
        <v>7.3999999999999996E-2</v>
      </c>
      <c r="Z50" s="178">
        <v>5.0000000000000001E-3</v>
      </c>
      <c r="AA50" s="178">
        <v>1.2999999999999999E-2</v>
      </c>
      <c r="AB50" s="178">
        <v>-8888</v>
      </c>
      <c r="AC50" s="178">
        <v>0.111</v>
      </c>
      <c r="AD50" s="178">
        <v>4.0000000000000001E-3</v>
      </c>
      <c r="AE50" s="178">
        <v>1.0660000000000001</v>
      </c>
      <c r="AF50" s="178">
        <v>-8888</v>
      </c>
      <c r="AG50" s="178">
        <v>-8888</v>
      </c>
      <c r="AH50" s="178">
        <v>3.2919999999999998</v>
      </c>
      <c r="AI50" s="178">
        <v>-8888</v>
      </c>
      <c r="AJ50" s="178">
        <v>0.122</v>
      </c>
      <c r="AK50" s="178">
        <v>-8888</v>
      </c>
      <c r="AL50" s="178">
        <v>-8888</v>
      </c>
      <c r="AM50" s="178">
        <v>0.44900000000000001</v>
      </c>
      <c r="AN50" s="178">
        <v>0.70299999999999996</v>
      </c>
      <c r="AO50" s="178">
        <v>-8888</v>
      </c>
      <c r="AP50" s="178">
        <v>-8888</v>
      </c>
      <c r="AQ50" s="178">
        <v>2E-3</v>
      </c>
      <c r="AR50" s="178">
        <v>5.2999999999999999E-2</v>
      </c>
      <c r="AS50" s="178">
        <v>0.182</v>
      </c>
      <c r="AT50" s="178">
        <v>-8888</v>
      </c>
      <c r="AU50" s="178">
        <v>-8888</v>
      </c>
      <c r="AV50" s="178">
        <v>4.5659999999999998</v>
      </c>
      <c r="AW50" s="178">
        <v>0.189</v>
      </c>
      <c r="AX50" s="178">
        <v>1.0839999999999999</v>
      </c>
      <c r="AY50" s="178">
        <v>5.6499999999999995</v>
      </c>
      <c r="AZ50" s="178">
        <v>1.2729999999999999</v>
      </c>
      <c r="BA50" s="178">
        <v>2.4249999999999998</v>
      </c>
      <c r="BB50" s="178">
        <v>5.8389999999999995</v>
      </c>
      <c r="BC50" s="178">
        <v>1.0839999999999999</v>
      </c>
      <c r="BD50" s="179">
        <v>0.71</v>
      </c>
      <c r="BE50" s="179">
        <v>0.85</v>
      </c>
      <c r="BF50" s="179">
        <v>0.15</v>
      </c>
      <c r="BG50" s="179">
        <v>3.59</v>
      </c>
      <c r="BH50" s="179">
        <v>0.03</v>
      </c>
      <c r="BI50" s="179">
        <v>0.97</v>
      </c>
      <c r="BJ50" s="179">
        <v>0.57999999999999996</v>
      </c>
      <c r="BK50" s="174"/>
      <c r="BL50" s="190" t="s">
        <v>580</v>
      </c>
      <c r="BM50" s="190" t="s">
        <v>602</v>
      </c>
    </row>
    <row r="51" spans="1:65" s="140" customFormat="1" ht="14.1" customHeight="1">
      <c r="A51" s="175" t="s">
        <v>344</v>
      </c>
      <c r="B51" s="266" t="s">
        <v>435</v>
      </c>
      <c r="C51" s="266" t="s">
        <v>479</v>
      </c>
      <c r="D51" s="266" t="s">
        <v>472</v>
      </c>
      <c r="E51" s="267" t="s">
        <v>269</v>
      </c>
      <c r="F51" s="267">
        <v>535</v>
      </c>
      <c r="G51" s="267">
        <v>4</v>
      </c>
      <c r="H51" s="267">
        <v>10</v>
      </c>
      <c r="I51" s="267">
        <v>3.1</v>
      </c>
      <c r="J51" s="267">
        <v>66</v>
      </c>
      <c r="K51" s="266" t="s">
        <v>570</v>
      </c>
      <c r="L51" s="267">
        <v>2018</v>
      </c>
      <c r="M51" s="267" t="s">
        <v>597</v>
      </c>
      <c r="N51" s="267">
        <v>4</v>
      </c>
      <c r="O51" s="267">
        <v>94</v>
      </c>
      <c r="P51" s="282" t="s">
        <v>601</v>
      </c>
      <c r="Q51" s="267">
        <v>-70.882999999999996</v>
      </c>
      <c r="R51" s="267">
        <v>40.697000000000003</v>
      </c>
      <c r="S51" s="267" t="s">
        <v>271</v>
      </c>
      <c r="T51" s="267">
        <v>25</v>
      </c>
      <c r="U51" s="266" t="s">
        <v>573</v>
      </c>
      <c r="V51" s="268">
        <v>1.952</v>
      </c>
      <c r="W51" s="268">
        <v>8.0000000000000002E-3</v>
      </c>
      <c r="X51" s="268">
        <v>0.48</v>
      </c>
      <c r="Y51" s="178">
        <v>4.7E-2</v>
      </c>
      <c r="Z51" s="178">
        <v>6.0000000000000001E-3</v>
      </c>
      <c r="AA51" s="178">
        <v>1.4999999999999999E-2</v>
      </c>
      <c r="AB51" s="178">
        <v>5.8999999999999997E-2</v>
      </c>
      <c r="AC51" s="178">
        <v>5.8999999999999997E-2</v>
      </c>
      <c r="AD51" s="178">
        <v>-8888</v>
      </c>
      <c r="AE51" s="178">
        <v>0.44</v>
      </c>
      <c r="AF51" s="178">
        <v>2.1000000000000001E-2</v>
      </c>
      <c r="AG51" s="178">
        <v>2E-3</v>
      </c>
      <c r="AH51" s="178">
        <v>1.9059999999999999</v>
      </c>
      <c r="AI51" s="178">
        <v>-8888</v>
      </c>
      <c r="AJ51" s="178">
        <v>4.5999999999999999E-2</v>
      </c>
      <c r="AK51" s="178">
        <v>8.0000000000000002E-3</v>
      </c>
      <c r="AL51" s="178">
        <v>-8888</v>
      </c>
      <c r="AM51" s="178">
        <v>0.24099999999999999</v>
      </c>
      <c r="AN51" s="178">
        <v>0.23899999999999999</v>
      </c>
      <c r="AO51" s="178">
        <v>-8888</v>
      </c>
      <c r="AP51" s="178">
        <v>-8888</v>
      </c>
      <c r="AQ51" s="178">
        <v>1E-3</v>
      </c>
      <c r="AR51" s="178">
        <v>2.1999999999999999E-2</v>
      </c>
      <c r="AS51" s="178">
        <v>4.2999999999999997E-2</v>
      </c>
      <c r="AT51" s="178">
        <v>-8888</v>
      </c>
      <c r="AU51" s="178">
        <v>-8888</v>
      </c>
      <c r="AV51" s="178">
        <v>2.44</v>
      </c>
      <c r="AW51" s="178">
        <v>0.16699999999999998</v>
      </c>
      <c r="AX51" s="178">
        <v>0.48200000000000004</v>
      </c>
      <c r="AY51" s="178">
        <v>2.9220000000000002</v>
      </c>
      <c r="AZ51" s="178">
        <v>0.64900000000000002</v>
      </c>
      <c r="BA51" s="178">
        <v>1.137</v>
      </c>
      <c r="BB51" s="178">
        <v>3.089</v>
      </c>
      <c r="BC51" s="178">
        <v>0.55100000000000005</v>
      </c>
      <c r="BD51" s="179">
        <v>0.57999999999999996</v>
      </c>
      <c r="BE51" s="179">
        <v>0.74</v>
      </c>
      <c r="BF51" s="179">
        <v>0.26</v>
      </c>
      <c r="BG51" s="179">
        <v>3.76</v>
      </c>
      <c r="BH51" s="179">
        <v>0.05</v>
      </c>
      <c r="BI51" s="179">
        <v>0.95</v>
      </c>
      <c r="BJ51" s="179">
        <v>0.63</v>
      </c>
      <c r="BK51" s="174"/>
      <c r="BL51" s="190" t="s">
        <v>580</v>
      </c>
      <c r="BM51" s="190"/>
    </row>
    <row r="52" spans="1:65" s="140" customFormat="1" ht="14.1" customHeight="1">
      <c r="A52" s="175" t="s">
        <v>345</v>
      </c>
      <c r="B52" s="266" t="s">
        <v>435</v>
      </c>
      <c r="C52" s="266" t="s">
        <v>480</v>
      </c>
      <c r="D52" s="266" t="s">
        <v>472</v>
      </c>
      <c r="E52" s="267" t="s">
        <v>269</v>
      </c>
      <c r="F52" s="267">
        <v>547</v>
      </c>
      <c r="G52" s="267">
        <v>5</v>
      </c>
      <c r="H52" s="267">
        <v>7</v>
      </c>
      <c r="I52" s="267">
        <v>15</v>
      </c>
      <c r="J52" s="267">
        <v>76</v>
      </c>
      <c r="K52" s="266" t="s">
        <v>570</v>
      </c>
      <c r="L52" s="267">
        <v>2018</v>
      </c>
      <c r="M52" s="267" t="s">
        <v>597</v>
      </c>
      <c r="N52" s="267">
        <v>4</v>
      </c>
      <c r="O52" s="267">
        <v>94</v>
      </c>
      <c r="P52" s="282" t="s">
        <v>603</v>
      </c>
      <c r="Q52" s="267">
        <v>-70.882999999999996</v>
      </c>
      <c r="R52" s="267">
        <v>40.53</v>
      </c>
      <c r="S52" s="267" t="s">
        <v>271</v>
      </c>
      <c r="T52" s="267">
        <v>25</v>
      </c>
      <c r="U52" s="266" t="s">
        <v>573</v>
      </c>
      <c r="V52" s="268">
        <v>1.2989999999999999</v>
      </c>
      <c r="W52" s="268">
        <v>3.5000000000000003E-2</v>
      </c>
      <c r="X52" s="268">
        <v>0.255</v>
      </c>
      <c r="Y52" s="178">
        <v>4.1000000000000002E-2</v>
      </c>
      <c r="Z52" s="178">
        <v>-8888</v>
      </c>
      <c r="AA52" s="178">
        <v>2.1000000000000001E-2</v>
      </c>
      <c r="AB52" s="178">
        <v>4.3999999999999997E-2</v>
      </c>
      <c r="AC52" s="178">
        <v>6.0999999999999999E-2</v>
      </c>
      <c r="AD52" s="178">
        <v>-8888</v>
      </c>
      <c r="AE52" s="178">
        <v>0.40899999999999997</v>
      </c>
      <c r="AF52" s="178">
        <v>2.3E-2</v>
      </c>
      <c r="AG52" s="178">
        <v>-8888</v>
      </c>
      <c r="AH52" s="178">
        <v>1.2849999999999999</v>
      </c>
      <c r="AI52" s="178">
        <v>-8888</v>
      </c>
      <c r="AJ52" s="178">
        <v>1.4E-2</v>
      </c>
      <c r="AK52" s="178">
        <v>3.5000000000000003E-2</v>
      </c>
      <c r="AL52" s="178">
        <v>-8888</v>
      </c>
      <c r="AM52" s="178">
        <v>0.155</v>
      </c>
      <c r="AN52" s="178">
        <v>0.1</v>
      </c>
      <c r="AO52" s="178">
        <v>-8888</v>
      </c>
      <c r="AP52" s="178">
        <v>3.0000000000000001E-3</v>
      </c>
      <c r="AQ52" s="178">
        <v>3.0000000000000001E-3</v>
      </c>
      <c r="AR52" s="178">
        <v>1.4E-2</v>
      </c>
      <c r="AS52" s="178">
        <v>3.1E-2</v>
      </c>
      <c r="AT52" s="178">
        <v>-8888</v>
      </c>
      <c r="AU52" s="178">
        <v>-8888</v>
      </c>
      <c r="AV52" s="178">
        <v>1.589</v>
      </c>
      <c r="AW52" s="178">
        <v>0.14599999999999999</v>
      </c>
      <c r="AX52" s="178">
        <v>0.45300000000000001</v>
      </c>
      <c r="AY52" s="178">
        <v>2.0419999999999998</v>
      </c>
      <c r="AZ52" s="178">
        <v>0.59899999999999998</v>
      </c>
      <c r="BA52" s="178">
        <v>0.88900000000000001</v>
      </c>
      <c r="BB52" s="178">
        <v>2.1879999999999997</v>
      </c>
      <c r="BC52" s="178">
        <v>0.53200000000000003</v>
      </c>
      <c r="BD52" s="179">
        <v>0.68</v>
      </c>
      <c r="BE52" s="179">
        <v>0.76</v>
      </c>
      <c r="BF52" s="179">
        <v>0.24</v>
      </c>
      <c r="BG52" s="179">
        <v>2.65</v>
      </c>
      <c r="BH52" s="179">
        <v>7.0000000000000007E-2</v>
      </c>
      <c r="BI52" s="179">
        <v>0.93</v>
      </c>
      <c r="BJ52" s="179">
        <v>0.59</v>
      </c>
      <c r="BK52" s="174"/>
      <c r="BL52" s="190" t="s">
        <v>582</v>
      </c>
      <c r="BM52" s="190"/>
    </row>
    <row r="53" spans="1:65" s="140" customFormat="1" ht="14.1" customHeight="1">
      <c r="A53" s="175" t="s">
        <v>346</v>
      </c>
      <c r="B53" s="266" t="s">
        <v>435</v>
      </c>
      <c r="C53" s="266" t="s">
        <v>481</v>
      </c>
      <c r="D53" s="266" t="s">
        <v>472</v>
      </c>
      <c r="E53" s="267" t="s">
        <v>269</v>
      </c>
      <c r="F53" s="267">
        <v>535</v>
      </c>
      <c r="G53" s="267">
        <v>5</v>
      </c>
      <c r="H53" s="267">
        <v>10</v>
      </c>
      <c r="I53" s="267">
        <v>2.5</v>
      </c>
      <c r="J53" s="267">
        <v>76</v>
      </c>
      <c r="K53" s="266" t="s">
        <v>570</v>
      </c>
      <c r="L53" s="267">
        <v>2018</v>
      </c>
      <c r="M53" s="267" t="s">
        <v>597</v>
      </c>
      <c r="N53" s="267">
        <v>4</v>
      </c>
      <c r="O53" s="267">
        <v>94</v>
      </c>
      <c r="P53" s="282" t="s">
        <v>603</v>
      </c>
      <c r="Q53" s="267">
        <v>-70.882999999999996</v>
      </c>
      <c r="R53" s="267">
        <v>40.53</v>
      </c>
      <c r="S53" s="267" t="s">
        <v>271</v>
      </c>
      <c r="T53" s="267">
        <v>25</v>
      </c>
      <c r="U53" s="266" t="s">
        <v>573</v>
      </c>
      <c r="V53" s="268">
        <v>1.19</v>
      </c>
      <c r="W53" s="268">
        <v>3.5000000000000003E-2</v>
      </c>
      <c r="X53" s="268">
        <v>0.22200000000000003</v>
      </c>
      <c r="Y53" s="178">
        <v>3.7999999999999999E-2</v>
      </c>
      <c r="Z53" s="178">
        <v>-8888</v>
      </c>
      <c r="AA53" s="178">
        <v>2.1000000000000001E-2</v>
      </c>
      <c r="AB53" s="178">
        <v>3.6999999999999998E-2</v>
      </c>
      <c r="AC53" s="178">
        <v>6.0999999999999999E-2</v>
      </c>
      <c r="AD53" s="178">
        <v>-8888</v>
      </c>
      <c r="AE53" s="178">
        <v>0.41299999999999998</v>
      </c>
      <c r="AF53" s="178">
        <v>1.7999999999999999E-2</v>
      </c>
      <c r="AG53" s="178">
        <v>-8888</v>
      </c>
      <c r="AH53" s="178">
        <v>1.1759999999999999</v>
      </c>
      <c r="AI53" s="178">
        <v>-8888</v>
      </c>
      <c r="AJ53" s="178">
        <v>1.4E-2</v>
      </c>
      <c r="AK53" s="178">
        <v>3.5000000000000003E-2</v>
      </c>
      <c r="AL53" s="178">
        <v>-8888</v>
      </c>
      <c r="AM53" s="178">
        <v>0.13800000000000001</v>
      </c>
      <c r="AN53" s="178">
        <v>8.4000000000000005E-2</v>
      </c>
      <c r="AO53" s="178">
        <v>-8888</v>
      </c>
      <c r="AP53" s="178">
        <v>4.0000000000000001E-3</v>
      </c>
      <c r="AQ53" s="178">
        <v>3.0000000000000001E-3</v>
      </c>
      <c r="AR53" s="178">
        <v>1.4E-2</v>
      </c>
      <c r="AS53" s="178">
        <v>4.1000000000000002E-2</v>
      </c>
      <c r="AT53" s="178">
        <v>-8888</v>
      </c>
      <c r="AU53" s="178">
        <v>-8888</v>
      </c>
      <c r="AV53" s="178">
        <v>1.4469999999999998</v>
      </c>
      <c r="AW53" s="178">
        <v>0.13600000000000001</v>
      </c>
      <c r="AX53" s="178">
        <v>0.45200000000000001</v>
      </c>
      <c r="AY53" s="178">
        <v>1.8989999999999998</v>
      </c>
      <c r="AZ53" s="178">
        <v>0.58800000000000008</v>
      </c>
      <c r="BA53" s="178">
        <v>0.8450000000000002</v>
      </c>
      <c r="BB53" s="178">
        <v>2.0350000000000001</v>
      </c>
      <c r="BC53" s="178">
        <v>0.52400000000000002</v>
      </c>
      <c r="BD53" s="179">
        <v>0.71</v>
      </c>
      <c r="BE53" s="179">
        <v>0.77</v>
      </c>
      <c r="BF53" s="179">
        <v>0.23</v>
      </c>
      <c r="BG53" s="179">
        <v>2.46</v>
      </c>
      <c r="BH53" s="179">
        <v>7.0000000000000007E-2</v>
      </c>
      <c r="BI53" s="179">
        <v>0.93</v>
      </c>
      <c r="BJ53" s="179">
        <v>0.57999999999999996</v>
      </c>
      <c r="BK53" s="174"/>
      <c r="BL53" s="190" t="s">
        <v>582</v>
      </c>
      <c r="BM53" s="190"/>
    </row>
    <row r="54" spans="1:65" s="140" customFormat="1" ht="14.1" customHeight="1">
      <c r="A54" s="175" t="s">
        <v>347</v>
      </c>
      <c r="B54" s="266" t="s">
        <v>435</v>
      </c>
      <c r="C54" s="266" t="s">
        <v>482</v>
      </c>
      <c r="D54" s="266" t="s">
        <v>472</v>
      </c>
      <c r="E54" s="267" t="s">
        <v>269</v>
      </c>
      <c r="F54" s="267">
        <v>1060</v>
      </c>
      <c r="G54" s="267">
        <v>10</v>
      </c>
      <c r="H54" s="267">
        <v>12</v>
      </c>
      <c r="I54" s="267">
        <v>28.1</v>
      </c>
      <c r="J54" s="267">
        <v>449</v>
      </c>
      <c r="K54" s="266" t="s">
        <v>570</v>
      </c>
      <c r="L54" s="267">
        <v>2018</v>
      </c>
      <c r="M54" s="267" t="s">
        <v>597</v>
      </c>
      <c r="N54" s="267">
        <v>9</v>
      </c>
      <c r="O54" s="267">
        <v>99</v>
      </c>
      <c r="P54" s="282" t="s">
        <v>604</v>
      </c>
      <c r="Q54" s="267">
        <v>-70.882000000000005</v>
      </c>
      <c r="R54" s="267">
        <v>39.94</v>
      </c>
      <c r="S54" s="267" t="s">
        <v>271</v>
      </c>
      <c r="T54" s="267">
        <v>25</v>
      </c>
      <c r="U54" s="266" t="s">
        <v>573</v>
      </c>
      <c r="V54" s="268">
        <v>0.81</v>
      </c>
      <c r="W54" s="268">
        <v>0.104</v>
      </c>
      <c r="X54" s="268">
        <v>0.14300000000000002</v>
      </c>
      <c r="Y54" s="178">
        <v>2.8000000000000001E-2</v>
      </c>
      <c r="Z54" s="178">
        <v>1.7999999999999999E-2</v>
      </c>
      <c r="AA54" s="178">
        <v>7.3999999999999996E-2</v>
      </c>
      <c r="AB54" s="178">
        <v>2.3E-2</v>
      </c>
      <c r="AC54" s="178">
        <v>2.3E-2</v>
      </c>
      <c r="AD54" s="178">
        <v>-8888</v>
      </c>
      <c r="AE54" s="178">
        <v>0.20399999999999999</v>
      </c>
      <c r="AF54" s="178">
        <v>7.0000000000000001E-3</v>
      </c>
      <c r="AG54" s="178">
        <v>6.0000000000000001E-3</v>
      </c>
      <c r="AH54" s="178">
        <v>0.8</v>
      </c>
      <c r="AI54" s="178">
        <v>-8888</v>
      </c>
      <c r="AJ54" s="178">
        <v>0.01</v>
      </c>
      <c r="AK54" s="178">
        <v>0.104</v>
      </c>
      <c r="AL54" s="178">
        <v>-8888</v>
      </c>
      <c r="AM54" s="178">
        <v>9.4E-2</v>
      </c>
      <c r="AN54" s="178">
        <v>4.9000000000000002E-2</v>
      </c>
      <c r="AO54" s="178">
        <v>-8888</v>
      </c>
      <c r="AP54" s="178">
        <v>1.0999999999999999E-2</v>
      </c>
      <c r="AQ54" s="178">
        <v>0.01</v>
      </c>
      <c r="AR54" s="178">
        <v>1.6E-2</v>
      </c>
      <c r="AS54" s="178">
        <v>3.3000000000000002E-2</v>
      </c>
      <c r="AT54" s="178">
        <v>3.1E-2</v>
      </c>
      <c r="AU54" s="178">
        <v>-8888</v>
      </c>
      <c r="AV54" s="178">
        <v>1.0569999999999999</v>
      </c>
      <c r="AW54" s="178">
        <v>0.08</v>
      </c>
      <c r="AX54" s="178">
        <v>0.30299999999999999</v>
      </c>
      <c r="AY54" s="178">
        <v>1.3599999999999999</v>
      </c>
      <c r="AZ54" s="178">
        <v>0.38300000000000001</v>
      </c>
      <c r="BA54" s="178">
        <v>0.63</v>
      </c>
      <c r="BB54" s="178">
        <v>1.44</v>
      </c>
      <c r="BC54" s="178">
        <v>0.436</v>
      </c>
      <c r="BD54" s="179">
        <v>0.78</v>
      </c>
      <c r="BE54" s="179">
        <v>0.79</v>
      </c>
      <c r="BF54" s="179">
        <v>0.21</v>
      </c>
      <c r="BG54" s="179">
        <v>2.76</v>
      </c>
      <c r="BH54" s="179">
        <v>0.06</v>
      </c>
      <c r="BI54" s="179">
        <v>0.94</v>
      </c>
      <c r="BJ54" s="179">
        <v>0.56000000000000005</v>
      </c>
      <c r="BK54" s="174"/>
      <c r="BL54" s="190" t="s">
        <v>605</v>
      </c>
      <c r="BM54" s="190"/>
    </row>
    <row r="55" spans="1:65" s="140" customFormat="1" ht="14.1" customHeight="1">
      <c r="A55" s="175" t="s">
        <v>348</v>
      </c>
      <c r="B55" s="266" t="s">
        <v>435</v>
      </c>
      <c r="C55" s="266" t="s">
        <v>483</v>
      </c>
      <c r="D55" s="266" t="s">
        <v>472</v>
      </c>
      <c r="E55" s="267" t="s">
        <v>269</v>
      </c>
      <c r="F55" s="267">
        <v>1057</v>
      </c>
      <c r="G55" s="267">
        <v>10</v>
      </c>
      <c r="H55" s="267">
        <v>16</v>
      </c>
      <c r="I55" s="267">
        <v>3.8</v>
      </c>
      <c r="J55" s="267">
        <v>449</v>
      </c>
      <c r="K55" s="266" t="s">
        <v>570</v>
      </c>
      <c r="L55" s="267">
        <v>2018</v>
      </c>
      <c r="M55" s="267" t="s">
        <v>597</v>
      </c>
      <c r="N55" s="267">
        <v>9</v>
      </c>
      <c r="O55" s="267">
        <v>99</v>
      </c>
      <c r="P55" s="282" t="s">
        <v>604</v>
      </c>
      <c r="Q55" s="267">
        <v>-70.882000000000005</v>
      </c>
      <c r="R55" s="267">
        <v>39.94</v>
      </c>
      <c r="S55" s="267" t="s">
        <v>271</v>
      </c>
      <c r="T55" s="267">
        <v>25</v>
      </c>
      <c r="U55" s="266" t="s">
        <v>573</v>
      </c>
      <c r="V55" s="268">
        <v>0.86</v>
      </c>
      <c r="W55" s="268">
        <v>0.109</v>
      </c>
      <c r="X55" s="268">
        <v>0.14400000000000002</v>
      </c>
      <c r="Y55" s="178">
        <v>3.2000000000000001E-2</v>
      </c>
      <c r="Z55" s="178">
        <v>1.7999999999999999E-2</v>
      </c>
      <c r="AA55" s="178">
        <v>7.3999999999999996E-2</v>
      </c>
      <c r="AB55" s="178">
        <v>3.9E-2</v>
      </c>
      <c r="AC55" s="178">
        <v>4.3999999999999997E-2</v>
      </c>
      <c r="AD55" s="178">
        <v>4.0000000000000001E-3</v>
      </c>
      <c r="AE55" s="178">
        <v>0.189</v>
      </c>
      <c r="AF55" s="178">
        <v>1.4E-2</v>
      </c>
      <c r="AG55" s="178">
        <v>7.0000000000000001E-3</v>
      </c>
      <c r="AH55" s="178">
        <v>0.84799999999999998</v>
      </c>
      <c r="AI55" s="178">
        <v>-8888</v>
      </c>
      <c r="AJ55" s="178">
        <v>1.2E-2</v>
      </c>
      <c r="AK55" s="178">
        <v>0.109</v>
      </c>
      <c r="AL55" s="178">
        <v>-8888</v>
      </c>
      <c r="AM55" s="178">
        <v>9.7000000000000003E-2</v>
      </c>
      <c r="AN55" s="178">
        <v>4.7E-2</v>
      </c>
      <c r="AO55" s="178">
        <v>3.0000000000000001E-3</v>
      </c>
      <c r="AP55" s="178">
        <v>1.2E-2</v>
      </c>
      <c r="AQ55" s="178">
        <v>1.2999999999999999E-2</v>
      </c>
      <c r="AR55" s="178">
        <v>1.2E-2</v>
      </c>
      <c r="AS55" s="178">
        <v>3.4000000000000002E-2</v>
      </c>
      <c r="AT55" s="178">
        <v>3.4000000000000002E-2</v>
      </c>
      <c r="AU55" s="178">
        <v>-8888</v>
      </c>
      <c r="AV55" s="178">
        <v>1.113</v>
      </c>
      <c r="AW55" s="178">
        <v>0.126</v>
      </c>
      <c r="AX55" s="178">
        <v>0.29499999999999998</v>
      </c>
      <c r="AY55" s="178">
        <v>1.4079999999999999</v>
      </c>
      <c r="AZ55" s="178">
        <v>0.42099999999999999</v>
      </c>
      <c r="BA55" s="178">
        <v>0.67400000000000004</v>
      </c>
      <c r="BB55" s="178">
        <v>1.534</v>
      </c>
      <c r="BC55" s="178">
        <v>0.44999999999999996</v>
      </c>
      <c r="BD55" s="179">
        <v>0.78</v>
      </c>
      <c r="BE55" s="179">
        <v>0.7</v>
      </c>
      <c r="BF55" s="179">
        <v>0.3</v>
      </c>
      <c r="BG55" s="179">
        <v>2.64</v>
      </c>
      <c r="BH55" s="179">
        <v>0.08</v>
      </c>
      <c r="BI55" s="179">
        <v>0.92</v>
      </c>
      <c r="BJ55" s="179">
        <v>0.56000000000000005</v>
      </c>
      <c r="BK55" s="174"/>
      <c r="BL55" s="190" t="s">
        <v>605</v>
      </c>
      <c r="BM55" s="190"/>
    </row>
    <row r="56" spans="1:65" s="140" customFormat="1" ht="14.1" customHeight="1">
      <c r="A56" s="175" t="s">
        <v>349</v>
      </c>
      <c r="B56" s="266" t="s">
        <v>435</v>
      </c>
      <c r="C56" s="266" t="s">
        <v>484</v>
      </c>
      <c r="D56" s="266" t="s">
        <v>472</v>
      </c>
      <c r="E56" s="267" t="s">
        <v>269</v>
      </c>
      <c r="F56" s="267">
        <v>1060</v>
      </c>
      <c r="G56" s="267">
        <v>12</v>
      </c>
      <c r="H56" s="267">
        <v>15</v>
      </c>
      <c r="I56" s="267">
        <v>23.2</v>
      </c>
      <c r="J56" s="267">
        <v>1580</v>
      </c>
      <c r="K56" s="266" t="s">
        <v>570</v>
      </c>
      <c r="L56" s="267">
        <v>2018</v>
      </c>
      <c r="M56" s="267" t="s">
        <v>597</v>
      </c>
      <c r="N56" s="267">
        <v>10</v>
      </c>
      <c r="O56" s="267">
        <v>100</v>
      </c>
      <c r="P56" s="282" t="s">
        <v>606</v>
      </c>
      <c r="Q56" s="267">
        <v>-70.884</v>
      </c>
      <c r="R56" s="267">
        <v>39.773000000000003</v>
      </c>
      <c r="S56" s="267" t="s">
        <v>271</v>
      </c>
      <c r="T56" s="267">
        <v>25</v>
      </c>
      <c r="U56" s="266" t="s">
        <v>573</v>
      </c>
      <c r="V56" s="268">
        <v>1.0389999999999999</v>
      </c>
      <c r="W56" s="268">
        <v>7.4999999999999997E-2</v>
      </c>
      <c r="X56" s="268">
        <v>0.16400000000000001</v>
      </c>
      <c r="Y56" s="178">
        <v>3.1E-2</v>
      </c>
      <c r="Z56" s="178">
        <v>0.01</v>
      </c>
      <c r="AA56" s="178">
        <v>3.9E-2</v>
      </c>
      <c r="AB56" s="178">
        <v>1.6E-2</v>
      </c>
      <c r="AC56" s="178">
        <v>3.2000000000000001E-2</v>
      </c>
      <c r="AD56" s="178">
        <v>-8888</v>
      </c>
      <c r="AE56" s="178">
        <v>0.33200000000000002</v>
      </c>
      <c r="AF56" s="178">
        <v>6.0000000000000001E-3</v>
      </c>
      <c r="AG56" s="178">
        <v>5.0000000000000001E-3</v>
      </c>
      <c r="AH56" s="178">
        <v>1.0169999999999999</v>
      </c>
      <c r="AI56" s="178">
        <v>-8888</v>
      </c>
      <c r="AJ56" s="178">
        <v>2.1999999999999999E-2</v>
      </c>
      <c r="AK56" s="178">
        <v>7.4999999999999997E-2</v>
      </c>
      <c r="AL56" s="178">
        <v>-8888</v>
      </c>
      <c r="AM56" s="178">
        <v>0.122</v>
      </c>
      <c r="AN56" s="178">
        <v>4.2000000000000003E-2</v>
      </c>
      <c r="AO56" s="178">
        <v>-8888</v>
      </c>
      <c r="AP56" s="178">
        <v>8.0000000000000002E-3</v>
      </c>
      <c r="AQ56" s="178">
        <v>7.0000000000000001E-3</v>
      </c>
      <c r="AR56" s="178">
        <v>1.6E-2</v>
      </c>
      <c r="AS56" s="178">
        <v>3.9E-2</v>
      </c>
      <c r="AT56" s="178">
        <v>2.1000000000000001E-2</v>
      </c>
      <c r="AU56" s="178">
        <v>-8888</v>
      </c>
      <c r="AV56" s="178">
        <v>1.2779999999999998</v>
      </c>
      <c r="AW56" s="178">
        <v>8.3999999999999991E-2</v>
      </c>
      <c r="AX56" s="178">
        <v>0.38700000000000001</v>
      </c>
      <c r="AY56" s="178">
        <v>1.6649999999999998</v>
      </c>
      <c r="AZ56" s="178">
        <v>0.47099999999999997</v>
      </c>
      <c r="BA56" s="178">
        <v>0.71</v>
      </c>
      <c r="BB56" s="178">
        <v>1.7489999999999999</v>
      </c>
      <c r="BC56" s="178">
        <v>0.48299999999999998</v>
      </c>
      <c r="BD56" s="179">
        <v>0.68</v>
      </c>
      <c r="BE56" s="179">
        <v>0.82</v>
      </c>
      <c r="BF56" s="179">
        <v>0.18</v>
      </c>
      <c r="BG56" s="179">
        <v>2.71</v>
      </c>
      <c r="BH56" s="179">
        <v>0.05</v>
      </c>
      <c r="BI56" s="179">
        <v>0.95</v>
      </c>
      <c r="BJ56" s="179">
        <v>0.59</v>
      </c>
      <c r="BK56" s="174"/>
      <c r="BL56" s="190" t="s">
        <v>591</v>
      </c>
      <c r="BM56" s="190"/>
    </row>
    <row r="57" spans="1:65" s="140" customFormat="1" ht="14.1" customHeight="1">
      <c r="A57" s="175" t="s">
        <v>350</v>
      </c>
      <c r="B57" s="266" t="s">
        <v>435</v>
      </c>
      <c r="C57" s="266" t="s">
        <v>485</v>
      </c>
      <c r="D57" s="266" t="s">
        <v>472</v>
      </c>
      <c r="E57" s="267" t="s">
        <v>269</v>
      </c>
      <c r="F57" s="267">
        <v>1057</v>
      </c>
      <c r="G57" s="267">
        <v>12</v>
      </c>
      <c r="H57" s="267">
        <v>19</v>
      </c>
      <c r="I57" s="267">
        <v>2.7</v>
      </c>
      <c r="J57" s="267">
        <v>1580</v>
      </c>
      <c r="K57" s="266" t="s">
        <v>570</v>
      </c>
      <c r="L57" s="267">
        <v>2018</v>
      </c>
      <c r="M57" s="267" t="s">
        <v>597</v>
      </c>
      <c r="N57" s="267">
        <v>10</v>
      </c>
      <c r="O57" s="267">
        <v>100</v>
      </c>
      <c r="P57" s="282" t="s">
        <v>606</v>
      </c>
      <c r="Q57" s="267">
        <v>-70.884</v>
      </c>
      <c r="R57" s="267">
        <v>39.773000000000003</v>
      </c>
      <c r="S57" s="267" t="s">
        <v>271</v>
      </c>
      <c r="T57" s="267">
        <v>25</v>
      </c>
      <c r="U57" s="266" t="s">
        <v>573</v>
      </c>
      <c r="V57" s="268">
        <v>1.0209999999999999</v>
      </c>
      <c r="W57" s="268">
        <v>7.8E-2</v>
      </c>
      <c r="X57" s="268">
        <v>0.16199999999999998</v>
      </c>
      <c r="Y57" s="178">
        <v>3.2000000000000001E-2</v>
      </c>
      <c r="Z57" s="178">
        <v>1.2E-2</v>
      </c>
      <c r="AA57" s="178">
        <v>4.4999999999999998E-2</v>
      </c>
      <c r="AB57" s="178">
        <v>0.02</v>
      </c>
      <c r="AC57" s="178">
        <v>3.3000000000000002E-2</v>
      </c>
      <c r="AD57" s="178">
        <v>2E-3</v>
      </c>
      <c r="AE57" s="178">
        <v>0.30399999999999999</v>
      </c>
      <c r="AF57" s="178">
        <v>8.0000000000000002E-3</v>
      </c>
      <c r="AG57" s="178">
        <v>5.0000000000000001E-3</v>
      </c>
      <c r="AH57" s="178">
        <v>0.998</v>
      </c>
      <c r="AI57" s="178">
        <v>-8888</v>
      </c>
      <c r="AJ57" s="178">
        <v>2.3E-2</v>
      </c>
      <c r="AK57" s="178">
        <v>7.8E-2</v>
      </c>
      <c r="AL57" s="178">
        <v>-8888</v>
      </c>
      <c r="AM57" s="178">
        <v>0.11899999999999999</v>
      </c>
      <c r="AN57" s="178">
        <v>4.2999999999999997E-2</v>
      </c>
      <c r="AO57" s="178">
        <v>-8888</v>
      </c>
      <c r="AP57" s="178">
        <v>8.9999999999999993E-3</v>
      </c>
      <c r="AQ57" s="178">
        <v>7.0000000000000001E-3</v>
      </c>
      <c r="AR57" s="178">
        <v>1.7000000000000001E-2</v>
      </c>
      <c r="AS57" s="178">
        <v>3.5000000000000003E-2</v>
      </c>
      <c r="AT57" s="178">
        <v>2.3E-2</v>
      </c>
      <c r="AU57" s="178">
        <v>-8888</v>
      </c>
      <c r="AV57" s="178">
        <v>1.2609999999999999</v>
      </c>
      <c r="AW57" s="178">
        <v>9.1999999999999998E-2</v>
      </c>
      <c r="AX57" s="178">
        <v>0.36899999999999999</v>
      </c>
      <c r="AY57" s="178">
        <v>1.63</v>
      </c>
      <c r="AZ57" s="178">
        <v>0.46099999999999997</v>
      </c>
      <c r="BA57" s="178">
        <v>0.70099999999999985</v>
      </c>
      <c r="BB57" s="178">
        <v>1.7219999999999998</v>
      </c>
      <c r="BC57" s="178">
        <v>0.47199999999999998</v>
      </c>
      <c r="BD57" s="179">
        <v>0.69</v>
      </c>
      <c r="BE57" s="179">
        <v>0.8</v>
      </c>
      <c r="BF57" s="179">
        <v>0.2</v>
      </c>
      <c r="BG57" s="179">
        <v>2.74</v>
      </c>
      <c r="BH57" s="179">
        <v>0.05</v>
      </c>
      <c r="BI57" s="179">
        <v>0.95</v>
      </c>
      <c r="BJ57" s="179">
        <v>0.59</v>
      </c>
      <c r="BK57" s="174"/>
      <c r="BL57" s="190" t="s">
        <v>591</v>
      </c>
      <c r="BM57" s="190"/>
    </row>
    <row r="58" spans="1:65" s="140" customFormat="1" ht="14.1" customHeight="1">
      <c r="A58" s="175" t="s">
        <v>351</v>
      </c>
      <c r="B58" s="266" t="s">
        <v>435</v>
      </c>
      <c r="C58" s="266" t="s">
        <v>486</v>
      </c>
      <c r="D58" s="266" t="s">
        <v>472</v>
      </c>
      <c r="E58" s="267" t="s">
        <v>269</v>
      </c>
      <c r="F58" s="267">
        <v>1060</v>
      </c>
      <c r="G58" s="267">
        <v>17</v>
      </c>
      <c r="H58" s="267">
        <v>13</v>
      </c>
      <c r="I58" s="267">
        <v>16.7</v>
      </c>
      <c r="J58" s="267">
        <v>149</v>
      </c>
      <c r="K58" s="266" t="s">
        <v>570</v>
      </c>
      <c r="L58" s="267">
        <v>2018</v>
      </c>
      <c r="M58" s="267" t="s">
        <v>597</v>
      </c>
      <c r="N58" s="267">
        <v>10</v>
      </c>
      <c r="O58" s="267">
        <v>100</v>
      </c>
      <c r="P58" s="282" t="s">
        <v>607</v>
      </c>
      <c r="Q58" s="267">
        <v>-70.885000000000005</v>
      </c>
      <c r="R58" s="267">
        <v>40.095999999999997</v>
      </c>
      <c r="S58" s="267" t="s">
        <v>271</v>
      </c>
      <c r="T58" s="267">
        <v>25</v>
      </c>
      <c r="U58" s="266" t="s">
        <v>573</v>
      </c>
      <c r="V58" s="268">
        <v>0.76700000000000002</v>
      </c>
      <c r="W58" s="268">
        <v>3.4000000000000002E-2</v>
      </c>
      <c r="X58" s="268">
        <v>0.21800000000000003</v>
      </c>
      <c r="Y58" s="178">
        <v>3.1E-2</v>
      </c>
      <c r="Z58" s="178">
        <v>4.2999999999999997E-2</v>
      </c>
      <c r="AA58" s="178">
        <v>0.215</v>
      </c>
      <c r="AB58" s="178">
        <v>2.1999999999999999E-2</v>
      </c>
      <c r="AC58" s="178">
        <v>5.7000000000000002E-2</v>
      </c>
      <c r="AD58" s="178">
        <v>5.0000000000000001E-3</v>
      </c>
      <c r="AE58" s="178">
        <v>0.19800000000000001</v>
      </c>
      <c r="AF58" s="178">
        <v>3.1E-2</v>
      </c>
      <c r="AG58" s="178">
        <v>2E-3</v>
      </c>
      <c r="AH58" s="178">
        <v>0.75800000000000001</v>
      </c>
      <c r="AI58" s="178">
        <v>-8888</v>
      </c>
      <c r="AJ58" s="178">
        <v>8.9999999999999993E-3</v>
      </c>
      <c r="AK58" s="178">
        <v>3.4000000000000002E-2</v>
      </c>
      <c r="AL58" s="178">
        <v>-8888</v>
      </c>
      <c r="AM58" s="178">
        <v>0.11700000000000001</v>
      </c>
      <c r="AN58" s="178">
        <v>0.10100000000000001</v>
      </c>
      <c r="AO58" s="178">
        <v>-8888</v>
      </c>
      <c r="AP58" s="178">
        <v>4.0000000000000001E-3</v>
      </c>
      <c r="AQ58" s="178">
        <v>6.0000000000000001E-3</v>
      </c>
      <c r="AR58" s="178">
        <v>5.0000000000000001E-3</v>
      </c>
      <c r="AS58" s="178">
        <v>3.0000000000000001E-3</v>
      </c>
      <c r="AT58" s="178">
        <v>1.9E-2</v>
      </c>
      <c r="AU58" s="178">
        <v>-8888</v>
      </c>
      <c r="AV58" s="178">
        <v>1.0190000000000001</v>
      </c>
      <c r="AW58" s="178">
        <v>0.11700000000000001</v>
      </c>
      <c r="AX58" s="178">
        <v>0.48699999999999999</v>
      </c>
      <c r="AY58" s="178">
        <v>1.5060000000000002</v>
      </c>
      <c r="AZ58" s="178">
        <v>0.60399999999999998</v>
      </c>
      <c r="BA58" s="178">
        <v>0.85600000000000009</v>
      </c>
      <c r="BB58" s="178">
        <v>1.6230000000000002</v>
      </c>
      <c r="BC58" s="178">
        <v>0.54500000000000004</v>
      </c>
      <c r="BD58" s="179">
        <v>1.1200000000000001</v>
      </c>
      <c r="BE58" s="179">
        <v>0.81</v>
      </c>
      <c r="BF58" s="179">
        <v>0.19</v>
      </c>
      <c r="BG58" s="179">
        <v>1.69</v>
      </c>
      <c r="BH58" s="179">
        <v>7.0000000000000007E-2</v>
      </c>
      <c r="BI58" s="179">
        <v>0.93</v>
      </c>
      <c r="BJ58" s="179">
        <v>0.47</v>
      </c>
      <c r="BK58" s="174"/>
      <c r="BL58" s="190" t="s">
        <v>608</v>
      </c>
      <c r="BM58" s="190"/>
    </row>
    <row r="59" spans="1:65" s="140" customFormat="1" ht="14.1" customHeight="1">
      <c r="A59" s="175" t="s">
        <v>352</v>
      </c>
      <c r="B59" s="266" t="s">
        <v>435</v>
      </c>
      <c r="C59" s="266" t="s">
        <v>487</v>
      </c>
      <c r="D59" s="266" t="s">
        <v>472</v>
      </c>
      <c r="E59" s="267" t="s">
        <v>269</v>
      </c>
      <c r="F59" s="267">
        <v>1057</v>
      </c>
      <c r="G59" s="267">
        <v>17</v>
      </c>
      <c r="H59" s="267">
        <v>17</v>
      </c>
      <c r="I59" s="267">
        <v>2</v>
      </c>
      <c r="J59" s="267">
        <v>149</v>
      </c>
      <c r="K59" s="266" t="s">
        <v>570</v>
      </c>
      <c r="L59" s="267">
        <v>2018</v>
      </c>
      <c r="M59" s="267" t="s">
        <v>597</v>
      </c>
      <c r="N59" s="267">
        <v>10</v>
      </c>
      <c r="O59" s="267">
        <v>100</v>
      </c>
      <c r="P59" s="282" t="s">
        <v>607</v>
      </c>
      <c r="Q59" s="267">
        <v>-70.885000000000005</v>
      </c>
      <c r="R59" s="267">
        <v>40.095999999999997</v>
      </c>
      <c r="S59" s="267" t="s">
        <v>271</v>
      </c>
      <c r="T59" s="267">
        <v>25</v>
      </c>
      <c r="U59" s="266" t="s">
        <v>573</v>
      </c>
      <c r="V59" s="268">
        <v>0.68600000000000005</v>
      </c>
      <c r="W59" s="268">
        <v>2.9000000000000001E-2</v>
      </c>
      <c r="X59" s="268">
        <v>0.186</v>
      </c>
      <c r="Y59" s="178">
        <v>2.7E-2</v>
      </c>
      <c r="Z59" s="178">
        <v>3.4000000000000002E-2</v>
      </c>
      <c r="AA59" s="178">
        <v>0.221</v>
      </c>
      <c r="AB59" s="178">
        <v>2.5000000000000001E-2</v>
      </c>
      <c r="AC59" s="178">
        <v>9.6000000000000002E-2</v>
      </c>
      <c r="AD59" s="178">
        <v>8.9999999999999993E-3</v>
      </c>
      <c r="AE59" s="178">
        <v>0.14699999999999999</v>
      </c>
      <c r="AF59" s="178">
        <v>2.5999999999999999E-2</v>
      </c>
      <c r="AG59" s="178">
        <v>2E-3</v>
      </c>
      <c r="AH59" s="178">
        <v>0.67700000000000005</v>
      </c>
      <c r="AI59" s="178">
        <v>-8888</v>
      </c>
      <c r="AJ59" s="178">
        <v>8.9999999999999993E-3</v>
      </c>
      <c r="AK59" s="178">
        <v>2.9000000000000001E-2</v>
      </c>
      <c r="AL59" s="178">
        <v>-8888</v>
      </c>
      <c r="AM59" s="178">
        <v>9.9000000000000005E-2</v>
      </c>
      <c r="AN59" s="178">
        <v>8.6999999999999994E-2</v>
      </c>
      <c r="AO59" s="178">
        <v>1E-3</v>
      </c>
      <c r="AP59" s="178">
        <v>3.0000000000000001E-3</v>
      </c>
      <c r="AQ59" s="178">
        <v>7.0000000000000001E-3</v>
      </c>
      <c r="AR59" s="178">
        <v>5.0000000000000001E-3</v>
      </c>
      <c r="AS59" s="178">
        <v>1E-3</v>
      </c>
      <c r="AT59" s="178">
        <v>1.4999999999999999E-2</v>
      </c>
      <c r="AU59" s="178">
        <v>-8888</v>
      </c>
      <c r="AV59" s="178">
        <v>0.90100000000000002</v>
      </c>
      <c r="AW59" s="178">
        <v>0.159</v>
      </c>
      <c r="AX59" s="178">
        <v>0.42800000000000005</v>
      </c>
      <c r="AY59" s="178">
        <v>1.3290000000000002</v>
      </c>
      <c r="AZ59" s="178">
        <v>0.58700000000000008</v>
      </c>
      <c r="BA59" s="178">
        <v>0.80200000000000005</v>
      </c>
      <c r="BB59" s="178">
        <v>1.488</v>
      </c>
      <c r="BC59" s="178">
        <v>0.48400000000000004</v>
      </c>
      <c r="BD59" s="179">
        <v>1.17</v>
      </c>
      <c r="BE59" s="179">
        <v>0.73</v>
      </c>
      <c r="BF59" s="179">
        <v>0.27</v>
      </c>
      <c r="BG59" s="179">
        <v>1.53</v>
      </c>
      <c r="BH59" s="179">
        <v>0.11</v>
      </c>
      <c r="BI59" s="179">
        <v>0.89</v>
      </c>
      <c r="BJ59" s="179">
        <v>0.46</v>
      </c>
      <c r="BK59" s="174"/>
      <c r="BL59" s="190" t="s">
        <v>608</v>
      </c>
      <c r="BM59" s="190"/>
    </row>
    <row r="60" spans="1:65" s="140" customFormat="1" ht="14.1" customHeight="1">
      <c r="A60" s="175" t="s">
        <v>353</v>
      </c>
      <c r="B60" s="266" t="s">
        <v>435</v>
      </c>
      <c r="C60" s="266" t="s">
        <v>488</v>
      </c>
      <c r="D60" s="266" t="s">
        <v>472</v>
      </c>
      <c r="E60" s="267" t="s">
        <v>269</v>
      </c>
      <c r="F60" s="267">
        <v>1060</v>
      </c>
      <c r="G60" s="267">
        <v>27</v>
      </c>
      <c r="H60" s="267">
        <v>12</v>
      </c>
      <c r="I60" s="267">
        <v>33</v>
      </c>
      <c r="J60" s="267">
        <v>129</v>
      </c>
      <c r="K60" s="266" t="s">
        <v>570</v>
      </c>
      <c r="L60" s="267">
        <v>2018</v>
      </c>
      <c r="M60" s="267" t="s">
        <v>597</v>
      </c>
      <c r="N60" s="267">
        <v>11</v>
      </c>
      <c r="O60" s="267">
        <v>101</v>
      </c>
      <c r="P60" s="282" t="s">
        <v>609</v>
      </c>
      <c r="Q60" s="267">
        <v>-70.884</v>
      </c>
      <c r="R60" s="267">
        <v>40.226999999999997</v>
      </c>
      <c r="S60" s="267" t="s">
        <v>271</v>
      </c>
      <c r="T60" s="267">
        <v>25</v>
      </c>
      <c r="U60" s="266" t="s">
        <v>573</v>
      </c>
      <c r="V60" s="268">
        <v>0.70599999999999996</v>
      </c>
      <c r="W60" s="268">
        <v>0.04</v>
      </c>
      <c r="X60" s="268">
        <v>0.20599999999999999</v>
      </c>
      <c r="Y60" s="178">
        <v>2.9000000000000001E-2</v>
      </c>
      <c r="Z60" s="178">
        <v>3.1E-2</v>
      </c>
      <c r="AA60" s="178">
        <v>0.189</v>
      </c>
      <c r="AB60" s="178">
        <v>1.6E-2</v>
      </c>
      <c r="AC60" s="178">
        <v>4.8000000000000001E-2</v>
      </c>
      <c r="AD60" s="178">
        <v>5.0000000000000001E-3</v>
      </c>
      <c r="AE60" s="178">
        <v>0.20200000000000001</v>
      </c>
      <c r="AF60" s="178">
        <v>0.03</v>
      </c>
      <c r="AG60" s="178">
        <v>1E-3</v>
      </c>
      <c r="AH60" s="178">
        <v>0.69899999999999995</v>
      </c>
      <c r="AI60" s="178">
        <v>-8888</v>
      </c>
      <c r="AJ60" s="178">
        <v>7.0000000000000001E-3</v>
      </c>
      <c r="AK60" s="178">
        <v>0.04</v>
      </c>
      <c r="AL60" s="178">
        <v>-8888</v>
      </c>
      <c r="AM60" s="178">
        <v>0.10199999999999999</v>
      </c>
      <c r="AN60" s="178">
        <v>0.104</v>
      </c>
      <c r="AO60" s="178">
        <v>-8888</v>
      </c>
      <c r="AP60" s="178">
        <v>5.0000000000000001E-3</v>
      </c>
      <c r="AQ60" s="178">
        <v>5.0000000000000001E-3</v>
      </c>
      <c r="AR60" s="178">
        <v>6.0000000000000001E-3</v>
      </c>
      <c r="AS60" s="178">
        <v>0.02</v>
      </c>
      <c r="AT60" s="178">
        <v>2.8000000000000001E-2</v>
      </c>
      <c r="AU60" s="178">
        <v>-8888</v>
      </c>
      <c r="AV60" s="178">
        <v>0.95199999999999996</v>
      </c>
      <c r="AW60" s="178">
        <v>9.9000000000000005E-2</v>
      </c>
      <c r="AX60" s="178">
        <v>0.45200000000000007</v>
      </c>
      <c r="AY60" s="178">
        <v>1.4039999999999999</v>
      </c>
      <c r="AZ60" s="178">
        <v>0.55100000000000005</v>
      </c>
      <c r="BA60" s="178">
        <v>0.79700000000000004</v>
      </c>
      <c r="BB60" s="178">
        <v>1.5030000000000001</v>
      </c>
      <c r="BC60" s="178">
        <v>0.50900000000000012</v>
      </c>
      <c r="BD60" s="179">
        <v>1.1299999999999999</v>
      </c>
      <c r="BE60" s="179">
        <v>0.82</v>
      </c>
      <c r="BF60" s="179">
        <v>0.18</v>
      </c>
      <c r="BG60" s="179">
        <v>1.73</v>
      </c>
      <c r="BH60" s="179">
        <v>7.0000000000000007E-2</v>
      </c>
      <c r="BI60" s="179">
        <v>0.93</v>
      </c>
      <c r="BJ60" s="179">
        <v>0.47</v>
      </c>
      <c r="BK60" s="174"/>
      <c r="BL60" s="190" t="s">
        <v>586</v>
      </c>
      <c r="BM60" s="190"/>
    </row>
    <row r="61" spans="1:65" s="140" customFormat="1" ht="14.1" customHeight="1">
      <c r="A61" s="175" t="s">
        <v>354</v>
      </c>
      <c r="B61" s="266" t="s">
        <v>435</v>
      </c>
      <c r="C61" s="266" t="s">
        <v>489</v>
      </c>
      <c r="D61" s="266" t="s">
        <v>472</v>
      </c>
      <c r="E61" s="267" t="s">
        <v>269</v>
      </c>
      <c r="F61" s="267">
        <v>1057</v>
      </c>
      <c r="G61" s="267">
        <v>27</v>
      </c>
      <c r="H61" s="267">
        <v>17</v>
      </c>
      <c r="I61" s="267">
        <v>6.9</v>
      </c>
      <c r="J61" s="267">
        <v>129</v>
      </c>
      <c r="K61" s="266" t="s">
        <v>570</v>
      </c>
      <c r="L61" s="267">
        <v>2018</v>
      </c>
      <c r="M61" s="267" t="s">
        <v>597</v>
      </c>
      <c r="N61" s="267">
        <v>11</v>
      </c>
      <c r="O61" s="267">
        <v>101</v>
      </c>
      <c r="P61" s="282" t="s">
        <v>609</v>
      </c>
      <c r="Q61" s="267">
        <v>-70.884</v>
      </c>
      <c r="R61" s="267">
        <v>40.226999999999997</v>
      </c>
      <c r="S61" s="267" t="s">
        <v>271</v>
      </c>
      <c r="T61" s="267">
        <v>25</v>
      </c>
      <c r="U61" s="266" t="s">
        <v>573</v>
      </c>
      <c r="V61" s="268">
        <v>0.71399999999999997</v>
      </c>
      <c r="W61" s="268">
        <v>3.9E-2</v>
      </c>
      <c r="X61" s="268">
        <v>0.21</v>
      </c>
      <c r="Y61" s="178">
        <v>2.8000000000000001E-2</v>
      </c>
      <c r="Z61" s="178">
        <v>3.3000000000000002E-2</v>
      </c>
      <c r="AA61" s="178">
        <v>0.19600000000000001</v>
      </c>
      <c r="AB61" s="178">
        <v>1.6E-2</v>
      </c>
      <c r="AC61" s="178">
        <v>6.2E-2</v>
      </c>
      <c r="AD61" s="178">
        <v>5.0000000000000001E-3</v>
      </c>
      <c r="AE61" s="178">
        <v>0.20399999999999999</v>
      </c>
      <c r="AF61" s="178">
        <v>2.8000000000000001E-2</v>
      </c>
      <c r="AG61" s="178">
        <v>2E-3</v>
      </c>
      <c r="AH61" s="178">
        <v>0.71099999999999997</v>
      </c>
      <c r="AI61" s="178">
        <v>-8888</v>
      </c>
      <c r="AJ61" s="178">
        <v>3.0000000000000001E-3</v>
      </c>
      <c r="AK61" s="178">
        <v>3.9E-2</v>
      </c>
      <c r="AL61" s="178">
        <v>-8888</v>
      </c>
      <c r="AM61" s="178">
        <v>0.104</v>
      </c>
      <c r="AN61" s="178">
        <v>0.106</v>
      </c>
      <c r="AO61" s="178">
        <v>-8888</v>
      </c>
      <c r="AP61" s="178">
        <v>4.0000000000000001E-3</v>
      </c>
      <c r="AQ61" s="178">
        <v>6.0000000000000001E-3</v>
      </c>
      <c r="AR61" s="178">
        <v>5.0000000000000001E-3</v>
      </c>
      <c r="AS61" s="178">
        <v>1.7000000000000001E-2</v>
      </c>
      <c r="AT61" s="178">
        <v>2.8000000000000001E-2</v>
      </c>
      <c r="AU61" s="178">
        <v>-8888</v>
      </c>
      <c r="AV61" s="178">
        <v>0.96299999999999997</v>
      </c>
      <c r="AW61" s="178">
        <v>0.113</v>
      </c>
      <c r="AX61" s="178">
        <v>0.46100000000000002</v>
      </c>
      <c r="AY61" s="178">
        <v>1.4239999999999999</v>
      </c>
      <c r="AZ61" s="178">
        <v>0.57400000000000007</v>
      </c>
      <c r="BA61" s="178">
        <v>0.82300000000000006</v>
      </c>
      <c r="BB61" s="178">
        <v>1.5369999999999999</v>
      </c>
      <c r="BC61" s="178">
        <v>0.51800000000000002</v>
      </c>
      <c r="BD61" s="179">
        <v>1.1499999999999999</v>
      </c>
      <c r="BE61" s="179">
        <v>0.8</v>
      </c>
      <c r="BF61" s="179">
        <v>0.2</v>
      </c>
      <c r="BG61" s="179">
        <v>1.68</v>
      </c>
      <c r="BH61" s="179">
        <v>7.0000000000000007E-2</v>
      </c>
      <c r="BI61" s="179">
        <v>0.93</v>
      </c>
      <c r="BJ61" s="179">
        <v>0.46</v>
      </c>
      <c r="BK61" s="174"/>
      <c r="BL61" s="190" t="s">
        <v>586</v>
      </c>
      <c r="BM61" s="190"/>
    </row>
    <row r="62" spans="1:65" s="140" customFormat="1" ht="14.1" customHeight="1">
      <c r="A62" s="175" t="s">
        <v>355</v>
      </c>
      <c r="B62" s="266" t="s">
        <v>435</v>
      </c>
      <c r="C62" s="266" t="s">
        <v>490</v>
      </c>
      <c r="D62" s="266" t="s">
        <v>472</v>
      </c>
      <c r="E62" s="267" t="s">
        <v>269</v>
      </c>
      <c r="F62" s="267">
        <v>1060</v>
      </c>
      <c r="G62" s="267">
        <v>28</v>
      </c>
      <c r="H62" s="267">
        <v>10</v>
      </c>
      <c r="I62" s="267">
        <v>36.6</v>
      </c>
      <c r="J62" s="267">
        <v>94</v>
      </c>
      <c r="K62" s="266" t="s">
        <v>570</v>
      </c>
      <c r="L62" s="267">
        <v>2018</v>
      </c>
      <c r="M62" s="267" t="s">
        <v>597</v>
      </c>
      <c r="N62" s="267">
        <v>11</v>
      </c>
      <c r="O62" s="267">
        <v>101</v>
      </c>
      <c r="P62" s="282" t="s">
        <v>610</v>
      </c>
      <c r="Q62" s="267">
        <v>-70.882999999999996</v>
      </c>
      <c r="R62" s="267">
        <v>40.363999999999997</v>
      </c>
      <c r="S62" s="267" t="s">
        <v>271</v>
      </c>
      <c r="T62" s="267">
        <v>25</v>
      </c>
      <c r="U62" s="266" t="s">
        <v>573</v>
      </c>
      <c r="V62" s="268">
        <v>0.66800000000000004</v>
      </c>
      <c r="W62" s="268">
        <v>2.5000000000000001E-2</v>
      </c>
      <c r="X62" s="268">
        <v>0.20600000000000002</v>
      </c>
      <c r="Y62" s="178">
        <v>2.5000000000000001E-2</v>
      </c>
      <c r="Z62" s="178">
        <v>2.9000000000000001E-2</v>
      </c>
      <c r="AA62" s="178">
        <v>0.216</v>
      </c>
      <c r="AB62" s="178">
        <v>1.2E-2</v>
      </c>
      <c r="AC62" s="178">
        <v>4.8000000000000001E-2</v>
      </c>
      <c r="AD62" s="178">
        <v>4.0000000000000001E-3</v>
      </c>
      <c r="AE62" s="178">
        <v>0.19400000000000001</v>
      </c>
      <c r="AF62" s="178">
        <v>2.7E-2</v>
      </c>
      <c r="AG62" s="178">
        <v>1E-3</v>
      </c>
      <c r="AH62" s="178">
        <v>0.66</v>
      </c>
      <c r="AI62" s="178">
        <v>-8888</v>
      </c>
      <c r="AJ62" s="178">
        <v>8.0000000000000002E-3</v>
      </c>
      <c r="AK62" s="178">
        <v>2.5000000000000001E-2</v>
      </c>
      <c r="AL62" s="178">
        <v>-8888</v>
      </c>
      <c r="AM62" s="178">
        <v>0.10100000000000001</v>
      </c>
      <c r="AN62" s="178">
        <v>0.105</v>
      </c>
      <c r="AO62" s="178">
        <v>-8888</v>
      </c>
      <c r="AP62" s="178">
        <v>3.0000000000000001E-3</v>
      </c>
      <c r="AQ62" s="178">
        <v>4.0000000000000001E-3</v>
      </c>
      <c r="AR62" s="178">
        <v>5.0000000000000001E-3</v>
      </c>
      <c r="AS62" s="178">
        <v>7.0000000000000001E-3</v>
      </c>
      <c r="AT62" s="178">
        <v>2.3E-2</v>
      </c>
      <c r="AU62" s="178">
        <v>-8888</v>
      </c>
      <c r="AV62" s="178">
        <v>0.89900000000000002</v>
      </c>
      <c r="AW62" s="178">
        <v>0.09</v>
      </c>
      <c r="AX62" s="178">
        <v>0.46600000000000003</v>
      </c>
      <c r="AY62" s="178">
        <v>1.365</v>
      </c>
      <c r="AZ62" s="178">
        <v>0.55600000000000005</v>
      </c>
      <c r="BA62" s="178">
        <v>0.78700000000000014</v>
      </c>
      <c r="BB62" s="178">
        <v>1.4550000000000001</v>
      </c>
      <c r="BC62" s="178">
        <v>0.504</v>
      </c>
      <c r="BD62" s="179">
        <v>1.18</v>
      </c>
      <c r="BE62" s="179">
        <v>0.84</v>
      </c>
      <c r="BF62" s="179">
        <v>0.16</v>
      </c>
      <c r="BG62" s="179">
        <v>1.62</v>
      </c>
      <c r="BH62" s="179">
        <v>0.06</v>
      </c>
      <c r="BI62" s="179">
        <v>0.94</v>
      </c>
      <c r="BJ62" s="179">
        <v>0.46</v>
      </c>
      <c r="BK62" s="174"/>
      <c r="BL62" s="190" t="s">
        <v>584</v>
      </c>
      <c r="BM62" s="190"/>
    </row>
    <row r="63" spans="1:65" s="140" customFormat="1" ht="14.1" customHeight="1">
      <c r="A63" s="175" t="s">
        <v>356</v>
      </c>
      <c r="B63" s="266" t="s">
        <v>435</v>
      </c>
      <c r="C63" s="266" t="s">
        <v>491</v>
      </c>
      <c r="D63" s="266" t="s">
        <v>472</v>
      </c>
      <c r="E63" s="267" t="s">
        <v>269</v>
      </c>
      <c r="F63" s="267">
        <v>1057</v>
      </c>
      <c r="G63" s="267">
        <v>28</v>
      </c>
      <c r="H63" s="267">
        <v>15</v>
      </c>
      <c r="I63" s="267">
        <v>6</v>
      </c>
      <c r="J63" s="267">
        <v>94</v>
      </c>
      <c r="K63" s="266" t="s">
        <v>570</v>
      </c>
      <c r="L63" s="267">
        <v>2018</v>
      </c>
      <c r="M63" s="267" t="s">
        <v>597</v>
      </c>
      <c r="N63" s="267">
        <v>11</v>
      </c>
      <c r="O63" s="267">
        <v>101</v>
      </c>
      <c r="P63" s="282" t="s">
        <v>610</v>
      </c>
      <c r="Q63" s="267">
        <v>-70.882999999999996</v>
      </c>
      <c r="R63" s="267">
        <v>40.363999999999997</v>
      </c>
      <c r="S63" s="267" t="s">
        <v>271</v>
      </c>
      <c r="T63" s="267">
        <v>25</v>
      </c>
      <c r="U63" s="266" t="s">
        <v>573</v>
      </c>
      <c r="V63" s="268">
        <v>0.48599999999999999</v>
      </c>
      <c r="W63" s="268">
        <v>1.6E-2</v>
      </c>
      <c r="X63" s="268">
        <v>0.14100000000000001</v>
      </c>
      <c r="Y63" s="178">
        <v>1.7999999999999999E-2</v>
      </c>
      <c r="Z63" s="178">
        <v>2.4E-2</v>
      </c>
      <c r="AA63" s="178">
        <v>0.13800000000000001</v>
      </c>
      <c r="AB63" s="178">
        <v>1.2999999999999999E-2</v>
      </c>
      <c r="AC63" s="178">
        <v>9.6000000000000002E-2</v>
      </c>
      <c r="AD63" s="178">
        <v>1.0999999999999999E-2</v>
      </c>
      <c r="AE63" s="178">
        <v>0.13100000000000001</v>
      </c>
      <c r="AF63" s="178">
        <v>1.6E-2</v>
      </c>
      <c r="AG63" s="178">
        <v>2E-3</v>
      </c>
      <c r="AH63" s="178">
        <v>0.47899999999999998</v>
      </c>
      <c r="AI63" s="178">
        <v>-8888</v>
      </c>
      <c r="AJ63" s="178">
        <v>7.0000000000000001E-3</v>
      </c>
      <c r="AK63" s="178">
        <v>1.6E-2</v>
      </c>
      <c r="AL63" s="178">
        <v>-8888</v>
      </c>
      <c r="AM63" s="178">
        <v>6.7000000000000004E-2</v>
      </c>
      <c r="AN63" s="178">
        <v>7.3999999999999996E-2</v>
      </c>
      <c r="AO63" s="178">
        <v>1E-3</v>
      </c>
      <c r="AP63" s="178">
        <v>2E-3</v>
      </c>
      <c r="AQ63" s="178">
        <v>3.0000000000000001E-3</v>
      </c>
      <c r="AR63" s="178">
        <v>3.0000000000000001E-3</v>
      </c>
      <c r="AS63" s="178">
        <v>2E-3</v>
      </c>
      <c r="AT63" s="178">
        <v>1.6E-2</v>
      </c>
      <c r="AU63" s="178">
        <v>-8888</v>
      </c>
      <c r="AV63" s="178">
        <v>0.64300000000000002</v>
      </c>
      <c r="AW63" s="178">
        <v>0.13999999999999999</v>
      </c>
      <c r="AX63" s="178">
        <v>0.30900000000000005</v>
      </c>
      <c r="AY63" s="178">
        <v>0.95200000000000007</v>
      </c>
      <c r="AZ63" s="178">
        <v>0.44900000000000007</v>
      </c>
      <c r="BA63" s="178">
        <v>0.60600000000000009</v>
      </c>
      <c r="BB63" s="178">
        <v>1.0920000000000001</v>
      </c>
      <c r="BC63" s="178">
        <v>0.34000000000000008</v>
      </c>
      <c r="BD63" s="179">
        <v>1.25</v>
      </c>
      <c r="BE63" s="179">
        <v>0.69</v>
      </c>
      <c r="BF63" s="179">
        <v>0.31</v>
      </c>
      <c r="BG63" s="179">
        <v>1.43</v>
      </c>
      <c r="BH63" s="179">
        <v>0.13</v>
      </c>
      <c r="BI63" s="179">
        <v>0.87</v>
      </c>
      <c r="BJ63" s="179">
        <v>0.45</v>
      </c>
      <c r="BK63" s="174"/>
      <c r="BL63" s="190" t="s">
        <v>584</v>
      </c>
      <c r="BM63" s="190"/>
    </row>
    <row r="64" spans="1:65" s="140" customFormat="1" ht="14.1" customHeight="1">
      <c r="A64" s="175" t="s">
        <v>357</v>
      </c>
      <c r="B64" s="266" t="s">
        <v>435</v>
      </c>
      <c r="C64" s="266" t="s">
        <v>494</v>
      </c>
      <c r="D64" s="266" t="s">
        <v>495</v>
      </c>
      <c r="E64" s="267" t="s">
        <v>269</v>
      </c>
      <c r="F64" s="267">
        <v>547</v>
      </c>
      <c r="G64" s="267">
        <v>1</v>
      </c>
      <c r="H64" s="267">
        <v>5</v>
      </c>
      <c r="I64" s="267">
        <v>12.2</v>
      </c>
      <c r="J64" s="267">
        <v>21</v>
      </c>
      <c r="K64" s="266" t="s">
        <v>570</v>
      </c>
      <c r="L64" s="267">
        <v>2018</v>
      </c>
      <c r="M64" s="267" t="s">
        <v>614</v>
      </c>
      <c r="N64" s="267">
        <v>20</v>
      </c>
      <c r="O64" s="267">
        <v>201</v>
      </c>
      <c r="P64" s="282" t="s">
        <v>615</v>
      </c>
      <c r="Q64" s="267">
        <v>-70.885000000000005</v>
      </c>
      <c r="R64" s="267">
        <v>41.201000000000001</v>
      </c>
      <c r="S64" s="267" t="s">
        <v>271</v>
      </c>
      <c r="T64" s="267">
        <v>25</v>
      </c>
      <c r="U64" s="266" t="s">
        <v>573</v>
      </c>
      <c r="V64" s="268">
        <v>2.69</v>
      </c>
      <c r="W64" s="268">
        <v>0.375</v>
      </c>
      <c r="X64" s="268">
        <v>0.65900000000000003</v>
      </c>
      <c r="Y64" s="178">
        <v>0.125</v>
      </c>
      <c r="Z64" s="178">
        <v>6.4000000000000001E-2</v>
      </c>
      <c r="AA64" s="178">
        <v>0.32800000000000001</v>
      </c>
      <c r="AB64" s="178">
        <v>7.3999999999999996E-2</v>
      </c>
      <c r="AC64" s="178">
        <v>0.13500000000000001</v>
      </c>
      <c r="AD64" s="178">
        <v>1.2E-2</v>
      </c>
      <c r="AE64" s="178">
        <v>0.77200000000000002</v>
      </c>
      <c r="AF64" s="178">
        <v>0.23200000000000001</v>
      </c>
      <c r="AG64" s="178">
        <v>7.1999999999999995E-2</v>
      </c>
      <c r="AH64" s="178">
        <v>2.6669999999999998</v>
      </c>
      <c r="AI64" s="178">
        <v>-8888</v>
      </c>
      <c r="AJ64" s="178">
        <v>2.3E-2</v>
      </c>
      <c r="AK64" s="178">
        <v>0.35899999999999999</v>
      </c>
      <c r="AL64" s="178">
        <v>1.6E-2</v>
      </c>
      <c r="AM64" s="178">
        <v>0.376</v>
      </c>
      <c r="AN64" s="178">
        <v>0.28299999999999997</v>
      </c>
      <c r="AO64" s="178">
        <v>6.0000000000000001E-3</v>
      </c>
      <c r="AP64" s="178">
        <v>3.7999999999999999E-2</v>
      </c>
      <c r="AQ64" s="178">
        <v>3.5000000000000003E-2</v>
      </c>
      <c r="AR64" s="178">
        <v>2.4E-2</v>
      </c>
      <c r="AS64" s="178">
        <v>4.1000000000000002E-2</v>
      </c>
      <c r="AT64" s="178">
        <v>0.18</v>
      </c>
      <c r="AU64" s="178">
        <v>-8888</v>
      </c>
      <c r="AV64" s="178">
        <v>3.7240000000000002</v>
      </c>
      <c r="AW64" s="178">
        <v>0.41800000000000004</v>
      </c>
      <c r="AX64" s="178">
        <v>1.3960000000000001</v>
      </c>
      <c r="AY64" s="178">
        <v>5.12</v>
      </c>
      <c r="AZ64" s="178">
        <v>1.8140000000000001</v>
      </c>
      <c r="BA64" s="178">
        <v>2.8479999999999999</v>
      </c>
      <c r="BB64" s="178">
        <v>5.5380000000000003</v>
      </c>
      <c r="BC64" s="178">
        <v>1.9170000000000003</v>
      </c>
      <c r="BD64" s="179">
        <v>1.06</v>
      </c>
      <c r="BE64" s="179">
        <v>0.77</v>
      </c>
      <c r="BF64" s="179">
        <v>0.23</v>
      </c>
      <c r="BG64" s="179">
        <v>2.0499999999999998</v>
      </c>
      <c r="BH64" s="179">
        <v>0.08</v>
      </c>
      <c r="BI64" s="179">
        <v>0.92</v>
      </c>
      <c r="BJ64" s="179">
        <v>0.49</v>
      </c>
      <c r="BK64" s="174"/>
      <c r="BL64" s="190"/>
      <c r="BM64" s="190"/>
    </row>
    <row r="65" spans="1:65" s="140" customFormat="1" ht="14.1" customHeight="1">
      <c r="A65" s="175" t="s">
        <v>358</v>
      </c>
      <c r="B65" s="266" t="s">
        <v>435</v>
      </c>
      <c r="C65" s="266" t="s">
        <v>496</v>
      </c>
      <c r="D65" s="266" t="s">
        <v>495</v>
      </c>
      <c r="E65" s="267" t="s">
        <v>269</v>
      </c>
      <c r="F65" s="267">
        <v>549</v>
      </c>
      <c r="G65" s="267">
        <v>1</v>
      </c>
      <c r="H65" s="267">
        <v>8</v>
      </c>
      <c r="I65" s="267">
        <v>7.3</v>
      </c>
      <c r="J65" s="267">
        <v>21</v>
      </c>
      <c r="K65" s="266" t="s">
        <v>570</v>
      </c>
      <c r="L65" s="267">
        <v>2018</v>
      </c>
      <c r="M65" s="267" t="s">
        <v>614</v>
      </c>
      <c r="N65" s="267">
        <v>20</v>
      </c>
      <c r="O65" s="267">
        <v>201</v>
      </c>
      <c r="P65" s="282" t="s">
        <v>615</v>
      </c>
      <c r="Q65" s="267">
        <v>-70.885000000000005</v>
      </c>
      <c r="R65" s="267">
        <v>41.201000000000001</v>
      </c>
      <c r="S65" s="267" t="s">
        <v>271</v>
      </c>
      <c r="T65" s="267">
        <v>25</v>
      </c>
      <c r="U65" s="266" t="s">
        <v>573</v>
      </c>
      <c r="V65" s="268">
        <v>1.6689999999999998</v>
      </c>
      <c r="W65" s="268">
        <v>0.24199999999999999</v>
      </c>
      <c r="X65" s="268">
        <v>0.371</v>
      </c>
      <c r="Y65" s="178">
        <v>0.10299999999999999</v>
      </c>
      <c r="Z65" s="178">
        <v>7.1999999999999995E-2</v>
      </c>
      <c r="AA65" s="178">
        <v>0.28699999999999998</v>
      </c>
      <c r="AB65" s="178">
        <v>3.9E-2</v>
      </c>
      <c r="AC65" s="178">
        <v>0.13600000000000001</v>
      </c>
      <c r="AD65" s="178">
        <v>0.02</v>
      </c>
      <c r="AE65" s="178">
        <v>0.372</v>
      </c>
      <c r="AF65" s="178">
        <v>0.121</v>
      </c>
      <c r="AG65" s="178">
        <v>8.7999999999999995E-2</v>
      </c>
      <c r="AH65" s="178">
        <v>1.6559999999999999</v>
      </c>
      <c r="AI65" s="178">
        <v>-8888</v>
      </c>
      <c r="AJ65" s="178">
        <v>1.2999999999999999E-2</v>
      </c>
      <c r="AK65" s="178">
        <v>0.23599999999999999</v>
      </c>
      <c r="AL65" s="178">
        <v>6.0000000000000001E-3</v>
      </c>
      <c r="AM65" s="178">
        <v>0.21299999999999999</v>
      </c>
      <c r="AN65" s="178">
        <v>0.158</v>
      </c>
      <c r="AO65" s="178">
        <v>7.0000000000000001E-3</v>
      </c>
      <c r="AP65" s="178">
        <v>2.3E-2</v>
      </c>
      <c r="AQ65" s="178">
        <v>3.7999999999999999E-2</v>
      </c>
      <c r="AR65" s="178">
        <v>1.6E-2</v>
      </c>
      <c r="AS65" s="178">
        <v>1.6E-2</v>
      </c>
      <c r="AT65" s="178">
        <v>7.5999999999999998E-2</v>
      </c>
      <c r="AU65" s="178">
        <v>-8888</v>
      </c>
      <c r="AV65" s="178">
        <v>2.282</v>
      </c>
      <c r="AW65" s="178">
        <v>0.38600000000000001</v>
      </c>
      <c r="AX65" s="178">
        <v>0.85199999999999998</v>
      </c>
      <c r="AY65" s="178">
        <v>3.1339999999999999</v>
      </c>
      <c r="AZ65" s="178">
        <v>1.238</v>
      </c>
      <c r="BA65" s="178">
        <v>1.851</v>
      </c>
      <c r="BB65" s="178">
        <v>3.5199999999999996</v>
      </c>
      <c r="BC65" s="178">
        <v>1.2210000000000001</v>
      </c>
      <c r="BD65" s="179">
        <v>1.1100000000000001</v>
      </c>
      <c r="BE65" s="179">
        <v>0.69</v>
      </c>
      <c r="BF65" s="179">
        <v>0.31</v>
      </c>
      <c r="BG65" s="179">
        <v>1.84</v>
      </c>
      <c r="BH65" s="179">
        <v>0.11</v>
      </c>
      <c r="BI65" s="179">
        <v>0.89</v>
      </c>
      <c r="BJ65" s="179">
        <v>0.47</v>
      </c>
      <c r="BK65" s="174"/>
      <c r="BL65" s="190"/>
      <c r="BM65" s="190"/>
    </row>
    <row r="66" spans="1:65" s="140" customFormat="1" ht="14.1" customHeight="1">
      <c r="A66" s="175" t="s">
        <v>359</v>
      </c>
      <c r="B66" s="266" t="s">
        <v>435</v>
      </c>
      <c r="C66" s="266" t="s">
        <v>497</v>
      </c>
      <c r="D66" s="266" t="s">
        <v>495</v>
      </c>
      <c r="E66" s="267" t="s">
        <v>272</v>
      </c>
      <c r="F66" s="267">
        <v>548</v>
      </c>
      <c r="G66" s="267">
        <v>1</v>
      </c>
      <c r="H66" s="267">
        <v>12</v>
      </c>
      <c r="I66" s="267">
        <v>1.8</v>
      </c>
      <c r="J66" s="267">
        <v>21</v>
      </c>
      <c r="K66" s="266" t="s">
        <v>570</v>
      </c>
      <c r="L66" s="267">
        <v>2018</v>
      </c>
      <c r="M66" s="267" t="s">
        <v>614</v>
      </c>
      <c r="N66" s="267">
        <v>20</v>
      </c>
      <c r="O66" s="267">
        <v>201</v>
      </c>
      <c r="P66" s="282" t="s">
        <v>615</v>
      </c>
      <c r="Q66" s="267">
        <v>-70.885000000000005</v>
      </c>
      <c r="R66" s="267">
        <v>41.201000000000001</v>
      </c>
      <c r="S66" s="267" t="s">
        <v>271</v>
      </c>
      <c r="T66" s="267">
        <v>25</v>
      </c>
      <c r="U66" s="266" t="s">
        <v>573</v>
      </c>
      <c r="V66" s="268">
        <v>1.0439999999999998</v>
      </c>
      <c r="W66" s="268">
        <v>0.17799999999999999</v>
      </c>
      <c r="X66" s="268">
        <v>0.157</v>
      </c>
      <c r="Y66" s="178">
        <v>9.9000000000000005E-2</v>
      </c>
      <c r="Z66" s="178">
        <v>3.7999999999999999E-2</v>
      </c>
      <c r="AA66" s="178">
        <v>9.7000000000000003E-2</v>
      </c>
      <c r="AB66" s="178">
        <v>3.3000000000000002E-2</v>
      </c>
      <c r="AC66" s="178">
        <v>0.17399999999999999</v>
      </c>
      <c r="AD66" s="178">
        <v>3.9E-2</v>
      </c>
      <c r="AE66" s="178">
        <v>0.16600000000000001</v>
      </c>
      <c r="AF66" s="178">
        <v>0.09</v>
      </c>
      <c r="AG66" s="178">
        <v>0.11700000000000001</v>
      </c>
      <c r="AH66" s="178">
        <v>1.0249999999999999</v>
      </c>
      <c r="AI66" s="178">
        <v>-8888</v>
      </c>
      <c r="AJ66" s="178">
        <v>1.9E-2</v>
      </c>
      <c r="AK66" s="178">
        <v>0.17799999999999999</v>
      </c>
      <c r="AL66" s="178">
        <v>-8888</v>
      </c>
      <c r="AM66" s="178">
        <v>0.1</v>
      </c>
      <c r="AN66" s="178">
        <v>5.7000000000000002E-2</v>
      </c>
      <c r="AO66" s="178">
        <v>1.0999999999999999E-2</v>
      </c>
      <c r="AP66" s="178">
        <v>1.7999999999999999E-2</v>
      </c>
      <c r="AQ66" s="178">
        <v>2.7E-2</v>
      </c>
      <c r="AR66" s="178">
        <v>0.01</v>
      </c>
      <c r="AS66" s="178">
        <v>-8888</v>
      </c>
      <c r="AT66" s="178">
        <v>2.5000000000000001E-2</v>
      </c>
      <c r="AU66" s="178">
        <v>-8888</v>
      </c>
      <c r="AV66" s="178">
        <v>1.3789999999999998</v>
      </c>
      <c r="AW66" s="178">
        <v>0.46199999999999997</v>
      </c>
      <c r="AX66" s="178">
        <v>0.39100000000000001</v>
      </c>
      <c r="AY66" s="178">
        <v>1.7699999999999998</v>
      </c>
      <c r="AZ66" s="178">
        <v>0.85299999999999998</v>
      </c>
      <c r="BA66" s="178">
        <v>1.1879999999999999</v>
      </c>
      <c r="BB66" s="178">
        <v>2.2319999999999998</v>
      </c>
      <c r="BC66" s="178">
        <v>0.71900000000000008</v>
      </c>
      <c r="BD66" s="179">
        <v>1.1399999999999999</v>
      </c>
      <c r="BE66" s="179">
        <v>0.46</v>
      </c>
      <c r="BF66" s="179">
        <v>0.54</v>
      </c>
      <c r="BG66" s="179">
        <v>1.62</v>
      </c>
      <c r="BH66" s="179">
        <v>0.21</v>
      </c>
      <c r="BI66" s="179">
        <v>0.79</v>
      </c>
      <c r="BJ66" s="179">
        <v>0.47</v>
      </c>
      <c r="BK66" s="174"/>
      <c r="BL66" s="190"/>
      <c r="BM66" s="190"/>
    </row>
    <row r="67" spans="1:65" s="140" customFormat="1" ht="14.1" customHeight="1">
      <c r="A67" s="183" t="s">
        <v>360</v>
      </c>
      <c r="B67" s="266" t="s">
        <v>435</v>
      </c>
      <c r="C67" s="275" t="s">
        <v>645</v>
      </c>
      <c r="D67" s="266" t="s">
        <v>495</v>
      </c>
      <c r="E67" s="267" t="s">
        <v>272</v>
      </c>
      <c r="F67" s="267">
        <v>548</v>
      </c>
      <c r="G67" s="267">
        <v>1</v>
      </c>
      <c r="H67" s="267">
        <v>12</v>
      </c>
      <c r="I67" s="267">
        <v>1.8</v>
      </c>
      <c r="J67" s="267">
        <v>21</v>
      </c>
      <c r="K67" s="266" t="s">
        <v>570</v>
      </c>
      <c r="L67" s="267">
        <v>2018</v>
      </c>
      <c r="M67" s="267" t="s">
        <v>614</v>
      </c>
      <c r="N67" s="267">
        <v>20</v>
      </c>
      <c r="O67" s="267">
        <v>201</v>
      </c>
      <c r="P67" s="282" t="s">
        <v>615</v>
      </c>
      <c r="Q67" s="267">
        <v>-70.885000000000005</v>
      </c>
      <c r="R67" s="267">
        <v>41.201000000000001</v>
      </c>
      <c r="S67" s="267" t="s">
        <v>271</v>
      </c>
      <c r="T67" s="267">
        <v>25</v>
      </c>
      <c r="U67" s="266" t="s">
        <v>573</v>
      </c>
      <c r="V67" s="274">
        <v>1.071</v>
      </c>
      <c r="W67" s="274">
        <v>0.17599999999999999</v>
      </c>
      <c r="X67" s="268">
        <v>0.16799999999999998</v>
      </c>
      <c r="Y67" s="178">
        <v>0.10299999999999999</v>
      </c>
      <c r="Z67" s="178">
        <v>3.9E-2</v>
      </c>
      <c r="AA67" s="178">
        <v>0.104</v>
      </c>
      <c r="AB67" s="178">
        <v>3.4000000000000002E-2</v>
      </c>
      <c r="AC67" s="178">
        <v>0.188</v>
      </c>
      <c r="AD67" s="178">
        <v>3.9E-2</v>
      </c>
      <c r="AE67" s="178">
        <v>0.16200000000000001</v>
      </c>
      <c r="AF67" s="178">
        <v>0.108</v>
      </c>
      <c r="AG67" s="178">
        <v>0.122</v>
      </c>
      <c r="AH67" s="178">
        <v>1.0569999999999999</v>
      </c>
      <c r="AI67" s="178">
        <v>-8888</v>
      </c>
      <c r="AJ67" s="178">
        <v>1.4E-2</v>
      </c>
      <c r="AK67" s="178">
        <v>0.17599999999999999</v>
      </c>
      <c r="AL67" s="178">
        <v>-8888</v>
      </c>
      <c r="AM67" s="178">
        <v>0.108</v>
      </c>
      <c r="AN67" s="178">
        <v>0.06</v>
      </c>
      <c r="AO67" s="178">
        <v>1.0999999999999999E-2</v>
      </c>
      <c r="AP67" s="178">
        <v>1.9E-2</v>
      </c>
      <c r="AQ67" s="178">
        <v>2.8000000000000001E-2</v>
      </c>
      <c r="AR67" s="178">
        <v>8.9999999999999993E-3</v>
      </c>
      <c r="AS67" s="178">
        <v>-8888</v>
      </c>
      <c r="AT67" s="178">
        <v>2.5999999999999999E-2</v>
      </c>
      <c r="AU67" s="178">
        <v>-8888</v>
      </c>
      <c r="AV67" s="178">
        <v>1.4149999999999998</v>
      </c>
      <c r="AW67" s="178">
        <v>0.48599999999999999</v>
      </c>
      <c r="AX67" s="178">
        <v>0.41299999999999998</v>
      </c>
      <c r="AY67" s="178">
        <v>1.8279999999999998</v>
      </c>
      <c r="AZ67" s="178">
        <v>0.89900000000000002</v>
      </c>
      <c r="BA67" s="178">
        <v>1.2429999999999999</v>
      </c>
      <c r="BB67" s="178">
        <v>2.3140000000000001</v>
      </c>
      <c r="BC67" s="178">
        <v>0.74499999999999988</v>
      </c>
      <c r="BD67" s="179">
        <v>1.1599999999999999</v>
      </c>
      <c r="BE67" s="179">
        <v>0.46</v>
      </c>
      <c r="BF67" s="179">
        <v>0.54</v>
      </c>
      <c r="BG67" s="179">
        <v>1.57</v>
      </c>
      <c r="BH67" s="179">
        <v>0.21</v>
      </c>
      <c r="BI67" s="179">
        <v>0.79</v>
      </c>
      <c r="BJ67" s="179">
        <v>0.46</v>
      </c>
      <c r="BK67" s="174"/>
      <c r="BL67" s="190" t="s">
        <v>672</v>
      </c>
    </row>
    <row r="68" spans="1:65" s="140" customFormat="1" ht="14.1" customHeight="1">
      <c r="A68" s="183" t="s">
        <v>361</v>
      </c>
      <c r="B68" s="266" t="s">
        <v>435</v>
      </c>
      <c r="C68" s="275" t="s">
        <v>673</v>
      </c>
      <c r="D68" s="266" t="s">
        <v>495</v>
      </c>
      <c r="E68" s="267" t="s">
        <v>269</v>
      </c>
      <c r="F68" s="267">
        <v>547</v>
      </c>
      <c r="G68" s="267">
        <v>2</v>
      </c>
      <c r="H68" s="267">
        <v>11</v>
      </c>
      <c r="I68" s="267">
        <v>20</v>
      </c>
      <c r="J68" s="267">
        <v>45</v>
      </c>
      <c r="K68" s="266" t="s">
        <v>570</v>
      </c>
      <c r="L68" s="267">
        <v>2018</v>
      </c>
      <c r="M68" s="267" t="s">
        <v>614</v>
      </c>
      <c r="N68" s="267">
        <v>20</v>
      </c>
      <c r="O68" s="267">
        <v>201</v>
      </c>
      <c r="P68" s="282" t="s">
        <v>616</v>
      </c>
      <c r="Q68" s="267">
        <v>-70.881</v>
      </c>
      <c r="R68" s="267">
        <v>41.03</v>
      </c>
      <c r="S68" s="267" t="s">
        <v>271</v>
      </c>
      <c r="T68" s="267">
        <v>25</v>
      </c>
      <c r="U68" s="266" t="s">
        <v>573</v>
      </c>
      <c r="V68" s="274">
        <v>2.6179999999999999</v>
      </c>
      <c r="W68" s="274">
        <v>0.34600000000000003</v>
      </c>
      <c r="X68" s="268">
        <v>0.64100000000000001</v>
      </c>
      <c r="Y68" s="178">
        <v>0.123</v>
      </c>
      <c r="Z68" s="178">
        <v>4.3999999999999997E-2</v>
      </c>
      <c r="AA68" s="178">
        <v>0.309</v>
      </c>
      <c r="AB68" s="178">
        <v>0.17899999999999999</v>
      </c>
      <c r="AC68" s="178">
        <v>8.7999999999999995E-2</v>
      </c>
      <c r="AD68" s="178">
        <v>-8888</v>
      </c>
      <c r="AE68" s="178">
        <v>0.70599999999999996</v>
      </c>
      <c r="AF68" s="178">
        <v>0.122</v>
      </c>
      <c r="AG68" s="178">
        <v>4.3999999999999997E-2</v>
      </c>
      <c r="AH68" s="178">
        <v>2.5960000000000001</v>
      </c>
      <c r="AI68" s="178">
        <v>-8888</v>
      </c>
      <c r="AJ68" s="178">
        <v>2.1999999999999999E-2</v>
      </c>
      <c r="AK68" s="178">
        <v>0.34</v>
      </c>
      <c r="AL68" s="178">
        <v>6.0000000000000001E-3</v>
      </c>
      <c r="AM68" s="178">
        <v>0.34899999999999998</v>
      </c>
      <c r="AN68" s="178">
        <v>0.29199999999999998</v>
      </c>
      <c r="AO68" s="178">
        <v>-8888</v>
      </c>
      <c r="AP68" s="178">
        <v>3.5999999999999997E-2</v>
      </c>
      <c r="AQ68" s="178">
        <v>2.7E-2</v>
      </c>
      <c r="AR68" s="178">
        <v>2.3E-2</v>
      </c>
      <c r="AS68" s="178">
        <v>0.08</v>
      </c>
      <c r="AT68" s="178">
        <v>0.189</v>
      </c>
      <c r="AU68" s="178">
        <v>-8888</v>
      </c>
      <c r="AV68" s="178">
        <v>3.605</v>
      </c>
      <c r="AW68" s="178">
        <v>0.434</v>
      </c>
      <c r="AX68" s="178">
        <v>1.181</v>
      </c>
      <c r="AY68" s="178">
        <v>4.7859999999999996</v>
      </c>
      <c r="AZ68" s="178">
        <v>1.615</v>
      </c>
      <c r="BA68" s="178">
        <v>2.6020000000000003</v>
      </c>
      <c r="BB68" s="178">
        <v>5.2200000000000006</v>
      </c>
      <c r="BC68" s="178">
        <v>1.75</v>
      </c>
      <c r="BD68" s="179">
        <v>0.99</v>
      </c>
      <c r="BE68" s="179">
        <v>0.73</v>
      </c>
      <c r="BF68" s="179">
        <v>0.27</v>
      </c>
      <c r="BG68" s="179">
        <v>2.23</v>
      </c>
      <c r="BH68" s="179">
        <v>0.08</v>
      </c>
      <c r="BI68" s="179">
        <v>0.92</v>
      </c>
      <c r="BJ68" s="179">
        <v>0.5</v>
      </c>
      <c r="BK68" s="174"/>
      <c r="BL68" s="190" t="s">
        <v>674</v>
      </c>
    </row>
    <row r="69" spans="1:65" s="140" customFormat="1" ht="14.1" customHeight="1">
      <c r="A69" s="175" t="s">
        <v>362</v>
      </c>
      <c r="B69" s="266" t="s">
        <v>435</v>
      </c>
      <c r="C69" s="266" t="s">
        <v>499</v>
      </c>
      <c r="D69" s="266" t="s">
        <v>495</v>
      </c>
      <c r="E69" s="267" t="s">
        <v>269</v>
      </c>
      <c r="F69" s="267">
        <v>547</v>
      </c>
      <c r="G69" s="267">
        <v>2</v>
      </c>
      <c r="H69" s="267">
        <v>16</v>
      </c>
      <c r="I69" s="267">
        <v>3.2</v>
      </c>
      <c r="J69" s="267">
        <v>45</v>
      </c>
      <c r="K69" s="266" t="s">
        <v>570</v>
      </c>
      <c r="L69" s="267">
        <v>2018</v>
      </c>
      <c r="M69" s="267" t="s">
        <v>614</v>
      </c>
      <c r="N69" s="267">
        <v>20</v>
      </c>
      <c r="O69" s="267">
        <v>201</v>
      </c>
      <c r="P69" s="282" t="s">
        <v>616</v>
      </c>
      <c r="Q69" s="267">
        <v>-70.881</v>
      </c>
      <c r="R69" s="267">
        <v>41.03</v>
      </c>
      <c r="S69" s="267" t="s">
        <v>271</v>
      </c>
      <c r="T69" s="267">
        <v>25</v>
      </c>
      <c r="U69" s="266" t="s">
        <v>573</v>
      </c>
      <c r="V69" s="268">
        <v>0.48699999999999999</v>
      </c>
      <c r="W69" s="268">
        <v>0.02</v>
      </c>
      <c r="X69" s="268">
        <v>0.11599999999999999</v>
      </c>
      <c r="Y69" s="178">
        <v>3.1E-2</v>
      </c>
      <c r="Z69" s="178">
        <v>5.1999999999999998E-2</v>
      </c>
      <c r="AA69" s="178">
        <v>0.13700000000000001</v>
      </c>
      <c r="AB69" s="178">
        <v>1.2999999999999999E-2</v>
      </c>
      <c r="AC69" s="178">
        <v>7.9000000000000001E-2</v>
      </c>
      <c r="AD69" s="178">
        <v>0.01</v>
      </c>
      <c r="AE69" s="178">
        <v>0.08</v>
      </c>
      <c r="AF69" s="178">
        <v>1.2999999999999999E-2</v>
      </c>
      <c r="AG69" s="178">
        <v>1.9E-2</v>
      </c>
      <c r="AH69" s="178">
        <v>0.48</v>
      </c>
      <c r="AI69" s="178">
        <v>4.0000000000000001E-3</v>
      </c>
      <c r="AJ69" s="178">
        <v>3.0000000000000001E-3</v>
      </c>
      <c r="AK69" s="178">
        <v>0.02</v>
      </c>
      <c r="AL69" s="178">
        <v>-8888</v>
      </c>
      <c r="AM69" s="178">
        <v>6.3E-2</v>
      </c>
      <c r="AN69" s="178">
        <v>5.2999999999999999E-2</v>
      </c>
      <c r="AO69" s="178">
        <v>1E-3</v>
      </c>
      <c r="AP69" s="178">
        <v>3.0000000000000001E-3</v>
      </c>
      <c r="AQ69" s="178">
        <v>1.2E-2</v>
      </c>
      <c r="AR69" s="178">
        <v>4.0000000000000001E-3</v>
      </c>
      <c r="AS69" s="178">
        <v>-8888</v>
      </c>
      <c r="AT69" s="178">
        <v>8.0000000000000002E-3</v>
      </c>
      <c r="AU69" s="178">
        <v>-8888</v>
      </c>
      <c r="AV69" s="178">
        <v>0.623</v>
      </c>
      <c r="AW69" s="178">
        <v>0.152</v>
      </c>
      <c r="AX69" s="178">
        <v>0.28200000000000003</v>
      </c>
      <c r="AY69" s="178">
        <v>0.90500000000000003</v>
      </c>
      <c r="AZ69" s="178">
        <v>0.43400000000000005</v>
      </c>
      <c r="BA69" s="178">
        <v>0.57000000000000006</v>
      </c>
      <c r="BB69" s="178">
        <v>1.0569999999999999</v>
      </c>
      <c r="BC69" s="178">
        <v>0.33400000000000002</v>
      </c>
      <c r="BD69" s="179">
        <v>1.17</v>
      </c>
      <c r="BE69" s="179">
        <v>0.65</v>
      </c>
      <c r="BF69" s="179">
        <v>0.35</v>
      </c>
      <c r="BG69" s="179">
        <v>1.44</v>
      </c>
      <c r="BH69" s="179">
        <v>0.14000000000000001</v>
      </c>
      <c r="BI69" s="179">
        <v>0.86</v>
      </c>
      <c r="BJ69" s="179">
        <v>0.46</v>
      </c>
      <c r="BK69" s="174"/>
      <c r="BL69" s="190"/>
      <c r="BM69" s="190"/>
    </row>
    <row r="70" spans="1:65" s="140" customFormat="1" ht="14.1" customHeight="1">
      <c r="A70" s="175" t="s">
        <v>363</v>
      </c>
      <c r="B70" s="266" t="s">
        <v>435</v>
      </c>
      <c r="C70" s="266" t="s">
        <v>500</v>
      </c>
      <c r="D70" s="266" t="s">
        <v>495</v>
      </c>
      <c r="E70" s="267" t="s">
        <v>269</v>
      </c>
      <c r="F70" s="267">
        <v>547</v>
      </c>
      <c r="G70" s="267">
        <v>5</v>
      </c>
      <c r="H70" s="267">
        <v>6</v>
      </c>
      <c r="I70" s="267">
        <v>25.2</v>
      </c>
      <c r="J70" s="267">
        <v>55</v>
      </c>
      <c r="K70" s="266" t="s">
        <v>570</v>
      </c>
      <c r="L70" s="267">
        <v>2018</v>
      </c>
      <c r="M70" s="267" t="s">
        <v>614</v>
      </c>
      <c r="N70" s="267">
        <v>21</v>
      </c>
      <c r="O70" s="267">
        <v>202</v>
      </c>
      <c r="P70" s="282" t="s">
        <v>617</v>
      </c>
      <c r="Q70" s="267">
        <v>-70.882999999999996</v>
      </c>
      <c r="R70" s="267">
        <v>40.863999999999997</v>
      </c>
      <c r="S70" s="267" t="s">
        <v>271</v>
      </c>
      <c r="T70" s="267">
        <v>25</v>
      </c>
      <c r="U70" s="266" t="s">
        <v>573</v>
      </c>
      <c r="V70" s="268">
        <v>2.4890000000000003</v>
      </c>
      <c r="W70" s="268">
        <v>0.42299999999999999</v>
      </c>
      <c r="X70" s="268">
        <v>0.627</v>
      </c>
      <c r="Y70" s="178">
        <v>0.13</v>
      </c>
      <c r="Z70" s="178">
        <v>4.9000000000000002E-2</v>
      </c>
      <c r="AA70" s="178">
        <v>0.47099999999999997</v>
      </c>
      <c r="AB70" s="178">
        <v>0.155</v>
      </c>
      <c r="AC70" s="178">
        <v>8.3000000000000004E-2</v>
      </c>
      <c r="AD70" s="178">
        <v>-8888</v>
      </c>
      <c r="AE70" s="178">
        <v>0.52700000000000002</v>
      </c>
      <c r="AF70" s="178">
        <v>5.3999999999999999E-2</v>
      </c>
      <c r="AG70" s="178">
        <v>5.1999999999999998E-2</v>
      </c>
      <c r="AH70" s="178">
        <v>2.4740000000000002</v>
      </c>
      <c r="AI70" s="178">
        <v>-8888</v>
      </c>
      <c r="AJ70" s="178">
        <v>1.4999999999999999E-2</v>
      </c>
      <c r="AK70" s="178">
        <v>0.41</v>
      </c>
      <c r="AL70" s="178">
        <v>1.2999999999999999E-2</v>
      </c>
      <c r="AM70" s="178">
        <v>0.32400000000000001</v>
      </c>
      <c r="AN70" s="178">
        <v>0.30299999999999999</v>
      </c>
      <c r="AO70" s="178">
        <v>3.0000000000000001E-3</v>
      </c>
      <c r="AP70" s="178">
        <v>4.3999999999999997E-2</v>
      </c>
      <c r="AQ70" s="178">
        <v>2.9000000000000001E-2</v>
      </c>
      <c r="AR70" s="178">
        <v>2.4E-2</v>
      </c>
      <c r="AS70" s="178">
        <v>4.8000000000000001E-2</v>
      </c>
      <c r="AT70" s="178">
        <v>0.20399999999999999</v>
      </c>
      <c r="AU70" s="178">
        <v>-8888</v>
      </c>
      <c r="AV70" s="178">
        <v>3.5390000000000006</v>
      </c>
      <c r="AW70" s="178">
        <v>0.42</v>
      </c>
      <c r="AX70" s="178">
        <v>1.1010000000000002</v>
      </c>
      <c r="AY70" s="178">
        <v>4.6400000000000006</v>
      </c>
      <c r="AZ70" s="178">
        <v>1.5210000000000001</v>
      </c>
      <c r="BA70" s="178">
        <v>2.5710000000000002</v>
      </c>
      <c r="BB70" s="178">
        <v>5.0600000000000005</v>
      </c>
      <c r="BC70" s="178">
        <v>1.7310000000000003</v>
      </c>
      <c r="BD70" s="179">
        <v>1.03</v>
      </c>
      <c r="BE70" s="179">
        <v>0.72</v>
      </c>
      <c r="BF70" s="179">
        <v>0.28000000000000003</v>
      </c>
      <c r="BG70" s="179">
        <v>2.33</v>
      </c>
      <c r="BH70" s="179">
        <v>0.08</v>
      </c>
      <c r="BI70" s="179">
        <v>0.92</v>
      </c>
      <c r="BJ70" s="179">
        <v>0.49</v>
      </c>
      <c r="BK70" s="174"/>
      <c r="BL70" s="190"/>
      <c r="BM70" s="190"/>
    </row>
    <row r="71" spans="1:65" s="140" customFormat="1" ht="14.1" customHeight="1">
      <c r="A71" s="175" t="s">
        <v>364</v>
      </c>
      <c r="B71" s="266" t="s">
        <v>435</v>
      </c>
      <c r="C71" s="266" t="s">
        <v>501</v>
      </c>
      <c r="D71" s="266" t="s">
        <v>495</v>
      </c>
      <c r="E71" s="267" t="s">
        <v>272</v>
      </c>
      <c r="F71" s="267">
        <v>547</v>
      </c>
      <c r="G71" s="267">
        <v>5</v>
      </c>
      <c r="H71" s="267">
        <v>16</v>
      </c>
      <c r="I71" s="267">
        <v>1.6</v>
      </c>
      <c r="J71" s="267">
        <v>55</v>
      </c>
      <c r="K71" s="266" t="s">
        <v>570</v>
      </c>
      <c r="L71" s="267">
        <v>2018</v>
      </c>
      <c r="M71" s="267" t="s">
        <v>614</v>
      </c>
      <c r="N71" s="267">
        <v>21</v>
      </c>
      <c r="O71" s="267">
        <v>202</v>
      </c>
      <c r="P71" s="282" t="s">
        <v>617</v>
      </c>
      <c r="Q71" s="267">
        <v>-70.882999999999996</v>
      </c>
      <c r="R71" s="267">
        <v>40.863999999999997</v>
      </c>
      <c r="S71" s="267" t="s">
        <v>271</v>
      </c>
      <c r="T71" s="267">
        <v>25</v>
      </c>
      <c r="U71" s="266" t="s">
        <v>573</v>
      </c>
      <c r="V71" s="268">
        <v>0.33100000000000002</v>
      </c>
      <c r="W71" s="268">
        <v>1.0999999999999999E-2</v>
      </c>
      <c r="X71" s="268">
        <v>8.6999999999999994E-2</v>
      </c>
      <c r="Y71" s="178">
        <v>2.1999999999999999E-2</v>
      </c>
      <c r="Z71" s="178">
        <v>0.04</v>
      </c>
      <c r="AA71" s="178">
        <v>0.114</v>
      </c>
      <c r="AB71" s="178">
        <v>2E-3</v>
      </c>
      <c r="AC71" s="178">
        <v>5.2999999999999999E-2</v>
      </c>
      <c r="AD71" s="178">
        <v>4.0000000000000001E-3</v>
      </c>
      <c r="AE71" s="178">
        <v>4.3999999999999997E-2</v>
      </c>
      <c r="AF71" s="178">
        <v>0.01</v>
      </c>
      <c r="AG71" s="178">
        <v>0.01</v>
      </c>
      <c r="AH71" s="178">
        <v>0.32300000000000001</v>
      </c>
      <c r="AI71" s="178">
        <v>5.0000000000000001E-3</v>
      </c>
      <c r="AJ71" s="178">
        <v>4.0000000000000001E-3</v>
      </c>
      <c r="AK71" s="178">
        <v>1.0999999999999999E-2</v>
      </c>
      <c r="AL71" s="178">
        <v>-8888</v>
      </c>
      <c r="AM71" s="178">
        <v>4.2999999999999997E-2</v>
      </c>
      <c r="AN71" s="178">
        <v>4.3999999999999997E-2</v>
      </c>
      <c r="AO71" s="178">
        <v>-8888</v>
      </c>
      <c r="AP71" s="178">
        <v>-8888</v>
      </c>
      <c r="AQ71" s="178">
        <v>5.0000000000000001E-3</v>
      </c>
      <c r="AR71" s="178">
        <v>3.0000000000000001E-3</v>
      </c>
      <c r="AS71" s="178">
        <v>-8888</v>
      </c>
      <c r="AT71" s="178">
        <v>4.0000000000000001E-3</v>
      </c>
      <c r="AU71" s="178">
        <v>-8888</v>
      </c>
      <c r="AV71" s="178">
        <v>0.42900000000000005</v>
      </c>
      <c r="AW71" s="178">
        <v>9.0999999999999998E-2</v>
      </c>
      <c r="AX71" s="178">
        <v>0.20800000000000002</v>
      </c>
      <c r="AY71" s="178">
        <v>0.63700000000000001</v>
      </c>
      <c r="AZ71" s="178">
        <v>0.29900000000000004</v>
      </c>
      <c r="BA71" s="178">
        <v>0.39700000000000002</v>
      </c>
      <c r="BB71" s="178">
        <v>0.72799999999999998</v>
      </c>
      <c r="BC71" s="178">
        <v>0.23100000000000001</v>
      </c>
      <c r="BD71" s="179">
        <v>1.2</v>
      </c>
      <c r="BE71" s="179">
        <v>0.7</v>
      </c>
      <c r="BF71" s="179">
        <v>0.3</v>
      </c>
      <c r="BG71" s="179">
        <v>1.43</v>
      </c>
      <c r="BH71" s="179">
        <v>0.13</v>
      </c>
      <c r="BI71" s="179">
        <v>0.88</v>
      </c>
      <c r="BJ71" s="179">
        <v>0.45</v>
      </c>
      <c r="BK71" s="174"/>
      <c r="BL71" s="190"/>
      <c r="BM71" s="190"/>
    </row>
    <row r="72" spans="1:65" s="140" customFormat="1" ht="14.1" customHeight="1">
      <c r="A72" s="175" t="s">
        <v>365</v>
      </c>
      <c r="B72" s="266" t="s">
        <v>435</v>
      </c>
      <c r="C72" s="266" t="s">
        <v>502</v>
      </c>
      <c r="D72" s="266" t="s">
        <v>495</v>
      </c>
      <c r="E72" s="267" t="s">
        <v>272</v>
      </c>
      <c r="F72" s="267">
        <v>547</v>
      </c>
      <c r="G72" s="267">
        <v>5</v>
      </c>
      <c r="H72" s="267">
        <v>16</v>
      </c>
      <c r="I72" s="267">
        <v>1.6</v>
      </c>
      <c r="J72" s="267">
        <v>55</v>
      </c>
      <c r="K72" s="266" t="s">
        <v>570</v>
      </c>
      <c r="L72" s="267">
        <v>2018</v>
      </c>
      <c r="M72" s="267" t="s">
        <v>614</v>
      </c>
      <c r="N72" s="267">
        <v>21</v>
      </c>
      <c r="O72" s="267">
        <v>202</v>
      </c>
      <c r="P72" s="282" t="s">
        <v>617</v>
      </c>
      <c r="Q72" s="267">
        <v>-70.882999999999996</v>
      </c>
      <c r="R72" s="267">
        <v>40.863999999999997</v>
      </c>
      <c r="S72" s="267" t="s">
        <v>271</v>
      </c>
      <c r="T72" s="267">
        <v>25</v>
      </c>
      <c r="U72" s="266" t="s">
        <v>573</v>
      </c>
      <c r="V72" s="268">
        <v>0.32800000000000001</v>
      </c>
      <c r="W72" s="268">
        <v>0.01</v>
      </c>
      <c r="X72" s="268">
        <v>8.4999999999999992E-2</v>
      </c>
      <c r="Y72" s="178">
        <v>2.1999999999999999E-2</v>
      </c>
      <c r="Z72" s="178">
        <v>0.04</v>
      </c>
      <c r="AA72" s="178">
        <v>0.112</v>
      </c>
      <c r="AB72" s="178">
        <v>2E-3</v>
      </c>
      <c r="AC72" s="178">
        <v>5.3999999999999999E-2</v>
      </c>
      <c r="AD72" s="178">
        <v>5.0000000000000001E-3</v>
      </c>
      <c r="AE72" s="178">
        <v>4.3999999999999997E-2</v>
      </c>
      <c r="AF72" s="178">
        <v>8.9999999999999993E-3</v>
      </c>
      <c r="AG72" s="178">
        <v>1.0999999999999999E-2</v>
      </c>
      <c r="AH72" s="178">
        <v>0.31900000000000001</v>
      </c>
      <c r="AI72" s="178">
        <v>5.0000000000000001E-3</v>
      </c>
      <c r="AJ72" s="178">
        <v>4.0000000000000001E-3</v>
      </c>
      <c r="AK72" s="178">
        <v>0.01</v>
      </c>
      <c r="AL72" s="178">
        <v>-8888</v>
      </c>
      <c r="AM72" s="178">
        <v>4.2000000000000003E-2</v>
      </c>
      <c r="AN72" s="178">
        <v>4.2999999999999997E-2</v>
      </c>
      <c r="AO72" s="178">
        <v>-8888</v>
      </c>
      <c r="AP72" s="178">
        <v>-8888</v>
      </c>
      <c r="AQ72" s="178">
        <v>5.0000000000000001E-3</v>
      </c>
      <c r="AR72" s="178">
        <v>2E-3</v>
      </c>
      <c r="AS72" s="178">
        <v>-8888</v>
      </c>
      <c r="AT72" s="178">
        <v>4.0000000000000001E-3</v>
      </c>
      <c r="AU72" s="178">
        <v>-8888</v>
      </c>
      <c r="AV72" s="178">
        <v>0.42300000000000004</v>
      </c>
      <c r="AW72" s="178">
        <v>9.4E-2</v>
      </c>
      <c r="AX72" s="178">
        <v>0.20500000000000002</v>
      </c>
      <c r="AY72" s="178">
        <v>0.62800000000000011</v>
      </c>
      <c r="AZ72" s="178">
        <v>0.29900000000000004</v>
      </c>
      <c r="BA72" s="178">
        <v>0.39400000000000002</v>
      </c>
      <c r="BB72" s="178">
        <v>0.72199999999999998</v>
      </c>
      <c r="BC72" s="178">
        <v>0.22800000000000001</v>
      </c>
      <c r="BD72" s="179">
        <v>1.2</v>
      </c>
      <c r="BE72" s="179">
        <v>0.69</v>
      </c>
      <c r="BF72" s="179">
        <v>0.31</v>
      </c>
      <c r="BG72" s="179">
        <v>1.41</v>
      </c>
      <c r="BH72" s="179">
        <v>0.13</v>
      </c>
      <c r="BI72" s="179">
        <v>0.87</v>
      </c>
      <c r="BJ72" s="179">
        <v>0.45</v>
      </c>
      <c r="BK72" s="174"/>
      <c r="BL72" s="190"/>
      <c r="BM72" s="190"/>
    </row>
    <row r="73" spans="1:65" s="140" customFormat="1" ht="14.1" customHeight="1">
      <c r="A73" s="175" t="s">
        <v>366</v>
      </c>
      <c r="B73" s="266" t="s">
        <v>435</v>
      </c>
      <c r="C73" s="266" t="s">
        <v>503</v>
      </c>
      <c r="D73" s="266" t="s">
        <v>495</v>
      </c>
      <c r="E73" s="267" t="s">
        <v>269</v>
      </c>
      <c r="F73" s="267">
        <v>547</v>
      </c>
      <c r="G73" s="267">
        <v>8</v>
      </c>
      <c r="H73" s="267">
        <v>16</v>
      </c>
      <c r="I73" s="267">
        <v>2.2999999999999998</v>
      </c>
      <c r="J73" s="267">
        <v>60</v>
      </c>
      <c r="K73" s="266" t="s">
        <v>570</v>
      </c>
      <c r="L73" s="267">
        <v>2018</v>
      </c>
      <c r="M73" s="267" t="s">
        <v>614</v>
      </c>
      <c r="N73" s="267">
        <v>21</v>
      </c>
      <c r="O73" s="267">
        <v>202</v>
      </c>
      <c r="P73" s="282" t="s">
        <v>618</v>
      </c>
      <c r="Q73" s="267">
        <v>-70.88</v>
      </c>
      <c r="R73" s="267">
        <v>40.698999999999998</v>
      </c>
      <c r="S73" s="267" t="s">
        <v>271</v>
      </c>
      <c r="T73" s="267">
        <v>25</v>
      </c>
      <c r="U73" s="266" t="s">
        <v>573</v>
      </c>
      <c r="V73" s="268">
        <v>0.433</v>
      </c>
      <c r="W73" s="268">
        <v>1.2999999999999999E-2</v>
      </c>
      <c r="X73" s="268">
        <v>0.11399999999999999</v>
      </c>
      <c r="Y73" s="178">
        <v>2.7E-2</v>
      </c>
      <c r="Z73" s="178">
        <v>5.6000000000000001E-2</v>
      </c>
      <c r="AA73" s="178">
        <v>0.14899999999999999</v>
      </c>
      <c r="AB73" s="178">
        <v>8.0000000000000002E-3</v>
      </c>
      <c r="AC73" s="178">
        <v>8.7999999999999995E-2</v>
      </c>
      <c r="AD73" s="178">
        <v>5.0000000000000001E-3</v>
      </c>
      <c r="AE73" s="178">
        <v>6.0999999999999999E-2</v>
      </c>
      <c r="AF73" s="178">
        <v>8.0000000000000002E-3</v>
      </c>
      <c r="AG73" s="178">
        <v>1.4E-2</v>
      </c>
      <c r="AH73" s="178">
        <v>0.42599999999999999</v>
      </c>
      <c r="AI73" s="178">
        <v>5.0000000000000001E-3</v>
      </c>
      <c r="AJ73" s="178">
        <v>2E-3</v>
      </c>
      <c r="AK73" s="178">
        <v>1.2999999999999999E-2</v>
      </c>
      <c r="AL73" s="178">
        <v>-8888</v>
      </c>
      <c r="AM73" s="178">
        <v>0.06</v>
      </c>
      <c r="AN73" s="178">
        <v>5.3999999999999999E-2</v>
      </c>
      <c r="AO73" s="178">
        <v>-8888</v>
      </c>
      <c r="AP73" s="178">
        <v>-8888</v>
      </c>
      <c r="AQ73" s="178">
        <v>5.0000000000000001E-3</v>
      </c>
      <c r="AR73" s="178">
        <v>4.0000000000000001E-3</v>
      </c>
      <c r="AS73" s="178">
        <v>-8888</v>
      </c>
      <c r="AT73" s="178">
        <v>4.0000000000000001E-3</v>
      </c>
      <c r="AU73" s="178">
        <v>-8888</v>
      </c>
      <c r="AV73" s="178">
        <v>0.56000000000000005</v>
      </c>
      <c r="AW73" s="178">
        <v>0.14200000000000002</v>
      </c>
      <c r="AX73" s="178">
        <v>0.27400000000000002</v>
      </c>
      <c r="AY73" s="178">
        <v>0.83400000000000007</v>
      </c>
      <c r="AZ73" s="178">
        <v>0.41600000000000004</v>
      </c>
      <c r="BA73" s="178">
        <v>0.54300000000000004</v>
      </c>
      <c r="BB73" s="178">
        <v>0.97599999999999998</v>
      </c>
      <c r="BC73" s="178">
        <v>0.309</v>
      </c>
      <c r="BD73" s="179">
        <v>1.25</v>
      </c>
      <c r="BE73" s="179">
        <v>0.66</v>
      </c>
      <c r="BF73" s="179">
        <v>0.34</v>
      </c>
      <c r="BG73" s="179">
        <v>1.35</v>
      </c>
      <c r="BH73" s="179">
        <v>0.15</v>
      </c>
      <c r="BI73" s="179">
        <v>0.85</v>
      </c>
      <c r="BJ73" s="179">
        <v>0.44</v>
      </c>
      <c r="BK73" s="174"/>
      <c r="BL73" s="190"/>
      <c r="BM73" s="190"/>
    </row>
    <row r="74" spans="1:65" s="140" customFormat="1" ht="14.1" customHeight="1">
      <c r="A74" s="175" t="s">
        <v>367</v>
      </c>
      <c r="B74" s="266" t="s">
        <v>435</v>
      </c>
      <c r="C74" s="266" t="s">
        <v>504</v>
      </c>
      <c r="D74" s="266" t="s">
        <v>495</v>
      </c>
      <c r="E74" s="267" t="s">
        <v>269</v>
      </c>
      <c r="F74" s="267">
        <v>547</v>
      </c>
      <c r="G74" s="267">
        <v>8</v>
      </c>
      <c r="H74" s="267">
        <v>7</v>
      </c>
      <c r="I74" s="267">
        <v>24.7</v>
      </c>
      <c r="J74" s="267">
        <v>60</v>
      </c>
      <c r="K74" s="266" t="s">
        <v>570</v>
      </c>
      <c r="L74" s="267">
        <v>2018</v>
      </c>
      <c r="M74" s="267" t="s">
        <v>614</v>
      </c>
      <c r="N74" s="267">
        <v>21</v>
      </c>
      <c r="O74" s="267">
        <v>202</v>
      </c>
      <c r="P74" s="282" t="s">
        <v>618</v>
      </c>
      <c r="Q74" s="267">
        <v>-70.88</v>
      </c>
      <c r="R74" s="267">
        <v>40.698999999999998</v>
      </c>
      <c r="S74" s="267" t="s">
        <v>271</v>
      </c>
      <c r="T74" s="267">
        <v>25</v>
      </c>
      <c r="U74" s="266" t="s">
        <v>573</v>
      </c>
      <c r="V74" s="268">
        <v>2.286</v>
      </c>
      <c r="W74" s="268">
        <v>0.24399999999999999</v>
      </c>
      <c r="X74" s="268">
        <v>0.6160000000000001</v>
      </c>
      <c r="Y74" s="178">
        <v>0.113</v>
      </c>
      <c r="Z74" s="178">
        <v>3.1E-2</v>
      </c>
      <c r="AA74" s="178">
        <v>0.36799999999999999</v>
      </c>
      <c r="AB74" s="178">
        <v>0.16700000000000001</v>
      </c>
      <c r="AC74" s="178">
        <v>6.8000000000000005E-2</v>
      </c>
      <c r="AD74" s="178">
        <v>-8888</v>
      </c>
      <c r="AE74" s="178">
        <v>0.55000000000000004</v>
      </c>
      <c r="AF74" s="178">
        <v>0.14499999999999999</v>
      </c>
      <c r="AG74" s="178">
        <v>0.04</v>
      </c>
      <c r="AH74" s="178">
        <v>2.27</v>
      </c>
      <c r="AI74" s="178">
        <v>-8888</v>
      </c>
      <c r="AJ74" s="178">
        <v>1.6E-2</v>
      </c>
      <c r="AK74" s="178">
        <v>0.23799999999999999</v>
      </c>
      <c r="AL74" s="178">
        <v>6.0000000000000001E-3</v>
      </c>
      <c r="AM74" s="178">
        <v>0.34</v>
      </c>
      <c r="AN74" s="178">
        <v>0.27600000000000002</v>
      </c>
      <c r="AO74" s="178">
        <v>-8888</v>
      </c>
      <c r="AP74" s="178">
        <v>2.3E-2</v>
      </c>
      <c r="AQ74" s="178">
        <v>1.4E-2</v>
      </c>
      <c r="AR74" s="178">
        <v>2.5999999999999999E-2</v>
      </c>
      <c r="AS74" s="178">
        <v>0.16400000000000001</v>
      </c>
      <c r="AT74" s="178">
        <v>0.17299999999999999</v>
      </c>
      <c r="AU74" s="178">
        <v>-8888</v>
      </c>
      <c r="AV74" s="178">
        <v>3.1460000000000004</v>
      </c>
      <c r="AW74" s="178">
        <v>0.38800000000000001</v>
      </c>
      <c r="AX74" s="178">
        <v>1.0940000000000001</v>
      </c>
      <c r="AY74" s="178">
        <v>4.24</v>
      </c>
      <c r="AZ74" s="178">
        <v>1.4820000000000002</v>
      </c>
      <c r="BA74" s="178">
        <v>2.3420000000000005</v>
      </c>
      <c r="BB74" s="178">
        <v>4.6280000000000001</v>
      </c>
      <c r="BC74" s="178">
        <v>1.5450000000000002</v>
      </c>
      <c r="BD74" s="179">
        <v>1.02</v>
      </c>
      <c r="BE74" s="179">
        <v>0.74</v>
      </c>
      <c r="BF74" s="179">
        <v>0.26</v>
      </c>
      <c r="BG74" s="179">
        <v>2.12</v>
      </c>
      <c r="BH74" s="179">
        <v>0.08</v>
      </c>
      <c r="BI74" s="179">
        <v>0.92</v>
      </c>
      <c r="BJ74" s="179">
        <v>0.49</v>
      </c>
      <c r="BK74" s="174"/>
      <c r="BL74" s="190"/>
      <c r="BM74" s="190"/>
    </row>
    <row r="75" spans="1:65" s="140" customFormat="1" ht="14.1" customHeight="1">
      <c r="A75" s="175" t="s">
        <v>368</v>
      </c>
      <c r="B75" s="266" t="s">
        <v>435</v>
      </c>
      <c r="C75" s="266" t="s">
        <v>505</v>
      </c>
      <c r="D75" s="266" t="s">
        <v>495</v>
      </c>
      <c r="E75" s="267" t="s">
        <v>269</v>
      </c>
      <c r="F75" s="267">
        <v>547</v>
      </c>
      <c r="G75" s="267">
        <v>9</v>
      </c>
      <c r="H75" s="267">
        <v>11</v>
      </c>
      <c r="I75" s="267">
        <v>4.4000000000000004</v>
      </c>
      <c r="J75" s="267">
        <v>76</v>
      </c>
      <c r="K75" s="266" t="s">
        <v>570</v>
      </c>
      <c r="L75" s="267">
        <v>2018</v>
      </c>
      <c r="M75" s="267" t="s">
        <v>614</v>
      </c>
      <c r="N75" s="267">
        <v>21</v>
      </c>
      <c r="O75" s="267">
        <v>202</v>
      </c>
      <c r="P75" s="282" t="s">
        <v>615</v>
      </c>
      <c r="Q75" s="267">
        <v>-70.881</v>
      </c>
      <c r="R75" s="267">
        <v>40.517000000000003</v>
      </c>
      <c r="S75" s="267" t="s">
        <v>271</v>
      </c>
      <c r="T75" s="267">
        <v>25</v>
      </c>
      <c r="U75" s="266" t="s">
        <v>573</v>
      </c>
      <c r="V75" s="268">
        <v>0.77300000000000002</v>
      </c>
      <c r="W75" s="268">
        <v>2.7E-2</v>
      </c>
      <c r="X75" s="268">
        <v>0.2</v>
      </c>
      <c r="Y75" s="178">
        <v>4.8000000000000001E-2</v>
      </c>
      <c r="Z75" s="178">
        <v>7.8E-2</v>
      </c>
      <c r="AA75" s="178">
        <v>0.24099999999999999</v>
      </c>
      <c r="AB75" s="178">
        <v>7.0000000000000001E-3</v>
      </c>
      <c r="AC75" s="178">
        <v>0.151</v>
      </c>
      <c r="AD75" s="178">
        <v>4.9000000000000002E-2</v>
      </c>
      <c r="AE75" s="178">
        <v>0.128</v>
      </c>
      <c r="AF75" s="178">
        <v>2.1999999999999999E-2</v>
      </c>
      <c r="AG75" s="178">
        <v>1.7999999999999999E-2</v>
      </c>
      <c r="AH75" s="178">
        <v>0.75900000000000001</v>
      </c>
      <c r="AI75" s="178">
        <v>8.9999999999999993E-3</v>
      </c>
      <c r="AJ75" s="178">
        <v>5.0000000000000001E-3</v>
      </c>
      <c r="AK75" s="178">
        <v>2.7E-2</v>
      </c>
      <c r="AL75" s="178">
        <v>-8888</v>
      </c>
      <c r="AM75" s="178">
        <v>0.108</v>
      </c>
      <c r="AN75" s="178">
        <v>9.1999999999999998E-2</v>
      </c>
      <c r="AO75" s="178">
        <v>-8888</v>
      </c>
      <c r="AP75" s="178">
        <v>3.0000000000000001E-3</v>
      </c>
      <c r="AQ75" s="178">
        <v>6.0000000000000001E-3</v>
      </c>
      <c r="AR75" s="178">
        <v>7.0000000000000001E-3</v>
      </c>
      <c r="AS75" s="178">
        <v>8.0000000000000002E-3</v>
      </c>
      <c r="AT75" s="178">
        <v>-8888</v>
      </c>
      <c r="AU75" s="178">
        <v>-8888</v>
      </c>
      <c r="AV75" s="178">
        <v>1</v>
      </c>
      <c r="AW75" s="178">
        <v>0.27300000000000002</v>
      </c>
      <c r="AX75" s="178">
        <v>0.46900000000000003</v>
      </c>
      <c r="AY75" s="178">
        <v>1.4690000000000001</v>
      </c>
      <c r="AZ75" s="178">
        <v>0.74199999999999999</v>
      </c>
      <c r="BA75" s="178">
        <v>0.96900000000000008</v>
      </c>
      <c r="BB75" s="178">
        <v>1.742</v>
      </c>
      <c r="BC75" s="178">
        <v>0.52100000000000002</v>
      </c>
      <c r="BD75" s="179">
        <v>1.25</v>
      </c>
      <c r="BE75" s="179">
        <v>0.63</v>
      </c>
      <c r="BF75" s="179">
        <v>0.37</v>
      </c>
      <c r="BG75" s="179">
        <v>1.35</v>
      </c>
      <c r="BH75" s="179">
        <v>0.16</v>
      </c>
      <c r="BI75" s="179">
        <v>0.84</v>
      </c>
      <c r="BJ75" s="179">
        <v>0.44</v>
      </c>
      <c r="BK75" s="174"/>
      <c r="BL75" s="190"/>
      <c r="BM75" s="190"/>
    </row>
    <row r="76" spans="1:65" s="140" customFormat="1" ht="14.1" customHeight="1">
      <c r="A76" s="175" t="s">
        <v>369</v>
      </c>
      <c r="B76" s="266" t="s">
        <v>435</v>
      </c>
      <c r="C76" s="266" t="s">
        <v>506</v>
      </c>
      <c r="D76" s="266" t="s">
        <v>495</v>
      </c>
      <c r="E76" s="267" t="s">
        <v>269</v>
      </c>
      <c r="F76" s="267">
        <v>547</v>
      </c>
      <c r="G76" s="267">
        <v>9</v>
      </c>
      <c r="H76" s="267">
        <v>7</v>
      </c>
      <c r="I76" s="267">
        <v>20.2</v>
      </c>
      <c r="J76" s="267">
        <v>76</v>
      </c>
      <c r="K76" s="266" t="s">
        <v>570</v>
      </c>
      <c r="L76" s="267">
        <v>2018</v>
      </c>
      <c r="M76" s="267" t="s">
        <v>614</v>
      </c>
      <c r="N76" s="267">
        <v>21</v>
      </c>
      <c r="O76" s="267">
        <v>202</v>
      </c>
      <c r="P76" s="282" t="s">
        <v>615</v>
      </c>
      <c r="Q76" s="267">
        <v>-70.881</v>
      </c>
      <c r="R76" s="267">
        <v>40.517000000000003</v>
      </c>
      <c r="S76" s="267" t="s">
        <v>271</v>
      </c>
      <c r="T76" s="267">
        <v>25</v>
      </c>
      <c r="U76" s="266" t="s">
        <v>573</v>
      </c>
      <c r="V76" s="268">
        <v>2.367</v>
      </c>
      <c r="W76" s="268">
        <v>0.307</v>
      </c>
      <c r="X76" s="268">
        <v>0.7410000000000001</v>
      </c>
      <c r="Y76" s="178">
        <v>0.113</v>
      </c>
      <c r="Z76" s="178">
        <v>0.157</v>
      </c>
      <c r="AA76" s="178">
        <v>0.69699999999999995</v>
      </c>
      <c r="AB76" s="178">
        <v>3.9E-2</v>
      </c>
      <c r="AC76" s="178">
        <v>0.10100000000000001</v>
      </c>
      <c r="AD76" s="178">
        <v>-8888</v>
      </c>
      <c r="AE76" s="178">
        <v>0.52300000000000002</v>
      </c>
      <c r="AF76" s="178">
        <v>9.2999999999999999E-2</v>
      </c>
      <c r="AG76" s="178">
        <v>5.3999999999999999E-2</v>
      </c>
      <c r="AH76" s="178">
        <v>2.343</v>
      </c>
      <c r="AI76" s="178">
        <v>1.2999999999999999E-2</v>
      </c>
      <c r="AJ76" s="178">
        <v>1.0999999999999999E-2</v>
      </c>
      <c r="AK76" s="178">
        <v>0.28599999999999998</v>
      </c>
      <c r="AL76" s="178">
        <v>2.1000000000000001E-2</v>
      </c>
      <c r="AM76" s="178">
        <v>0.33700000000000002</v>
      </c>
      <c r="AN76" s="178">
        <v>0.40400000000000003</v>
      </c>
      <c r="AO76" s="178">
        <v>-8888</v>
      </c>
      <c r="AP76" s="178">
        <v>0.03</v>
      </c>
      <c r="AQ76" s="178">
        <v>2.1999999999999999E-2</v>
      </c>
      <c r="AR76" s="178">
        <v>2.1000000000000001E-2</v>
      </c>
      <c r="AS76" s="178">
        <v>0.02</v>
      </c>
      <c r="AT76" s="178">
        <v>3.1E-2</v>
      </c>
      <c r="AU76" s="178">
        <v>-8888</v>
      </c>
      <c r="AV76" s="178">
        <v>3.415</v>
      </c>
      <c r="AW76" s="178">
        <v>0.307</v>
      </c>
      <c r="AX76" s="178">
        <v>1.47</v>
      </c>
      <c r="AY76" s="178">
        <v>4.8849999999999998</v>
      </c>
      <c r="AZ76" s="178">
        <v>1.7769999999999999</v>
      </c>
      <c r="BA76" s="178">
        <v>2.8250000000000002</v>
      </c>
      <c r="BB76" s="178">
        <v>5.1920000000000002</v>
      </c>
      <c r="BC76" s="178">
        <v>1.8699999999999999</v>
      </c>
      <c r="BD76" s="179">
        <v>1.19</v>
      </c>
      <c r="BE76" s="179">
        <v>0.83</v>
      </c>
      <c r="BF76" s="179">
        <v>0.17</v>
      </c>
      <c r="BG76" s="179">
        <v>1.92</v>
      </c>
      <c r="BH76" s="179">
        <v>0.06</v>
      </c>
      <c r="BI76" s="179">
        <v>0.94</v>
      </c>
      <c r="BJ76" s="179">
        <v>0.46</v>
      </c>
      <c r="BK76" s="174"/>
      <c r="BL76" s="190"/>
      <c r="BM76" s="190"/>
    </row>
    <row r="77" spans="1:65" s="140" customFormat="1" ht="14.1" customHeight="1">
      <c r="A77" s="175" t="s">
        <v>370</v>
      </c>
      <c r="B77" s="266" t="s">
        <v>435</v>
      </c>
      <c r="C77" s="266" t="s">
        <v>507</v>
      </c>
      <c r="D77" s="266" t="s">
        <v>495</v>
      </c>
      <c r="E77" s="267" t="s">
        <v>269</v>
      </c>
      <c r="F77" s="267">
        <v>547</v>
      </c>
      <c r="G77" s="267">
        <v>12</v>
      </c>
      <c r="H77" s="267">
        <v>10</v>
      </c>
      <c r="I77" s="267">
        <v>28.7</v>
      </c>
      <c r="J77" s="267">
        <v>93</v>
      </c>
      <c r="K77" s="266" t="s">
        <v>570</v>
      </c>
      <c r="L77" s="267">
        <v>2018</v>
      </c>
      <c r="M77" s="267" t="s">
        <v>614</v>
      </c>
      <c r="N77" s="267">
        <v>22</v>
      </c>
      <c r="O77" s="267">
        <v>203</v>
      </c>
      <c r="P77" s="282" t="s">
        <v>619</v>
      </c>
      <c r="Q77" s="267">
        <v>-70.888000000000005</v>
      </c>
      <c r="R77" s="267">
        <v>40.366</v>
      </c>
      <c r="S77" s="267" t="s">
        <v>271</v>
      </c>
      <c r="T77" s="267">
        <v>25</v>
      </c>
      <c r="U77" s="266" t="s">
        <v>573</v>
      </c>
      <c r="V77" s="268">
        <v>2.806</v>
      </c>
      <c r="W77" s="268">
        <v>0.42</v>
      </c>
      <c r="X77" s="268">
        <v>0.77400000000000002</v>
      </c>
      <c r="Y77" s="178">
        <v>0.13</v>
      </c>
      <c r="Z77" s="178">
        <v>5.8000000000000003E-2</v>
      </c>
      <c r="AA77" s="178">
        <v>0.59699999999999998</v>
      </c>
      <c r="AB77" s="178">
        <v>0.08</v>
      </c>
      <c r="AC77" s="178">
        <v>0.129</v>
      </c>
      <c r="AD77" s="178">
        <v>4.0000000000000001E-3</v>
      </c>
      <c r="AE77" s="178">
        <v>0.60499999999999998</v>
      </c>
      <c r="AF77" s="178">
        <v>0.309</v>
      </c>
      <c r="AG77" s="178">
        <v>8.1000000000000003E-2</v>
      </c>
      <c r="AH77" s="178">
        <v>2.7850000000000001</v>
      </c>
      <c r="AI77" s="178">
        <v>-8888</v>
      </c>
      <c r="AJ77" s="178">
        <v>2.1000000000000001E-2</v>
      </c>
      <c r="AK77" s="178">
        <v>0.373</v>
      </c>
      <c r="AL77" s="178">
        <v>4.7E-2</v>
      </c>
      <c r="AM77" s="178">
        <v>0.376</v>
      </c>
      <c r="AN77" s="178">
        <v>0.39800000000000002</v>
      </c>
      <c r="AO77" s="178">
        <v>-8888</v>
      </c>
      <c r="AP77" s="178">
        <v>4.2999999999999997E-2</v>
      </c>
      <c r="AQ77" s="178">
        <v>2.3E-2</v>
      </c>
      <c r="AR77" s="178">
        <v>2.5999999999999999E-2</v>
      </c>
      <c r="AS77" s="178">
        <v>3.5999999999999997E-2</v>
      </c>
      <c r="AT77" s="178">
        <v>5.3999999999999999E-2</v>
      </c>
      <c r="AU77" s="178">
        <v>-8888</v>
      </c>
      <c r="AV77" s="178">
        <v>4</v>
      </c>
      <c r="AW77" s="178">
        <v>0.42400000000000004</v>
      </c>
      <c r="AX77" s="178">
        <v>1.569</v>
      </c>
      <c r="AY77" s="178">
        <v>5.569</v>
      </c>
      <c r="AZ77" s="178">
        <v>1.9929999999999999</v>
      </c>
      <c r="BA77" s="178">
        <v>3.1869999999999998</v>
      </c>
      <c r="BB77" s="178">
        <v>5.9930000000000003</v>
      </c>
      <c r="BC77" s="178">
        <v>2.15</v>
      </c>
      <c r="BD77" s="179">
        <v>1.1399999999999999</v>
      </c>
      <c r="BE77" s="179">
        <v>0.79</v>
      </c>
      <c r="BF77" s="179">
        <v>0.21</v>
      </c>
      <c r="BG77" s="179">
        <v>2.0099999999999998</v>
      </c>
      <c r="BH77" s="179">
        <v>7.0000000000000007E-2</v>
      </c>
      <c r="BI77" s="179">
        <v>0.93</v>
      </c>
      <c r="BJ77" s="179">
        <v>0.47</v>
      </c>
      <c r="BK77" s="174"/>
      <c r="BL77" s="190"/>
      <c r="BM77" s="190"/>
    </row>
    <row r="78" spans="1:65" s="140" customFormat="1" ht="14.1" customHeight="1">
      <c r="A78" s="175" t="s">
        <v>371</v>
      </c>
      <c r="B78" s="266" t="s">
        <v>435</v>
      </c>
      <c r="C78" s="266" t="s">
        <v>508</v>
      </c>
      <c r="D78" s="266" t="s">
        <v>495</v>
      </c>
      <c r="E78" s="267" t="s">
        <v>269</v>
      </c>
      <c r="F78" s="267">
        <v>547</v>
      </c>
      <c r="G78" s="267">
        <v>12</v>
      </c>
      <c r="H78" s="267">
        <v>20</v>
      </c>
      <c r="I78" s="267">
        <v>4.8</v>
      </c>
      <c r="J78" s="267">
        <v>93</v>
      </c>
      <c r="K78" s="266" t="s">
        <v>570</v>
      </c>
      <c r="L78" s="267">
        <v>2018</v>
      </c>
      <c r="M78" s="267" t="s">
        <v>614</v>
      </c>
      <c r="N78" s="267">
        <v>22</v>
      </c>
      <c r="O78" s="267">
        <v>203</v>
      </c>
      <c r="P78" s="282" t="s">
        <v>619</v>
      </c>
      <c r="Q78" s="267">
        <v>-70.888000000000005</v>
      </c>
      <c r="R78" s="267">
        <v>40.366</v>
      </c>
      <c r="S78" s="267" t="s">
        <v>271</v>
      </c>
      <c r="T78" s="267">
        <v>25</v>
      </c>
      <c r="U78" s="266" t="s">
        <v>573</v>
      </c>
      <c r="V78" s="268">
        <v>0.32200000000000001</v>
      </c>
      <c r="W78" s="268">
        <v>1.7999999999999999E-2</v>
      </c>
      <c r="X78" s="268">
        <v>7.6000000000000012E-2</v>
      </c>
      <c r="Y78" s="178">
        <v>2.1000000000000001E-2</v>
      </c>
      <c r="Z78" s="178">
        <v>3.2000000000000001E-2</v>
      </c>
      <c r="AA78" s="178">
        <v>0.08</v>
      </c>
      <c r="AB78" s="178">
        <v>2E-3</v>
      </c>
      <c r="AC78" s="178">
        <v>3.7999999999999999E-2</v>
      </c>
      <c r="AD78" s="178">
        <v>3.0000000000000001E-3</v>
      </c>
      <c r="AE78" s="178">
        <v>5.5E-2</v>
      </c>
      <c r="AF78" s="178">
        <v>1.7999999999999999E-2</v>
      </c>
      <c r="AG78" s="178">
        <v>1.2999999999999999E-2</v>
      </c>
      <c r="AH78" s="178">
        <v>0.315</v>
      </c>
      <c r="AI78" s="178">
        <v>5.0000000000000001E-3</v>
      </c>
      <c r="AJ78" s="178">
        <v>2E-3</v>
      </c>
      <c r="AK78" s="178">
        <v>1.7999999999999999E-2</v>
      </c>
      <c r="AL78" s="178">
        <v>-8888</v>
      </c>
      <c r="AM78" s="178">
        <v>4.1000000000000002E-2</v>
      </c>
      <c r="AN78" s="178">
        <v>3.5000000000000003E-2</v>
      </c>
      <c r="AO78" s="178">
        <v>-8888</v>
      </c>
      <c r="AP78" s="178">
        <v>-8888</v>
      </c>
      <c r="AQ78" s="178">
        <v>5.0000000000000001E-3</v>
      </c>
      <c r="AR78" s="178">
        <v>3.0000000000000001E-3</v>
      </c>
      <c r="AS78" s="178">
        <v>-8888</v>
      </c>
      <c r="AT78" s="178">
        <v>-8888</v>
      </c>
      <c r="AU78" s="178">
        <v>-8888</v>
      </c>
      <c r="AV78" s="178">
        <v>0.41600000000000004</v>
      </c>
      <c r="AW78" s="178">
        <v>7.6999999999999999E-2</v>
      </c>
      <c r="AX78" s="178">
        <v>0.18499999999999997</v>
      </c>
      <c r="AY78" s="178">
        <v>0.60099999999999998</v>
      </c>
      <c r="AZ78" s="178">
        <v>0.26199999999999996</v>
      </c>
      <c r="BA78" s="178">
        <v>0.35599999999999998</v>
      </c>
      <c r="BB78" s="178">
        <v>0.67799999999999994</v>
      </c>
      <c r="BC78" s="178">
        <v>0.21799999999999997</v>
      </c>
      <c r="BD78" s="179">
        <v>1.1100000000000001</v>
      </c>
      <c r="BE78" s="179">
        <v>0.71</v>
      </c>
      <c r="BF78" s="179">
        <v>0.28999999999999998</v>
      </c>
      <c r="BG78" s="179">
        <v>1.59</v>
      </c>
      <c r="BH78" s="179">
        <v>0.11</v>
      </c>
      <c r="BI78" s="179">
        <v>0.89</v>
      </c>
      <c r="BJ78" s="179">
        <v>0.47</v>
      </c>
      <c r="BK78" s="174"/>
      <c r="BL78" s="190"/>
      <c r="BM78" s="190"/>
    </row>
    <row r="79" spans="1:65" s="140" customFormat="1" ht="14.1" customHeight="1">
      <c r="A79" s="175" t="s">
        <v>372</v>
      </c>
      <c r="B79" s="266" t="s">
        <v>435</v>
      </c>
      <c r="C79" s="266" t="s">
        <v>509</v>
      </c>
      <c r="D79" s="266" t="s">
        <v>495</v>
      </c>
      <c r="E79" s="267" t="s">
        <v>269</v>
      </c>
      <c r="F79" s="267">
        <v>547</v>
      </c>
      <c r="G79" s="267">
        <v>13</v>
      </c>
      <c r="H79" s="267">
        <v>13</v>
      </c>
      <c r="I79" s="267">
        <v>32</v>
      </c>
      <c r="J79" s="267">
        <v>125</v>
      </c>
      <c r="K79" s="266" t="s">
        <v>570</v>
      </c>
      <c r="L79" s="267">
        <v>2018</v>
      </c>
      <c r="M79" s="267" t="s">
        <v>614</v>
      </c>
      <c r="N79" s="267">
        <v>22</v>
      </c>
      <c r="O79" s="267">
        <v>203</v>
      </c>
      <c r="P79" s="282" t="s">
        <v>620</v>
      </c>
      <c r="Q79" s="267">
        <v>-70.891999999999996</v>
      </c>
      <c r="R79" s="267">
        <v>40.234000000000002</v>
      </c>
      <c r="S79" s="267" t="s">
        <v>271</v>
      </c>
      <c r="T79" s="267">
        <v>25</v>
      </c>
      <c r="U79" s="266" t="s">
        <v>573</v>
      </c>
      <c r="V79" s="268">
        <v>1.6579999999999999</v>
      </c>
      <c r="W79" s="268">
        <v>0.248</v>
      </c>
      <c r="X79" s="268">
        <v>0.44800000000000001</v>
      </c>
      <c r="Y79" s="178">
        <v>7.8E-2</v>
      </c>
      <c r="Z79" s="178">
        <v>4.4999999999999998E-2</v>
      </c>
      <c r="AA79" s="178">
        <v>0.29699999999999999</v>
      </c>
      <c r="AB79" s="178">
        <v>7.0999999999999994E-2</v>
      </c>
      <c r="AC79" s="178">
        <v>6.0999999999999999E-2</v>
      </c>
      <c r="AD79" s="178">
        <v>-8888</v>
      </c>
      <c r="AE79" s="178">
        <v>0.36499999999999999</v>
      </c>
      <c r="AF79" s="178">
        <v>9.2999999999999999E-2</v>
      </c>
      <c r="AG79" s="178">
        <v>4.9000000000000002E-2</v>
      </c>
      <c r="AH79" s="178">
        <v>1.6439999999999999</v>
      </c>
      <c r="AI79" s="178">
        <v>-8888</v>
      </c>
      <c r="AJ79" s="178">
        <v>1.4E-2</v>
      </c>
      <c r="AK79" s="178">
        <v>0.24299999999999999</v>
      </c>
      <c r="AL79" s="178">
        <v>5.0000000000000001E-3</v>
      </c>
      <c r="AM79" s="178">
        <v>0.22700000000000001</v>
      </c>
      <c r="AN79" s="178">
        <v>0.221</v>
      </c>
      <c r="AO79" s="178">
        <v>-8888</v>
      </c>
      <c r="AP79" s="178">
        <v>2.5999999999999999E-2</v>
      </c>
      <c r="AQ79" s="178">
        <v>1.6E-2</v>
      </c>
      <c r="AR79" s="178">
        <v>1.6E-2</v>
      </c>
      <c r="AS79" s="178">
        <v>4.5999999999999999E-2</v>
      </c>
      <c r="AT79" s="178">
        <v>0.115</v>
      </c>
      <c r="AU79" s="178">
        <v>-8888</v>
      </c>
      <c r="AV79" s="178">
        <v>2.3540000000000001</v>
      </c>
      <c r="AW79" s="178">
        <v>0.25900000000000001</v>
      </c>
      <c r="AX79" s="178">
        <v>0.79999999999999993</v>
      </c>
      <c r="AY79" s="178">
        <v>3.1539999999999999</v>
      </c>
      <c r="AZ79" s="178">
        <v>1.0589999999999999</v>
      </c>
      <c r="BA79" s="178">
        <v>1.7549999999999999</v>
      </c>
      <c r="BB79" s="178">
        <v>3.4129999999999998</v>
      </c>
      <c r="BC79" s="178">
        <v>1.1679999999999999</v>
      </c>
      <c r="BD79" s="179">
        <v>1.06</v>
      </c>
      <c r="BE79" s="179">
        <v>0.76</v>
      </c>
      <c r="BF79" s="179">
        <v>0.24</v>
      </c>
      <c r="BG79" s="179">
        <v>2.2200000000000002</v>
      </c>
      <c r="BH79" s="179">
        <v>0.08</v>
      </c>
      <c r="BI79" s="179">
        <v>0.92</v>
      </c>
      <c r="BJ79" s="179">
        <v>0.49</v>
      </c>
      <c r="BK79" s="174"/>
      <c r="BL79" s="190"/>
      <c r="BM79" s="190"/>
    </row>
    <row r="80" spans="1:65" s="140" customFormat="1" ht="14.1" customHeight="1">
      <c r="A80" s="175" t="s">
        <v>373</v>
      </c>
      <c r="B80" s="266" t="s">
        <v>435</v>
      </c>
      <c r="C80" s="266" t="s">
        <v>510</v>
      </c>
      <c r="D80" s="266" t="s">
        <v>495</v>
      </c>
      <c r="E80" s="267" t="s">
        <v>269</v>
      </c>
      <c r="F80" s="267">
        <v>547</v>
      </c>
      <c r="G80" s="267">
        <v>13</v>
      </c>
      <c r="H80" s="267">
        <v>18</v>
      </c>
      <c r="I80" s="267">
        <v>3.4</v>
      </c>
      <c r="J80" s="267">
        <v>125</v>
      </c>
      <c r="K80" s="266" t="s">
        <v>570</v>
      </c>
      <c r="L80" s="267">
        <v>2018</v>
      </c>
      <c r="M80" s="267" t="s">
        <v>614</v>
      </c>
      <c r="N80" s="267">
        <v>22</v>
      </c>
      <c r="O80" s="267">
        <v>203</v>
      </c>
      <c r="P80" s="282" t="s">
        <v>620</v>
      </c>
      <c r="Q80" s="267">
        <v>-70.891999999999996</v>
      </c>
      <c r="R80" s="267">
        <v>40.234000000000002</v>
      </c>
      <c r="S80" s="267" t="s">
        <v>271</v>
      </c>
      <c r="T80" s="267">
        <v>25</v>
      </c>
      <c r="U80" s="266" t="s">
        <v>573</v>
      </c>
      <c r="V80" s="268">
        <v>0.33600000000000002</v>
      </c>
      <c r="W80" s="268">
        <v>2.3E-2</v>
      </c>
      <c r="X80" s="268">
        <v>7.2000000000000008E-2</v>
      </c>
      <c r="Y80" s="178">
        <v>2.1999999999999999E-2</v>
      </c>
      <c r="Z80" s="178">
        <v>2.9000000000000001E-2</v>
      </c>
      <c r="AA80" s="178">
        <v>7.6999999999999999E-2</v>
      </c>
      <c r="AB80" s="178">
        <v>2E-3</v>
      </c>
      <c r="AC80" s="178">
        <v>3.6999999999999998E-2</v>
      </c>
      <c r="AD80" s="178">
        <v>3.0000000000000001E-3</v>
      </c>
      <c r="AE80" s="178">
        <v>4.2999999999999997E-2</v>
      </c>
      <c r="AF80" s="178">
        <v>2.4E-2</v>
      </c>
      <c r="AG80" s="178">
        <v>3.2000000000000001E-2</v>
      </c>
      <c r="AH80" s="178">
        <v>0.32</v>
      </c>
      <c r="AI80" s="178">
        <v>1.2999999999999999E-2</v>
      </c>
      <c r="AJ80" s="178">
        <v>3.0000000000000001E-3</v>
      </c>
      <c r="AK80" s="178">
        <v>2.3E-2</v>
      </c>
      <c r="AL80" s="178">
        <v>-8888</v>
      </c>
      <c r="AM80" s="178">
        <v>3.9E-2</v>
      </c>
      <c r="AN80" s="178">
        <v>3.3000000000000002E-2</v>
      </c>
      <c r="AO80" s="178">
        <v>-8888</v>
      </c>
      <c r="AP80" s="178">
        <v>-8888</v>
      </c>
      <c r="AQ80" s="178">
        <v>5.0000000000000001E-3</v>
      </c>
      <c r="AR80" s="178">
        <v>4.0000000000000001E-3</v>
      </c>
      <c r="AS80" s="178">
        <v>-8888</v>
      </c>
      <c r="AT80" s="178">
        <v>-8888</v>
      </c>
      <c r="AU80" s="178">
        <v>-8888</v>
      </c>
      <c r="AV80" s="178">
        <v>0.43100000000000005</v>
      </c>
      <c r="AW80" s="178">
        <v>9.6000000000000002E-2</v>
      </c>
      <c r="AX80" s="178">
        <v>0.17299999999999999</v>
      </c>
      <c r="AY80" s="178">
        <v>0.60400000000000009</v>
      </c>
      <c r="AZ80" s="178">
        <v>0.26900000000000002</v>
      </c>
      <c r="BA80" s="178">
        <v>0.36400000000000005</v>
      </c>
      <c r="BB80" s="178">
        <v>0.70000000000000007</v>
      </c>
      <c r="BC80" s="178">
        <v>0.22999999999999998</v>
      </c>
      <c r="BD80" s="179">
        <v>1.08</v>
      </c>
      <c r="BE80" s="179">
        <v>0.64</v>
      </c>
      <c r="BF80" s="179">
        <v>0.36</v>
      </c>
      <c r="BG80" s="179">
        <v>1.6</v>
      </c>
      <c r="BH80" s="179">
        <v>0.14000000000000001</v>
      </c>
      <c r="BI80" s="179">
        <v>0.86</v>
      </c>
      <c r="BJ80" s="179">
        <v>0.48</v>
      </c>
      <c r="BK80" s="174"/>
      <c r="BL80" s="190"/>
      <c r="BM80" s="190"/>
    </row>
    <row r="81" spans="1:65" s="140" customFormat="1" ht="14.1" customHeight="1">
      <c r="A81" s="175" t="s">
        <v>374</v>
      </c>
      <c r="B81" s="266" t="s">
        <v>435</v>
      </c>
      <c r="C81" s="266" t="s">
        <v>511</v>
      </c>
      <c r="D81" s="266" t="s">
        <v>495</v>
      </c>
      <c r="E81" s="267" t="s">
        <v>269</v>
      </c>
      <c r="F81" s="267">
        <v>547</v>
      </c>
      <c r="G81" s="267">
        <v>14</v>
      </c>
      <c r="H81" s="267">
        <v>10</v>
      </c>
      <c r="I81" s="267">
        <v>38.6</v>
      </c>
      <c r="J81" s="267">
        <v>130</v>
      </c>
      <c r="K81" s="266" t="s">
        <v>570</v>
      </c>
      <c r="L81" s="267">
        <v>2018</v>
      </c>
      <c r="M81" s="267" t="s">
        <v>614</v>
      </c>
      <c r="N81" s="267">
        <v>22</v>
      </c>
      <c r="O81" s="267">
        <v>203</v>
      </c>
      <c r="P81" s="282" t="s">
        <v>621</v>
      </c>
      <c r="Q81" s="267">
        <v>-70.757999999999996</v>
      </c>
      <c r="R81" s="267">
        <v>40.139000000000003</v>
      </c>
      <c r="S81" s="267" t="s">
        <v>271</v>
      </c>
      <c r="T81" s="267">
        <v>25</v>
      </c>
      <c r="U81" s="266" t="s">
        <v>573</v>
      </c>
      <c r="V81" s="268">
        <v>1.361</v>
      </c>
      <c r="W81" s="268">
        <v>0.23700000000000002</v>
      </c>
      <c r="X81" s="268">
        <v>0.40300000000000002</v>
      </c>
      <c r="Y81" s="178">
        <v>5.8000000000000003E-2</v>
      </c>
      <c r="Z81" s="178">
        <v>5.8999999999999997E-2</v>
      </c>
      <c r="AA81" s="178">
        <v>0.27</v>
      </c>
      <c r="AB81" s="178">
        <v>2.8000000000000001E-2</v>
      </c>
      <c r="AC81" s="178">
        <v>5.5E-2</v>
      </c>
      <c r="AD81" s="178">
        <v>-8888</v>
      </c>
      <c r="AE81" s="178">
        <v>0.26600000000000001</v>
      </c>
      <c r="AF81" s="178">
        <v>0.23200000000000001</v>
      </c>
      <c r="AG81" s="178">
        <v>2.5999999999999999E-2</v>
      </c>
      <c r="AH81" s="178">
        <v>1.3520000000000001</v>
      </c>
      <c r="AI81" s="178">
        <v>-8888</v>
      </c>
      <c r="AJ81" s="178">
        <v>8.9999999999999993E-3</v>
      </c>
      <c r="AK81" s="178">
        <v>0.20100000000000001</v>
      </c>
      <c r="AL81" s="178">
        <v>3.5999999999999997E-2</v>
      </c>
      <c r="AM81" s="178">
        <v>0.189</v>
      </c>
      <c r="AN81" s="178">
        <v>0.214</v>
      </c>
      <c r="AO81" s="178">
        <v>3.0000000000000001E-3</v>
      </c>
      <c r="AP81" s="178">
        <v>2.4E-2</v>
      </c>
      <c r="AQ81" s="178">
        <v>8.0000000000000002E-3</v>
      </c>
      <c r="AR81" s="178">
        <v>1.6E-2</v>
      </c>
      <c r="AS81" s="178">
        <v>4.5999999999999999E-2</v>
      </c>
      <c r="AT81" s="178">
        <v>0.04</v>
      </c>
      <c r="AU81" s="178">
        <v>-8888</v>
      </c>
      <c r="AV81" s="178">
        <v>2.0010000000000003</v>
      </c>
      <c r="AW81" s="178">
        <v>0.16700000000000001</v>
      </c>
      <c r="AX81" s="178">
        <v>0.82699999999999996</v>
      </c>
      <c r="AY81" s="178">
        <v>2.8280000000000003</v>
      </c>
      <c r="AZ81" s="178">
        <v>0.99399999999999999</v>
      </c>
      <c r="BA81" s="178">
        <v>1.6340000000000001</v>
      </c>
      <c r="BB81" s="178">
        <v>2.9950000000000001</v>
      </c>
      <c r="BC81" s="178">
        <v>1.1179999999999999</v>
      </c>
      <c r="BD81" s="179">
        <v>1.2</v>
      </c>
      <c r="BE81" s="179">
        <v>0.83</v>
      </c>
      <c r="BF81" s="179">
        <v>0.17</v>
      </c>
      <c r="BG81" s="179">
        <v>2.0099999999999998</v>
      </c>
      <c r="BH81" s="179">
        <v>0.06</v>
      </c>
      <c r="BI81" s="179">
        <v>0.94</v>
      </c>
      <c r="BJ81" s="179">
        <v>0.45</v>
      </c>
      <c r="BK81" s="174"/>
      <c r="BL81" s="190"/>
      <c r="BM81" s="190"/>
    </row>
    <row r="82" spans="1:65" s="140" customFormat="1" ht="14.1" customHeight="1">
      <c r="A82" s="175" t="s">
        <v>376</v>
      </c>
      <c r="B82" s="266" t="s">
        <v>435</v>
      </c>
      <c r="C82" s="266" t="s">
        <v>512</v>
      </c>
      <c r="D82" s="266" t="s">
        <v>495</v>
      </c>
      <c r="E82" s="267" t="s">
        <v>272</v>
      </c>
      <c r="F82" s="267">
        <v>547</v>
      </c>
      <c r="G82" s="267">
        <v>14</v>
      </c>
      <c r="H82" s="267">
        <v>17</v>
      </c>
      <c r="I82" s="267">
        <v>6.8</v>
      </c>
      <c r="J82" s="267">
        <v>130</v>
      </c>
      <c r="K82" s="266" t="s">
        <v>570</v>
      </c>
      <c r="L82" s="267">
        <v>2018</v>
      </c>
      <c r="M82" s="267" t="s">
        <v>614</v>
      </c>
      <c r="N82" s="267">
        <v>22</v>
      </c>
      <c r="O82" s="267">
        <v>203</v>
      </c>
      <c r="P82" s="282" t="s">
        <v>621</v>
      </c>
      <c r="Q82" s="267">
        <v>-70.757999999999996</v>
      </c>
      <c r="R82" s="267">
        <v>40.139000000000003</v>
      </c>
      <c r="S82" s="267" t="s">
        <v>271</v>
      </c>
      <c r="T82" s="267">
        <v>25</v>
      </c>
      <c r="U82" s="266" t="s">
        <v>573</v>
      </c>
      <c r="V82" s="268">
        <v>0.246</v>
      </c>
      <c r="W82" s="268">
        <v>1.7000000000000001E-2</v>
      </c>
      <c r="X82" s="268">
        <v>4.5999999999999999E-2</v>
      </c>
      <c r="Y82" s="178">
        <v>2.1000000000000001E-2</v>
      </c>
      <c r="Z82" s="178">
        <v>1.6E-2</v>
      </c>
      <c r="AA82" s="178">
        <v>4.7E-2</v>
      </c>
      <c r="AB82" s="178">
        <v>-8888</v>
      </c>
      <c r="AC82" s="178">
        <v>1.7999999999999999E-2</v>
      </c>
      <c r="AD82" s="178">
        <v>1E-3</v>
      </c>
      <c r="AE82" s="178">
        <v>2.3E-2</v>
      </c>
      <c r="AF82" s="178">
        <v>3.1E-2</v>
      </c>
      <c r="AG82" s="178">
        <v>5.8000000000000003E-2</v>
      </c>
      <c r="AH82" s="178">
        <v>0.20699999999999999</v>
      </c>
      <c r="AI82" s="178">
        <v>3.6999999999999998E-2</v>
      </c>
      <c r="AJ82" s="178">
        <v>2E-3</v>
      </c>
      <c r="AK82" s="178">
        <v>1.2999999999999999E-2</v>
      </c>
      <c r="AL82" s="178">
        <v>4.0000000000000001E-3</v>
      </c>
      <c r="AM82" s="178">
        <v>2.8000000000000001E-2</v>
      </c>
      <c r="AN82" s="178">
        <v>1.7999999999999999E-2</v>
      </c>
      <c r="AO82" s="178">
        <v>-8888</v>
      </c>
      <c r="AP82" s="178">
        <v>-8888</v>
      </c>
      <c r="AQ82" s="178">
        <v>3.0000000000000001E-3</v>
      </c>
      <c r="AR82" s="178">
        <v>3.0000000000000001E-3</v>
      </c>
      <c r="AS82" s="178">
        <v>-8888</v>
      </c>
      <c r="AT82" s="178">
        <v>-8888</v>
      </c>
      <c r="AU82" s="178">
        <v>-8888</v>
      </c>
      <c r="AV82" s="178">
        <v>0.309</v>
      </c>
      <c r="AW82" s="178">
        <v>9.8000000000000004E-2</v>
      </c>
      <c r="AX82" s="178">
        <v>0.11699999999999999</v>
      </c>
      <c r="AY82" s="178">
        <v>0.42599999999999999</v>
      </c>
      <c r="AZ82" s="178">
        <v>0.215</v>
      </c>
      <c r="BA82" s="178">
        <v>0.27799999999999997</v>
      </c>
      <c r="BB82" s="178">
        <v>0.52400000000000002</v>
      </c>
      <c r="BC82" s="178">
        <v>0.192</v>
      </c>
      <c r="BD82" s="179">
        <v>1.1299999999999999</v>
      </c>
      <c r="BE82" s="179">
        <v>0.54</v>
      </c>
      <c r="BF82" s="179">
        <v>0.46</v>
      </c>
      <c r="BG82" s="179">
        <v>1.44</v>
      </c>
      <c r="BH82" s="179">
        <v>0.19</v>
      </c>
      <c r="BI82" s="179">
        <v>0.81</v>
      </c>
      <c r="BJ82" s="179">
        <v>0.47</v>
      </c>
      <c r="BK82" s="174"/>
      <c r="BL82" s="190"/>
      <c r="BM82" s="190"/>
    </row>
    <row r="83" spans="1:65" s="140" customFormat="1" ht="14.1" customHeight="1">
      <c r="A83" s="175" t="s">
        <v>377</v>
      </c>
      <c r="B83" s="266" t="s">
        <v>435</v>
      </c>
      <c r="C83" s="266" t="s">
        <v>513</v>
      </c>
      <c r="D83" s="266" t="s">
        <v>495</v>
      </c>
      <c r="E83" s="267" t="s">
        <v>272</v>
      </c>
      <c r="F83" s="267">
        <v>547</v>
      </c>
      <c r="G83" s="267">
        <v>14</v>
      </c>
      <c r="H83" s="267">
        <v>17</v>
      </c>
      <c r="I83" s="267">
        <v>6.8</v>
      </c>
      <c r="J83" s="267">
        <v>130</v>
      </c>
      <c r="K83" s="266" t="s">
        <v>570</v>
      </c>
      <c r="L83" s="267">
        <v>2018</v>
      </c>
      <c r="M83" s="267" t="s">
        <v>614</v>
      </c>
      <c r="N83" s="267">
        <v>22</v>
      </c>
      <c r="O83" s="267">
        <v>203</v>
      </c>
      <c r="P83" s="282" t="s">
        <v>621</v>
      </c>
      <c r="Q83" s="267">
        <v>-70.757999999999996</v>
      </c>
      <c r="R83" s="267">
        <v>40.139000000000003</v>
      </c>
      <c r="S83" s="267" t="s">
        <v>271</v>
      </c>
      <c r="T83" s="267">
        <v>25</v>
      </c>
      <c r="U83" s="266" t="s">
        <v>573</v>
      </c>
      <c r="V83" s="268">
        <v>0.249</v>
      </c>
      <c r="W83" s="268">
        <v>1.7000000000000001E-2</v>
      </c>
      <c r="X83" s="268">
        <v>4.8000000000000001E-2</v>
      </c>
      <c r="Y83" s="178">
        <v>2.1999999999999999E-2</v>
      </c>
      <c r="Z83" s="178">
        <v>1.6E-2</v>
      </c>
      <c r="AA83" s="178">
        <v>4.9000000000000002E-2</v>
      </c>
      <c r="AB83" s="178">
        <v>-8888</v>
      </c>
      <c r="AC83" s="178">
        <v>1.7999999999999999E-2</v>
      </c>
      <c r="AD83" s="178">
        <v>1E-3</v>
      </c>
      <c r="AE83" s="178">
        <v>2.3E-2</v>
      </c>
      <c r="AF83" s="178">
        <v>2.7E-2</v>
      </c>
      <c r="AG83" s="178">
        <v>6.0999999999999999E-2</v>
      </c>
      <c r="AH83" s="178">
        <v>0.20899999999999999</v>
      </c>
      <c r="AI83" s="178">
        <v>3.7999999999999999E-2</v>
      </c>
      <c r="AJ83" s="178">
        <v>2E-3</v>
      </c>
      <c r="AK83" s="178">
        <v>1.2999999999999999E-2</v>
      </c>
      <c r="AL83" s="178">
        <v>4.0000000000000001E-3</v>
      </c>
      <c r="AM83" s="178">
        <v>2.9000000000000001E-2</v>
      </c>
      <c r="AN83" s="178">
        <v>1.9E-2</v>
      </c>
      <c r="AO83" s="178">
        <v>-8888</v>
      </c>
      <c r="AP83" s="178">
        <v>-8888</v>
      </c>
      <c r="AQ83" s="178">
        <v>2E-3</v>
      </c>
      <c r="AR83" s="178">
        <v>2E-3</v>
      </c>
      <c r="AS83" s="178">
        <v>-8888</v>
      </c>
      <c r="AT83" s="178">
        <v>-8888</v>
      </c>
      <c r="AU83" s="178">
        <v>-8888</v>
      </c>
      <c r="AV83" s="178">
        <v>0.314</v>
      </c>
      <c r="AW83" s="178">
        <v>0.10200000000000001</v>
      </c>
      <c r="AX83" s="178">
        <v>0.11499999999999999</v>
      </c>
      <c r="AY83" s="178">
        <v>0.42899999999999999</v>
      </c>
      <c r="AZ83" s="178">
        <v>0.217</v>
      </c>
      <c r="BA83" s="178">
        <v>0.28199999999999997</v>
      </c>
      <c r="BB83" s="178">
        <v>0.53099999999999992</v>
      </c>
      <c r="BC83" s="178">
        <v>0.193</v>
      </c>
      <c r="BD83" s="179">
        <v>1.1299999999999999</v>
      </c>
      <c r="BE83" s="179">
        <v>0.53</v>
      </c>
      <c r="BF83" s="179">
        <v>0.47</v>
      </c>
      <c r="BG83" s="179">
        <v>1.45</v>
      </c>
      <c r="BH83" s="179">
        <v>0.19</v>
      </c>
      <c r="BI83" s="179">
        <v>0.81</v>
      </c>
      <c r="BJ83" s="179">
        <v>0.47</v>
      </c>
      <c r="BK83" s="174"/>
      <c r="BL83" s="190"/>
      <c r="BM83" s="190"/>
    </row>
    <row r="84" spans="1:65" s="140" customFormat="1" ht="14.1" customHeight="1">
      <c r="A84" s="175" t="s">
        <v>378</v>
      </c>
      <c r="B84" s="266" t="s">
        <v>435</v>
      </c>
      <c r="C84" s="266" t="s">
        <v>514</v>
      </c>
      <c r="D84" s="266" t="s">
        <v>495</v>
      </c>
      <c r="E84" s="267" t="s">
        <v>269</v>
      </c>
      <c r="F84" s="267">
        <v>1060</v>
      </c>
      <c r="G84" s="267">
        <v>17</v>
      </c>
      <c r="H84" s="267">
        <v>10</v>
      </c>
      <c r="I84" s="267">
        <v>30.1</v>
      </c>
      <c r="J84" s="267">
        <v>146</v>
      </c>
      <c r="K84" s="266" t="s">
        <v>570</v>
      </c>
      <c r="L84" s="267">
        <v>2018</v>
      </c>
      <c r="M84" s="267" t="s">
        <v>614</v>
      </c>
      <c r="N84" s="267">
        <v>22</v>
      </c>
      <c r="O84" s="267">
        <v>203</v>
      </c>
      <c r="P84" s="282" t="s">
        <v>622</v>
      </c>
      <c r="Q84" s="267">
        <v>-70.876000000000005</v>
      </c>
      <c r="R84" s="267">
        <v>40.098999999999997</v>
      </c>
      <c r="S84" s="267" t="s">
        <v>271</v>
      </c>
      <c r="T84" s="267">
        <v>25</v>
      </c>
      <c r="U84" s="266" t="s">
        <v>573</v>
      </c>
      <c r="V84" s="268">
        <v>1.8049999999999999</v>
      </c>
      <c r="W84" s="268">
        <v>0.42000000000000004</v>
      </c>
      <c r="X84" s="268">
        <v>0.47099999999999997</v>
      </c>
      <c r="Y84" s="178">
        <v>8.5999999999999993E-2</v>
      </c>
      <c r="Z84" s="178">
        <v>8.5000000000000006E-2</v>
      </c>
      <c r="AA84" s="178">
        <v>0.40300000000000002</v>
      </c>
      <c r="AB84" s="178">
        <v>2.3E-2</v>
      </c>
      <c r="AC84" s="178">
        <v>8.2000000000000003E-2</v>
      </c>
      <c r="AD84" s="178">
        <v>-8888</v>
      </c>
      <c r="AE84" s="178">
        <v>0.19</v>
      </c>
      <c r="AF84" s="178">
        <v>0.35399999999999998</v>
      </c>
      <c r="AG84" s="178">
        <v>5.1999999999999998E-2</v>
      </c>
      <c r="AH84" s="178">
        <v>1.7949999999999999</v>
      </c>
      <c r="AI84" s="178">
        <v>-8888</v>
      </c>
      <c r="AJ84" s="178">
        <v>0.01</v>
      </c>
      <c r="AK84" s="178">
        <v>0.32400000000000001</v>
      </c>
      <c r="AL84" s="178">
        <v>9.6000000000000002E-2</v>
      </c>
      <c r="AM84" s="178">
        <v>0.25</v>
      </c>
      <c r="AN84" s="178">
        <v>0.221</v>
      </c>
      <c r="AO84" s="178">
        <v>-8888</v>
      </c>
      <c r="AP84" s="178">
        <v>4.2000000000000003E-2</v>
      </c>
      <c r="AQ84" s="178">
        <v>1.4E-2</v>
      </c>
      <c r="AR84" s="178">
        <v>1.9E-2</v>
      </c>
      <c r="AS84" s="178">
        <v>3.2000000000000001E-2</v>
      </c>
      <c r="AT84" s="178">
        <v>7.1999999999999995E-2</v>
      </c>
      <c r="AU84" s="178">
        <v>4.0000000000000001E-3</v>
      </c>
      <c r="AV84" s="178">
        <v>2.6960000000000002</v>
      </c>
      <c r="AW84" s="178">
        <v>0.24299999999999999</v>
      </c>
      <c r="AX84" s="178">
        <v>1.032</v>
      </c>
      <c r="AY84" s="178">
        <v>3.7280000000000002</v>
      </c>
      <c r="AZ84" s="178">
        <v>1.2749999999999999</v>
      </c>
      <c r="BA84" s="178">
        <v>2.1659999999999999</v>
      </c>
      <c r="BB84" s="178">
        <v>3.9710000000000001</v>
      </c>
      <c r="BC84" s="178">
        <v>1.5270000000000001</v>
      </c>
      <c r="BD84" s="179">
        <v>1.2</v>
      </c>
      <c r="BE84" s="179">
        <v>0.81</v>
      </c>
      <c r="BF84" s="179">
        <v>0.19</v>
      </c>
      <c r="BG84" s="179">
        <v>2.11</v>
      </c>
      <c r="BH84" s="179">
        <v>0.06</v>
      </c>
      <c r="BI84" s="179">
        <v>0.94</v>
      </c>
      <c r="BJ84" s="179">
        <v>0.45</v>
      </c>
      <c r="BK84" s="174"/>
      <c r="BL84" s="190"/>
      <c r="BM84" s="190"/>
    </row>
    <row r="85" spans="1:65" s="140" customFormat="1" ht="14.1" customHeight="1">
      <c r="A85" s="175" t="s">
        <v>379</v>
      </c>
      <c r="B85" s="266" t="s">
        <v>435</v>
      </c>
      <c r="C85" s="266" t="s">
        <v>515</v>
      </c>
      <c r="D85" s="266" t="s">
        <v>495</v>
      </c>
      <c r="E85" s="267" t="s">
        <v>269</v>
      </c>
      <c r="F85" s="267">
        <v>1060</v>
      </c>
      <c r="G85" s="267">
        <v>17</v>
      </c>
      <c r="H85" s="267">
        <v>17</v>
      </c>
      <c r="I85" s="267">
        <v>5.6</v>
      </c>
      <c r="J85" s="267">
        <v>146</v>
      </c>
      <c r="K85" s="266" t="s">
        <v>570</v>
      </c>
      <c r="L85" s="267">
        <v>2018</v>
      </c>
      <c r="M85" s="267" t="s">
        <v>614</v>
      </c>
      <c r="N85" s="267">
        <v>22</v>
      </c>
      <c r="O85" s="267">
        <v>203</v>
      </c>
      <c r="P85" s="282" t="s">
        <v>622</v>
      </c>
      <c r="Q85" s="267">
        <v>-70.876000000000005</v>
      </c>
      <c r="R85" s="267">
        <v>40.098999999999997</v>
      </c>
      <c r="S85" s="267" t="s">
        <v>271</v>
      </c>
      <c r="T85" s="267">
        <v>25</v>
      </c>
      <c r="U85" s="266" t="s">
        <v>573</v>
      </c>
      <c r="V85" s="268">
        <v>0.65800000000000003</v>
      </c>
      <c r="W85" s="268">
        <v>5.8000000000000003E-2</v>
      </c>
      <c r="X85" s="268">
        <v>0.157</v>
      </c>
      <c r="Y85" s="178">
        <v>0.04</v>
      </c>
      <c r="Z85" s="178">
        <v>0.05</v>
      </c>
      <c r="AA85" s="178">
        <v>0.18</v>
      </c>
      <c r="AB85" s="178">
        <v>4.0000000000000001E-3</v>
      </c>
      <c r="AC85" s="178">
        <v>6.3E-2</v>
      </c>
      <c r="AD85" s="178">
        <v>5.0000000000000001E-3</v>
      </c>
      <c r="AE85" s="178">
        <v>7.8E-2</v>
      </c>
      <c r="AF85" s="178">
        <v>6.3E-2</v>
      </c>
      <c r="AG85" s="178">
        <v>4.8000000000000001E-2</v>
      </c>
      <c r="AH85" s="178">
        <v>0.63200000000000001</v>
      </c>
      <c r="AI85" s="178">
        <v>2.1999999999999999E-2</v>
      </c>
      <c r="AJ85" s="178">
        <v>4.0000000000000001E-3</v>
      </c>
      <c r="AK85" s="178">
        <v>5.5E-2</v>
      </c>
      <c r="AL85" s="178">
        <v>3.0000000000000001E-3</v>
      </c>
      <c r="AM85" s="178">
        <v>8.8999999999999996E-2</v>
      </c>
      <c r="AN85" s="178">
        <v>6.8000000000000005E-2</v>
      </c>
      <c r="AO85" s="178">
        <v>1E-3</v>
      </c>
      <c r="AP85" s="178">
        <v>5.0000000000000001E-3</v>
      </c>
      <c r="AQ85" s="178">
        <v>0.01</v>
      </c>
      <c r="AR85" s="178">
        <v>7.0000000000000001E-3</v>
      </c>
      <c r="AS85" s="178">
        <v>4.0000000000000001E-3</v>
      </c>
      <c r="AT85" s="178">
        <v>4.0000000000000001E-3</v>
      </c>
      <c r="AU85" s="178">
        <v>2E-3</v>
      </c>
      <c r="AV85" s="178">
        <v>0.87300000000000011</v>
      </c>
      <c r="AW85" s="178">
        <v>0.16</v>
      </c>
      <c r="AX85" s="178">
        <v>0.371</v>
      </c>
      <c r="AY85" s="178">
        <v>1.2440000000000002</v>
      </c>
      <c r="AZ85" s="178">
        <v>0.53100000000000003</v>
      </c>
      <c r="BA85" s="178">
        <v>0.74600000000000011</v>
      </c>
      <c r="BB85" s="178">
        <v>1.4040000000000001</v>
      </c>
      <c r="BC85" s="178">
        <v>0.48099999999999998</v>
      </c>
      <c r="BD85" s="179">
        <v>1.1299999999999999</v>
      </c>
      <c r="BE85" s="179">
        <v>0.7</v>
      </c>
      <c r="BF85" s="179">
        <v>0.3</v>
      </c>
      <c r="BG85" s="179">
        <v>1.64</v>
      </c>
      <c r="BH85" s="179">
        <v>0.11</v>
      </c>
      <c r="BI85" s="179">
        <v>0.89</v>
      </c>
      <c r="BJ85" s="179">
        <v>0.47</v>
      </c>
      <c r="BK85" s="174"/>
      <c r="BL85" s="190"/>
      <c r="BM85" s="190"/>
    </row>
    <row r="86" spans="1:65" s="140" customFormat="1" ht="14.1" customHeight="1">
      <c r="A86" s="175" t="s">
        <v>380</v>
      </c>
      <c r="B86" s="266" t="s">
        <v>435</v>
      </c>
      <c r="C86" s="266" t="s">
        <v>516</v>
      </c>
      <c r="D86" s="266" t="s">
        <v>495</v>
      </c>
      <c r="E86" s="267" t="s">
        <v>269</v>
      </c>
      <c r="F86" s="267">
        <v>1060</v>
      </c>
      <c r="G86" s="267">
        <v>18</v>
      </c>
      <c r="H86" s="267">
        <v>9</v>
      </c>
      <c r="I86" s="267">
        <v>40</v>
      </c>
      <c r="J86" s="267">
        <v>160</v>
      </c>
      <c r="K86" s="266" t="s">
        <v>570</v>
      </c>
      <c r="L86" s="267">
        <v>2018</v>
      </c>
      <c r="M86" s="267" t="s">
        <v>614</v>
      </c>
      <c r="N86" s="267">
        <v>22</v>
      </c>
      <c r="O86" s="267">
        <v>203</v>
      </c>
      <c r="P86" s="282" t="s">
        <v>623</v>
      </c>
      <c r="Q86" s="267">
        <v>-70.884</v>
      </c>
      <c r="R86" s="267">
        <v>39.950000000000003</v>
      </c>
      <c r="S86" s="267" t="s">
        <v>271</v>
      </c>
      <c r="T86" s="267">
        <v>25</v>
      </c>
      <c r="U86" s="266" t="s">
        <v>573</v>
      </c>
      <c r="V86" s="268">
        <v>0.82199999999999995</v>
      </c>
      <c r="W86" s="268">
        <v>0.17899999999999999</v>
      </c>
      <c r="X86" s="268">
        <v>0.184</v>
      </c>
      <c r="Y86" s="178">
        <v>5.1999999999999998E-2</v>
      </c>
      <c r="Z86" s="178">
        <v>5.6000000000000001E-2</v>
      </c>
      <c r="AA86" s="178">
        <v>0.17499999999999999</v>
      </c>
      <c r="AB86" s="178">
        <v>7.0000000000000001E-3</v>
      </c>
      <c r="AC86" s="178">
        <v>3.4000000000000002E-2</v>
      </c>
      <c r="AD86" s="178">
        <v>-8888</v>
      </c>
      <c r="AE86" s="178">
        <v>6.0999999999999999E-2</v>
      </c>
      <c r="AF86" s="178">
        <v>0.121</v>
      </c>
      <c r="AG86" s="178">
        <v>7.0000000000000007E-2</v>
      </c>
      <c r="AH86" s="178">
        <v>0.8</v>
      </c>
      <c r="AI86" s="178">
        <v>1.7000000000000001E-2</v>
      </c>
      <c r="AJ86" s="178">
        <v>5.0000000000000001E-3</v>
      </c>
      <c r="AK86" s="178">
        <v>0.152</v>
      </c>
      <c r="AL86" s="178">
        <v>2.7E-2</v>
      </c>
      <c r="AM86" s="178">
        <v>9.8000000000000004E-2</v>
      </c>
      <c r="AN86" s="178">
        <v>8.5999999999999993E-2</v>
      </c>
      <c r="AO86" s="178">
        <v>-8888</v>
      </c>
      <c r="AP86" s="178">
        <v>1.7999999999999999E-2</v>
      </c>
      <c r="AQ86" s="178">
        <v>6.0000000000000001E-3</v>
      </c>
      <c r="AR86" s="178">
        <v>8.0000000000000002E-3</v>
      </c>
      <c r="AS86" s="178">
        <v>1.0999999999999999E-2</v>
      </c>
      <c r="AT86" s="178">
        <v>2.3E-2</v>
      </c>
      <c r="AU86" s="178">
        <v>1E-3</v>
      </c>
      <c r="AV86" s="178">
        <v>1.1849999999999998</v>
      </c>
      <c r="AW86" s="178">
        <v>0.16300000000000001</v>
      </c>
      <c r="AX86" s="178">
        <v>0.41299999999999998</v>
      </c>
      <c r="AY86" s="178">
        <v>1.5979999999999999</v>
      </c>
      <c r="AZ86" s="178">
        <v>0.57599999999999996</v>
      </c>
      <c r="BA86" s="178">
        <v>0.93899999999999983</v>
      </c>
      <c r="BB86" s="178">
        <v>1.7609999999999997</v>
      </c>
      <c r="BC86" s="178">
        <v>0.66900000000000004</v>
      </c>
      <c r="BD86" s="179">
        <v>1.1399999999999999</v>
      </c>
      <c r="BE86" s="179">
        <v>0.72</v>
      </c>
      <c r="BF86" s="179">
        <v>0.28000000000000003</v>
      </c>
      <c r="BG86" s="179">
        <v>2.06</v>
      </c>
      <c r="BH86" s="179">
        <v>0.09</v>
      </c>
      <c r="BI86" s="179">
        <v>0.91</v>
      </c>
      <c r="BJ86" s="179">
        <v>0.47</v>
      </c>
      <c r="BK86" s="174"/>
      <c r="BL86" s="190"/>
      <c r="BM86" s="190"/>
    </row>
    <row r="87" spans="1:65" s="140" customFormat="1" ht="14.1" customHeight="1">
      <c r="A87" s="175" t="s">
        <v>381</v>
      </c>
      <c r="B87" s="266" t="s">
        <v>435</v>
      </c>
      <c r="C87" s="266" t="s">
        <v>517</v>
      </c>
      <c r="D87" s="266" t="s">
        <v>495</v>
      </c>
      <c r="E87" s="267" t="s">
        <v>269</v>
      </c>
      <c r="F87" s="267">
        <v>1060</v>
      </c>
      <c r="G87" s="267">
        <v>18</v>
      </c>
      <c r="H87" s="267">
        <v>16</v>
      </c>
      <c r="I87" s="267">
        <v>4.8</v>
      </c>
      <c r="J87" s="267">
        <v>160</v>
      </c>
      <c r="K87" s="266" t="s">
        <v>570</v>
      </c>
      <c r="L87" s="267">
        <v>2018</v>
      </c>
      <c r="M87" s="267" t="s">
        <v>614</v>
      </c>
      <c r="N87" s="267">
        <v>22</v>
      </c>
      <c r="O87" s="267">
        <v>203</v>
      </c>
      <c r="P87" s="282" t="s">
        <v>623</v>
      </c>
      <c r="Q87" s="267">
        <v>-70.884</v>
      </c>
      <c r="R87" s="267">
        <v>39.950000000000003</v>
      </c>
      <c r="S87" s="267" t="s">
        <v>271</v>
      </c>
      <c r="T87" s="267">
        <v>25</v>
      </c>
      <c r="U87" s="266" t="s">
        <v>573</v>
      </c>
      <c r="V87" s="268">
        <v>0.223</v>
      </c>
      <c r="W87" s="268">
        <v>1.4999999999999999E-2</v>
      </c>
      <c r="X87" s="268">
        <v>3.4999999999999996E-2</v>
      </c>
      <c r="Y87" s="178">
        <v>2.4E-2</v>
      </c>
      <c r="Z87" s="178">
        <v>1.2E-2</v>
      </c>
      <c r="AA87" s="178">
        <v>3.6999999999999998E-2</v>
      </c>
      <c r="AB87" s="178">
        <v>4.0000000000000001E-3</v>
      </c>
      <c r="AC87" s="178">
        <v>1.4E-2</v>
      </c>
      <c r="AD87" s="178">
        <v>1E-3</v>
      </c>
      <c r="AE87" s="178">
        <v>1.4999999999999999E-2</v>
      </c>
      <c r="AF87" s="178">
        <v>1.7000000000000001E-2</v>
      </c>
      <c r="AG87" s="178">
        <v>0.106</v>
      </c>
      <c r="AH87" s="178">
        <v>0.16300000000000001</v>
      </c>
      <c r="AI87" s="178">
        <v>5.7000000000000002E-2</v>
      </c>
      <c r="AJ87" s="178">
        <v>3.0000000000000001E-3</v>
      </c>
      <c r="AK87" s="178">
        <v>8.9999999999999993E-3</v>
      </c>
      <c r="AL87" s="178">
        <v>6.0000000000000001E-3</v>
      </c>
      <c r="AM87" s="178">
        <v>2.1999999999999999E-2</v>
      </c>
      <c r="AN87" s="178">
        <v>1.2999999999999999E-2</v>
      </c>
      <c r="AO87" s="178">
        <v>-8888</v>
      </c>
      <c r="AP87" s="178">
        <v>-8888</v>
      </c>
      <c r="AQ87" s="178">
        <v>2E-3</v>
      </c>
      <c r="AR87" s="178">
        <v>2E-3</v>
      </c>
      <c r="AS87" s="178">
        <v>-8888</v>
      </c>
      <c r="AT87" s="178">
        <v>-8888</v>
      </c>
      <c r="AU87" s="178">
        <v>-8888</v>
      </c>
      <c r="AV87" s="178">
        <v>0.27299999999999996</v>
      </c>
      <c r="AW87" s="178">
        <v>0.14899999999999999</v>
      </c>
      <c r="AX87" s="178">
        <v>8.1000000000000003E-2</v>
      </c>
      <c r="AY87" s="178">
        <v>0.35399999999999998</v>
      </c>
      <c r="AZ87" s="178">
        <v>0.22999999999999998</v>
      </c>
      <c r="BA87" s="178">
        <v>0.27999999999999997</v>
      </c>
      <c r="BB87" s="178">
        <v>0.503</v>
      </c>
      <c r="BC87" s="178">
        <v>0.20600000000000002</v>
      </c>
      <c r="BD87" s="179">
        <v>1.26</v>
      </c>
      <c r="BE87" s="179">
        <v>0.35</v>
      </c>
      <c r="BF87" s="179">
        <v>0.65</v>
      </c>
      <c r="BG87" s="179">
        <v>1.19</v>
      </c>
      <c r="BH87" s="179">
        <v>0.3</v>
      </c>
      <c r="BI87" s="179">
        <v>0.7</v>
      </c>
      <c r="BJ87" s="179">
        <v>0.44</v>
      </c>
      <c r="BK87" s="174"/>
      <c r="BL87" s="190"/>
      <c r="BM87" s="190"/>
    </row>
    <row r="88" spans="1:65" s="140" customFormat="1" ht="14.1" customHeight="1">
      <c r="A88" s="175" t="s">
        <v>382</v>
      </c>
      <c r="B88" s="266" t="s">
        <v>435</v>
      </c>
      <c r="C88" s="266" t="s">
        <v>518</v>
      </c>
      <c r="D88" s="266" t="s">
        <v>495</v>
      </c>
      <c r="E88" s="267" t="s">
        <v>269</v>
      </c>
      <c r="F88" s="267">
        <v>1060</v>
      </c>
      <c r="G88" s="267">
        <v>21</v>
      </c>
      <c r="H88" s="267">
        <v>11</v>
      </c>
      <c r="I88" s="267">
        <v>30</v>
      </c>
      <c r="J88" s="267">
        <v>1595</v>
      </c>
      <c r="K88" s="266" t="s">
        <v>570</v>
      </c>
      <c r="L88" s="267">
        <v>2018</v>
      </c>
      <c r="M88" s="267" t="s">
        <v>614</v>
      </c>
      <c r="N88" s="267">
        <v>23</v>
      </c>
      <c r="O88" s="267">
        <v>204</v>
      </c>
      <c r="P88" s="282">
        <v>0.54027777777777775</v>
      </c>
      <c r="Q88" s="267">
        <v>-70.88</v>
      </c>
      <c r="R88" s="267">
        <v>39.771999999999998</v>
      </c>
      <c r="S88" s="267" t="s">
        <v>271</v>
      </c>
      <c r="T88" s="267">
        <v>25</v>
      </c>
      <c r="U88" s="266" t="s">
        <v>573</v>
      </c>
      <c r="V88" s="268">
        <v>1.3279999999999998</v>
      </c>
      <c r="W88" s="268">
        <v>0.17200000000000001</v>
      </c>
      <c r="X88" s="268">
        <v>0.36699999999999999</v>
      </c>
      <c r="Y88" s="178">
        <v>0.06</v>
      </c>
      <c r="Z88" s="178">
        <v>9.8000000000000004E-2</v>
      </c>
      <c r="AA88" s="178">
        <v>0.40100000000000002</v>
      </c>
      <c r="AB88" s="178">
        <v>6.0000000000000001E-3</v>
      </c>
      <c r="AC88" s="178">
        <v>7.8E-2</v>
      </c>
      <c r="AD88" s="178">
        <v>2E-3</v>
      </c>
      <c r="AE88" s="178">
        <v>7.6999999999999999E-2</v>
      </c>
      <c r="AF88" s="178">
        <v>0.308</v>
      </c>
      <c r="AG88" s="178">
        <v>5.5E-2</v>
      </c>
      <c r="AH88" s="178">
        <v>1.323</v>
      </c>
      <c r="AI88" s="178">
        <v>-8888</v>
      </c>
      <c r="AJ88" s="178">
        <v>5.0000000000000001E-3</v>
      </c>
      <c r="AK88" s="178">
        <v>0.16</v>
      </c>
      <c r="AL88" s="178">
        <v>1.2E-2</v>
      </c>
      <c r="AM88" s="178">
        <v>0.20599999999999999</v>
      </c>
      <c r="AN88" s="178">
        <v>0.161</v>
      </c>
      <c r="AO88" s="178">
        <v>1E-3</v>
      </c>
      <c r="AP88" s="178">
        <v>1.4999999999999999E-2</v>
      </c>
      <c r="AQ88" s="178">
        <v>1.2E-2</v>
      </c>
      <c r="AR88" s="178">
        <v>1.0999999999999999E-2</v>
      </c>
      <c r="AS88" s="178">
        <v>8.9999999999999993E-3</v>
      </c>
      <c r="AT88" s="178">
        <v>5.0000000000000001E-3</v>
      </c>
      <c r="AU88" s="178">
        <v>3.0000000000000001E-3</v>
      </c>
      <c r="AV88" s="178">
        <v>1.8669999999999998</v>
      </c>
      <c r="AW88" s="178">
        <v>0.20100000000000001</v>
      </c>
      <c r="AX88" s="178">
        <v>0.88400000000000012</v>
      </c>
      <c r="AY88" s="178">
        <v>2.7509999999999999</v>
      </c>
      <c r="AZ88" s="178">
        <v>1.0850000000000002</v>
      </c>
      <c r="BA88" s="178">
        <v>1.6240000000000001</v>
      </c>
      <c r="BB88" s="178">
        <v>2.952</v>
      </c>
      <c r="BC88" s="178">
        <v>1.1170000000000002</v>
      </c>
      <c r="BD88" s="179">
        <v>1.22</v>
      </c>
      <c r="BE88" s="179">
        <v>0.81</v>
      </c>
      <c r="BF88" s="179">
        <v>0.19</v>
      </c>
      <c r="BG88" s="179">
        <v>1.72</v>
      </c>
      <c r="BH88" s="179">
        <v>7.0000000000000007E-2</v>
      </c>
      <c r="BI88" s="179">
        <v>0.93</v>
      </c>
      <c r="BJ88" s="179">
        <v>0.45</v>
      </c>
      <c r="BK88" s="174"/>
      <c r="BL88" s="190"/>
      <c r="BM88" s="190"/>
    </row>
    <row r="89" spans="1:65" s="140" customFormat="1" ht="14.1" customHeight="1">
      <c r="A89" s="175" t="s">
        <v>383</v>
      </c>
      <c r="B89" s="266" t="s">
        <v>435</v>
      </c>
      <c r="C89" s="266" t="s">
        <v>519</v>
      </c>
      <c r="D89" s="266" t="s">
        <v>495</v>
      </c>
      <c r="E89" s="267" t="s">
        <v>269</v>
      </c>
      <c r="F89" s="267">
        <v>1060</v>
      </c>
      <c r="G89" s="267">
        <v>21</v>
      </c>
      <c r="H89" s="267">
        <v>20</v>
      </c>
      <c r="I89" s="267">
        <v>4.5</v>
      </c>
      <c r="J89" s="267">
        <v>1595</v>
      </c>
      <c r="K89" s="266" t="s">
        <v>570</v>
      </c>
      <c r="L89" s="267">
        <v>2018</v>
      </c>
      <c r="M89" s="267" t="s">
        <v>614</v>
      </c>
      <c r="N89" s="267">
        <v>23</v>
      </c>
      <c r="O89" s="267">
        <v>204</v>
      </c>
      <c r="P89" s="282">
        <v>0.54027777777777775</v>
      </c>
      <c r="Q89" s="267">
        <v>-70.88</v>
      </c>
      <c r="R89" s="267">
        <v>39.771999999999998</v>
      </c>
      <c r="S89" s="267" t="s">
        <v>271</v>
      </c>
      <c r="T89" s="267">
        <v>25</v>
      </c>
      <c r="U89" s="266" t="s">
        <v>573</v>
      </c>
      <c r="V89" s="268">
        <v>0.251</v>
      </c>
      <c r="W89" s="268">
        <v>1.9E-2</v>
      </c>
      <c r="X89" s="268">
        <v>4.4999999999999998E-2</v>
      </c>
      <c r="Y89" s="178">
        <v>2.1999999999999999E-2</v>
      </c>
      <c r="Z89" s="178">
        <v>1.7999999999999999E-2</v>
      </c>
      <c r="AA89" s="178">
        <v>4.1000000000000002E-2</v>
      </c>
      <c r="AB89" s="178">
        <v>3.0000000000000001E-3</v>
      </c>
      <c r="AC89" s="178">
        <v>3.6999999999999998E-2</v>
      </c>
      <c r="AD89" s="178">
        <v>4.0000000000000001E-3</v>
      </c>
      <c r="AE89" s="178">
        <v>1.2999999999999999E-2</v>
      </c>
      <c r="AF89" s="178">
        <v>3.4000000000000002E-2</v>
      </c>
      <c r="AG89" s="178">
        <v>0.08</v>
      </c>
      <c r="AH89" s="178">
        <v>0.20499999999999999</v>
      </c>
      <c r="AI89" s="178">
        <v>4.2000000000000003E-2</v>
      </c>
      <c r="AJ89" s="178">
        <v>3.0000000000000001E-3</v>
      </c>
      <c r="AK89" s="178">
        <v>1.4999999999999999E-2</v>
      </c>
      <c r="AL89" s="178">
        <v>4.0000000000000001E-3</v>
      </c>
      <c r="AM89" s="178">
        <v>0.03</v>
      </c>
      <c r="AN89" s="178">
        <v>1.4999999999999999E-2</v>
      </c>
      <c r="AO89" s="178">
        <v>-8888</v>
      </c>
      <c r="AP89" s="178">
        <v>-8888</v>
      </c>
      <c r="AQ89" s="178">
        <v>4.0000000000000001E-3</v>
      </c>
      <c r="AR89" s="178">
        <v>3.0000000000000001E-3</v>
      </c>
      <c r="AS89" s="178">
        <v>-8888</v>
      </c>
      <c r="AT89" s="178">
        <v>-8888</v>
      </c>
      <c r="AU89" s="178">
        <v>-8888</v>
      </c>
      <c r="AV89" s="178">
        <v>0.315</v>
      </c>
      <c r="AW89" s="178">
        <v>0.14599999999999999</v>
      </c>
      <c r="AX89" s="178">
        <v>0.10600000000000001</v>
      </c>
      <c r="AY89" s="178">
        <v>0.42100000000000004</v>
      </c>
      <c r="AZ89" s="178">
        <v>0.252</v>
      </c>
      <c r="BA89" s="178">
        <v>0.316</v>
      </c>
      <c r="BB89" s="178">
        <v>0.56699999999999995</v>
      </c>
      <c r="BC89" s="178">
        <v>0.20800000000000002</v>
      </c>
      <c r="BD89" s="179">
        <v>1.26</v>
      </c>
      <c r="BE89" s="179">
        <v>0.42</v>
      </c>
      <c r="BF89" s="179">
        <v>0.57999999999999996</v>
      </c>
      <c r="BG89" s="179">
        <v>1.25</v>
      </c>
      <c r="BH89" s="179">
        <v>0.26</v>
      </c>
      <c r="BI89" s="179">
        <v>0.74</v>
      </c>
      <c r="BJ89" s="179">
        <v>0.44</v>
      </c>
      <c r="BK89" s="174"/>
      <c r="BL89" s="190"/>
      <c r="BM89" s="190"/>
    </row>
    <row r="90" spans="1:65" s="140" customFormat="1" ht="14.1" customHeight="1">
      <c r="A90" s="175" t="s">
        <v>384</v>
      </c>
      <c r="B90" s="266" t="s">
        <v>435</v>
      </c>
      <c r="C90" s="266" t="s">
        <v>520</v>
      </c>
      <c r="D90" s="266" t="s">
        <v>495</v>
      </c>
      <c r="E90" s="267" t="s">
        <v>269</v>
      </c>
      <c r="F90" s="267">
        <v>549</v>
      </c>
      <c r="G90" s="267">
        <v>35</v>
      </c>
      <c r="H90" s="267">
        <v>2</v>
      </c>
      <c r="I90" s="267">
        <v>14</v>
      </c>
      <c r="J90" s="267">
        <v>15</v>
      </c>
      <c r="K90" s="266" t="s">
        <v>570</v>
      </c>
      <c r="L90" s="267">
        <v>2018</v>
      </c>
      <c r="M90" s="267" t="s">
        <v>614</v>
      </c>
      <c r="N90" s="267">
        <v>25</v>
      </c>
      <c r="O90" s="267">
        <v>206</v>
      </c>
      <c r="P90" s="282">
        <v>5.0694444444444452E-2</v>
      </c>
      <c r="Q90" s="267">
        <v>-70.587000000000003</v>
      </c>
      <c r="R90" s="267">
        <v>41.323999999999998</v>
      </c>
      <c r="S90" s="267" t="s">
        <v>271</v>
      </c>
      <c r="T90" s="267">
        <v>25</v>
      </c>
      <c r="U90" s="266" t="s">
        <v>573</v>
      </c>
      <c r="V90" s="268">
        <v>1.9950000000000001</v>
      </c>
      <c r="W90" s="268">
        <v>0.26200000000000001</v>
      </c>
      <c r="X90" s="268">
        <v>0.36299999999999999</v>
      </c>
      <c r="Y90" s="178">
        <v>0.123</v>
      </c>
      <c r="Z90" s="178">
        <v>5.6000000000000001E-2</v>
      </c>
      <c r="AA90" s="178">
        <v>0.193</v>
      </c>
      <c r="AB90" s="178">
        <v>2.4E-2</v>
      </c>
      <c r="AC90" s="178">
        <v>0.16400000000000001</v>
      </c>
      <c r="AD90" s="178">
        <v>1.4999999999999999E-2</v>
      </c>
      <c r="AE90" s="178">
        <v>0.6</v>
      </c>
      <c r="AF90" s="178">
        <v>8.7999999999999995E-2</v>
      </c>
      <c r="AG90" s="178">
        <v>0.114</v>
      </c>
      <c r="AH90" s="178">
        <v>1.9470000000000001</v>
      </c>
      <c r="AI90" s="178">
        <v>-8888</v>
      </c>
      <c r="AJ90" s="178">
        <v>4.8000000000000001E-2</v>
      </c>
      <c r="AK90" s="178">
        <v>0.26200000000000001</v>
      </c>
      <c r="AL90" s="178">
        <v>-8888</v>
      </c>
      <c r="AM90" s="178">
        <v>0.22500000000000001</v>
      </c>
      <c r="AN90" s="178">
        <v>0.13800000000000001</v>
      </c>
      <c r="AO90" s="178">
        <v>0.01</v>
      </c>
      <c r="AP90" s="178">
        <v>2.8000000000000001E-2</v>
      </c>
      <c r="AQ90" s="178">
        <v>5.0999999999999997E-2</v>
      </c>
      <c r="AR90" s="178">
        <v>0.02</v>
      </c>
      <c r="AS90" s="178">
        <v>3.3000000000000002E-2</v>
      </c>
      <c r="AT90" s="178">
        <v>9.0999999999999998E-2</v>
      </c>
      <c r="AU90" s="178">
        <v>-8888</v>
      </c>
      <c r="AV90" s="178">
        <v>2.62</v>
      </c>
      <c r="AW90" s="178">
        <v>0.44</v>
      </c>
      <c r="AX90" s="178">
        <v>0.93699999999999994</v>
      </c>
      <c r="AY90" s="178">
        <v>3.5569999999999999</v>
      </c>
      <c r="AZ90" s="178">
        <v>1.377</v>
      </c>
      <c r="BA90" s="178">
        <v>2.0019999999999998</v>
      </c>
      <c r="BB90" s="178">
        <v>3.9969999999999999</v>
      </c>
      <c r="BC90" s="178">
        <v>1.337</v>
      </c>
      <c r="BD90" s="179">
        <v>1</v>
      </c>
      <c r="BE90" s="179">
        <v>0.68</v>
      </c>
      <c r="BF90" s="179">
        <v>0.32</v>
      </c>
      <c r="BG90" s="179">
        <v>1.9</v>
      </c>
      <c r="BH90" s="179">
        <v>0.11</v>
      </c>
      <c r="BI90" s="179">
        <v>0.89</v>
      </c>
      <c r="BJ90" s="179">
        <v>0.5</v>
      </c>
      <c r="BK90" s="174"/>
      <c r="BL90" s="190"/>
      <c r="BM90" s="190"/>
    </row>
    <row r="91" spans="1:65" s="140" customFormat="1" ht="14.1" customHeight="1">
      <c r="A91" s="175" t="s">
        <v>385</v>
      </c>
      <c r="B91" s="266" t="s">
        <v>435</v>
      </c>
      <c r="C91" s="266" t="s">
        <v>521</v>
      </c>
      <c r="D91" s="266" t="s">
        <v>495</v>
      </c>
      <c r="E91" s="267" t="s">
        <v>269</v>
      </c>
      <c r="F91" s="267">
        <v>547</v>
      </c>
      <c r="G91" s="267">
        <v>35</v>
      </c>
      <c r="H91" s="267">
        <v>4</v>
      </c>
      <c r="I91" s="267">
        <v>7.5</v>
      </c>
      <c r="J91" s="267">
        <v>15</v>
      </c>
      <c r="K91" s="266" t="s">
        <v>570</v>
      </c>
      <c r="L91" s="267">
        <v>2018</v>
      </c>
      <c r="M91" s="267" t="s">
        <v>614</v>
      </c>
      <c r="N91" s="267">
        <v>25</v>
      </c>
      <c r="O91" s="267">
        <v>206</v>
      </c>
      <c r="P91" s="282">
        <v>5.0694444444444452E-2</v>
      </c>
      <c r="Q91" s="267">
        <v>-70.587000000000003</v>
      </c>
      <c r="R91" s="267">
        <v>41.323999999999998</v>
      </c>
      <c r="S91" s="267" t="s">
        <v>271</v>
      </c>
      <c r="T91" s="267">
        <v>25</v>
      </c>
      <c r="U91" s="266" t="s">
        <v>573</v>
      </c>
      <c r="V91" s="268">
        <v>1.9629999999999999</v>
      </c>
      <c r="W91" s="268">
        <v>0.26900000000000002</v>
      </c>
      <c r="X91" s="268">
        <v>0.35099999999999998</v>
      </c>
      <c r="Y91" s="178">
        <v>0.122</v>
      </c>
      <c r="Z91" s="178">
        <v>5.6000000000000001E-2</v>
      </c>
      <c r="AA91" s="178">
        <v>0.189</v>
      </c>
      <c r="AB91" s="178">
        <v>2.3E-2</v>
      </c>
      <c r="AC91" s="178">
        <v>0.17399999999999999</v>
      </c>
      <c r="AD91" s="178">
        <v>1.7000000000000001E-2</v>
      </c>
      <c r="AE91" s="178">
        <v>0.57499999999999996</v>
      </c>
      <c r="AF91" s="178">
        <v>8.7999999999999995E-2</v>
      </c>
      <c r="AG91" s="178">
        <v>0.11899999999999999</v>
      </c>
      <c r="AH91" s="178">
        <v>1.9419999999999999</v>
      </c>
      <c r="AI91" s="178">
        <v>-8888</v>
      </c>
      <c r="AJ91" s="178">
        <v>2.1000000000000001E-2</v>
      </c>
      <c r="AK91" s="178">
        <v>0.26400000000000001</v>
      </c>
      <c r="AL91" s="178">
        <v>5.0000000000000001E-3</v>
      </c>
      <c r="AM91" s="178">
        <v>0.219</v>
      </c>
      <c r="AN91" s="178">
        <v>0.13200000000000001</v>
      </c>
      <c r="AO91" s="178">
        <v>0.01</v>
      </c>
      <c r="AP91" s="178">
        <v>2.9000000000000001E-2</v>
      </c>
      <c r="AQ91" s="178">
        <v>5.2999999999999999E-2</v>
      </c>
      <c r="AR91" s="178">
        <v>1.7999999999999999E-2</v>
      </c>
      <c r="AS91" s="178">
        <v>2.9000000000000001E-2</v>
      </c>
      <c r="AT91" s="178">
        <v>8.6999999999999994E-2</v>
      </c>
      <c r="AU91" s="178">
        <v>-8888</v>
      </c>
      <c r="AV91" s="178">
        <v>2.5829999999999997</v>
      </c>
      <c r="AW91" s="178">
        <v>0.45499999999999996</v>
      </c>
      <c r="AX91" s="178">
        <v>0.90800000000000003</v>
      </c>
      <c r="AY91" s="178">
        <v>3.4909999999999997</v>
      </c>
      <c r="AZ91" s="178">
        <v>1.363</v>
      </c>
      <c r="BA91" s="178">
        <v>1.9830000000000001</v>
      </c>
      <c r="BB91" s="178">
        <v>3.9459999999999997</v>
      </c>
      <c r="BC91" s="178">
        <v>1.319</v>
      </c>
      <c r="BD91" s="179">
        <v>1.01</v>
      </c>
      <c r="BE91" s="179">
        <v>0.67</v>
      </c>
      <c r="BF91" s="179">
        <v>0.33</v>
      </c>
      <c r="BG91" s="179">
        <v>1.9</v>
      </c>
      <c r="BH91" s="179">
        <v>0.12</v>
      </c>
      <c r="BI91" s="179">
        <v>0.88</v>
      </c>
      <c r="BJ91" s="179">
        <v>0.5</v>
      </c>
      <c r="BK91" s="174"/>
      <c r="BL91" s="190"/>
      <c r="BM91" s="190"/>
    </row>
    <row r="92" spans="1:65" s="140" customFormat="1" ht="14.1" customHeight="1">
      <c r="A92" s="175" t="s">
        <v>386</v>
      </c>
      <c r="B92" s="266" t="s">
        <v>435</v>
      </c>
      <c r="C92" s="266" t="s">
        <v>522</v>
      </c>
      <c r="D92" s="266" t="s">
        <v>495</v>
      </c>
      <c r="E92" s="267" t="s">
        <v>269</v>
      </c>
      <c r="F92" s="267">
        <v>548</v>
      </c>
      <c r="G92" s="267">
        <v>35</v>
      </c>
      <c r="H92" s="267">
        <v>8</v>
      </c>
      <c r="I92" s="267">
        <v>4.5</v>
      </c>
      <c r="J92" s="267">
        <v>15</v>
      </c>
      <c r="K92" s="266" t="s">
        <v>570</v>
      </c>
      <c r="L92" s="267">
        <v>2018</v>
      </c>
      <c r="M92" s="267" t="s">
        <v>614</v>
      </c>
      <c r="N92" s="267">
        <v>25</v>
      </c>
      <c r="O92" s="267">
        <v>206</v>
      </c>
      <c r="P92" s="282">
        <v>5.0694444444444452E-2</v>
      </c>
      <c r="Q92" s="267">
        <v>-70.587000000000003</v>
      </c>
      <c r="R92" s="267">
        <v>41.323999999999998</v>
      </c>
      <c r="S92" s="267" t="s">
        <v>271</v>
      </c>
      <c r="T92" s="267">
        <v>25</v>
      </c>
      <c r="U92" s="266" t="s">
        <v>573</v>
      </c>
      <c r="V92" s="268">
        <v>1.859</v>
      </c>
      <c r="W92" s="268">
        <v>0.26200000000000001</v>
      </c>
      <c r="X92" s="268">
        <v>0.33699999999999997</v>
      </c>
      <c r="Y92" s="178">
        <v>0.11700000000000001</v>
      </c>
      <c r="Z92" s="178">
        <v>5.5E-2</v>
      </c>
      <c r="AA92" s="178">
        <v>0.18099999999999999</v>
      </c>
      <c r="AB92" s="178">
        <v>2.1999999999999999E-2</v>
      </c>
      <c r="AC92" s="178">
        <v>0.16500000000000001</v>
      </c>
      <c r="AD92" s="178">
        <v>1.7999999999999999E-2</v>
      </c>
      <c r="AE92" s="178">
        <v>0.55900000000000005</v>
      </c>
      <c r="AF92" s="178">
        <v>8.2000000000000003E-2</v>
      </c>
      <c r="AG92" s="178">
        <v>9.7000000000000003E-2</v>
      </c>
      <c r="AH92" s="178">
        <v>1.8169999999999999</v>
      </c>
      <c r="AI92" s="178">
        <v>-8888</v>
      </c>
      <c r="AJ92" s="178">
        <v>4.2000000000000003E-2</v>
      </c>
      <c r="AK92" s="178">
        <v>0.25800000000000001</v>
      </c>
      <c r="AL92" s="178">
        <v>4.0000000000000001E-3</v>
      </c>
      <c r="AM92" s="178">
        <v>0.21</v>
      </c>
      <c r="AN92" s="178">
        <v>0.127</v>
      </c>
      <c r="AO92" s="178">
        <v>0.01</v>
      </c>
      <c r="AP92" s="178">
        <v>2.7E-2</v>
      </c>
      <c r="AQ92" s="178">
        <v>5.0999999999999997E-2</v>
      </c>
      <c r="AR92" s="178">
        <v>1.7000000000000001E-2</v>
      </c>
      <c r="AS92" s="178">
        <v>2.8000000000000001E-2</v>
      </c>
      <c r="AT92" s="178">
        <v>8.4000000000000005E-2</v>
      </c>
      <c r="AU92" s="178">
        <v>-8888</v>
      </c>
      <c r="AV92" s="178">
        <v>2.4580000000000002</v>
      </c>
      <c r="AW92" s="178">
        <v>0.41899999999999998</v>
      </c>
      <c r="AX92" s="178">
        <v>0.87700000000000011</v>
      </c>
      <c r="AY92" s="178">
        <v>3.3350000000000004</v>
      </c>
      <c r="AZ92" s="178">
        <v>1.296</v>
      </c>
      <c r="BA92" s="178">
        <v>1.895</v>
      </c>
      <c r="BB92" s="178">
        <v>3.754</v>
      </c>
      <c r="BC92" s="178">
        <v>1.258</v>
      </c>
      <c r="BD92" s="179">
        <v>1.02</v>
      </c>
      <c r="BE92" s="179">
        <v>0.68</v>
      </c>
      <c r="BF92" s="179">
        <v>0.32</v>
      </c>
      <c r="BG92" s="179">
        <v>1.9</v>
      </c>
      <c r="BH92" s="179">
        <v>0.11</v>
      </c>
      <c r="BI92" s="179">
        <v>0.89</v>
      </c>
      <c r="BJ92" s="179">
        <v>0.5</v>
      </c>
      <c r="BK92" s="174"/>
      <c r="BL92" s="190"/>
      <c r="BM92" s="190"/>
    </row>
    <row r="93" spans="1:65" s="140" customFormat="1" ht="14.1" customHeight="1">
      <c r="A93" s="175" t="s">
        <v>387</v>
      </c>
      <c r="B93" s="266" t="s">
        <v>435</v>
      </c>
      <c r="C93" s="266" t="s">
        <v>523</v>
      </c>
      <c r="D93" s="266" t="s">
        <v>524</v>
      </c>
      <c r="E93" s="267" t="s">
        <v>269</v>
      </c>
      <c r="F93" s="267">
        <v>547</v>
      </c>
      <c r="G93" s="267">
        <v>1</v>
      </c>
      <c r="H93" s="267">
        <v>7</v>
      </c>
      <c r="I93" s="267">
        <v>29.6</v>
      </c>
      <c r="J93" s="267">
        <v>94</v>
      </c>
      <c r="K93" s="266" t="s">
        <v>570</v>
      </c>
      <c r="L93" s="267">
        <v>2018</v>
      </c>
      <c r="M93" s="267" t="s">
        <v>624</v>
      </c>
      <c r="N93" s="267">
        <v>21</v>
      </c>
      <c r="O93" s="267">
        <v>294</v>
      </c>
      <c r="P93" s="282" t="s">
        <v>625</v>
      </c>
      <c r="Q93" s="267">
        <v>-70.881</v>
      </c>
      <c r="R93" s="267">
        <v>40.360999999999997</v>
      </c>
      <c r="S93" s="267" t="s">
        <v>271</v>
      </c>
      <c r="T93" s="267">
        <v>25</v>
      </c>
      <c r="U93" s="266" t="s">
        <v>573</v>
      </c>
      <c r="V93" s="268">
        <v>2.6859999999999999</v>
      </c>
      <c r="W93" s="268">
        <v>0.32800000000000001</v>
      </c>
      <c r="X93" s="268">
        <v>0.60699999999999998</v>
      </c>
      <c r="Y93" s="178">
        <v>0.127</v>
      </c>
      <c r="Z93" s="178">
        <v>9.0999999999999998E-2</v>
      </c>
      <c r="AA93" s="178">
        <v>0.36899999999999999</v>
      </c>
      <c r="AB93" s="178">
        <v>0.14199999999999999</v>
      </c>
      <c r="AC93" s="178">
        <v>0.105</v>
      </c>
      <c r="AD93" s="178">
        <v>-8888</v>
      </c>
      <c r="AE93" s="178">
        <v>0.52400000000000002</v>
      </c>
      <c r="AF93" s="178">
        <v>0.24399999999999999</v>
      </c>
      <c r="AG93" s="178">
        <v>2.8000000000000001E-2</v>
      </c>
      <c r="AH93" s="178">
        <v>2.6539999999999999</v>
      </c>
      <c r="AI93" s="178">
        <v>-8888</v>
      </c>
      <c r="AJ93" s="178">
        <v>3.2000000000000001E-2</v>
      </c>
      <c r="AK93" s="178">
        <v>0.32800000000000001</v>
      </c>
      <c r="AL93" s="178">
        <v>-8888</v>
      </c>
      <c r="AM93" s="178">
        <v>0.372</v>
      </c>
      <c r="AN93" s="178">
        <v>0.23499999999999999</v>
      </c>
      <c r="AO93" s="178">
        <v>8.0000000000000002E-3</v>
      </c>
      <c r="AP93" s="178">
        <v>3.5000000000000003E-2</v>
      </c>
      <c r="AQ93" s="178">
        <v>2.5999999999999999E-2</v>
      </c>
      <c r="AR93" s="178">
        <v>0.03</v>
      </c>
      <c r="AS93" s="178">
        <v>8.4000000000000005E-2</v>
      </c>
      <c r="AT93" s="178">
        <v>0.123</v>
      </c>
      <c r="AU93" s="178">
        <v>-8888</v>
      </c>
      <c r="AV93" s="178">
        <v>3.6209999999999996</v>
      </c>
      <c r="AW93" s="178">
        <v>0.40200000000000002</v>
      </c>
      <c r="AX93" s="178">
        <v>1.228</v>
      </c>
      <c r="AY93" s="178">
        <v>4.8489999999999993</v>
      </c>
      <c r="AZ93" s="178">
        <v>1.63</v>
      </c>
      <c r="BA93" s="178">
        <v>2.5649999999999999</v>
      </c>
      <c r="BB93" s="178">
        <v>5.2509999999999994</v>
      </c>
      <c r="BC93" s="178">
        <v>1.726</v>
      </c>
      <c r="BD93" s="179">
        <v>0.95</v>
      </c>
      <c r="BE93" s="179">
        <v>0.75</v>
      </c>
      <c r="BF93" s="179">
        <v>0.25</v>
      </c>
      <c r="BG93" s="179">
        <v>2.2200000000000002</v>
      </c>
      <c r="BH93" s="179">
        <v>0.08</v>
      </c>
      <c r="BI93" s="179">
        <v>0.92</v>
      </c>
      <c r="BJ93" s="179">
        <v>0.51</v>
      </c>
      <c r="BK93" s="174"/>
      <c r="BL93" s="190"/>
      <c r="BM93" s="190"/>
    </row>
    <row r="94" spans="1:65" s="140" customFormat="1" ht="14.1" customHeight="1">
      <c r="A94" s="175" t="s">
        <v>388</v>
      </c>
      <c r="B94" s="266" t="s">
        <v>435</v>
      </c>
      <c r="C94" s="266" t="s">
        <v>525</v>
      </c>
      <c r="D94" s="266" t="s">
        <v>524</v>
      </c>
      <c r="E94" s="267" t="s">
        <v>269</v>
      </c>
      <c r="F94" s="267">
        <v>548</v>
      </c>
      <c r="G94" s="267">
        <v>1</v>
      </c>
      <c r="H94" s="267">
        <v>12</v>
      </c>
      <c r="I94" s="267">
        <v>4.4000000000000004</v>
      </c>
      <c r="J94" s="267">
        <v>94</v>
      </c>
      <c r="K94" s="266" t="s">
        <v>570</v>
      </c>
      <c r="L94" s="267">
        <v>2018</v>
      </c>
      <c r="M94" s="267" t="s">
        <v>624</v>
      </c>
      <c r="N94" s="267">
        <v>21</v>
      </c>
      <c r="O94" s="267">
        <v>294</v>
      </c>
      <c r="P94" s="282" t="s">
        <v>625</v>
      </c>
      <c r="Q94" s="267">
        <v>-70.881</v>
      </c>
      <c r="R94" s="267">
        <v>40.360999999999997</v>
      </c>
      <c r="S94" s="267" t="s">
        <v>271</v>
      </c>
      <c r="T94" s="267">
        <v>25</v>
      </c>
      <c r="U94" s="266" t="s">
        <v>573</v>
      </c>
      <c r="V94" s="268">
        <v>2.4099999999999997</v>
      </c>
      <c r="W94" s="268">
        <v>0.318</v>
      </c>
      <c r="X94" s="268">
        <v>0.53300000000000003</v>
      </c>
      <c r="Y94" s="178">
        <v>0.11600000000000001</v>
      </c>
      <c r="Z94" s="178">
        <v>7.9000000000000001E-2</v>
      </c>
      <c r="AA94" s="178">
        <v>0.318</v>
      </c>
      <c r="AB94" s="178">
        <v>0.13700000000000001</v>
      </c>
      <c r="AC94" s="178">
        <v>8.5999999999999993E-2</v>
      </c>
      <c r="AD94" s="178">
        <v>3.0000000000000001E-3</v>
      </c>
      <c r="AE94" s="178">
        <v>0.48099999999999998</v>
      </c>
      <c r="AF94" s="178">
        <v>0.154</v>
      </c>
      <c r="AG94" s="178">
        <v>3.1E-2</v>
      </c>
      <c r="AH94" s="178">
        <v>2.3839999999999999</v>
      </c>
      <c r="AI94" s="178">
        <v>-8888</v>
      </c>
      <c r="AJ94" s="178">
        <v>2.5999999999999999E-2</v>
      </c>
      <c r="AK94" s="178">
        <v>0.318</v>
      </c>
      <c r="AL94" s="178">
        <v>-8888</v>
      </c>
      <c r="AM94" s="178">
        <v>0.32300000000000001</v>
      </c>
      <c r="AN94" s="178">
        <v>0.21</v>
      </c>
      <c r="AO94" s="178">
        <v>0.01</v>
      </c>
      <c r="AP94" s="178">
        <v>3.4000000000000002E-2</v>
      </c>
      <c r="AQ94" s="178">
        <v>2.4E-2</v>
      </c>
      <c r="AR94" s="178">
        <v>2.8000000000000001E-2</v>
      </c>
      <c r="AS94" s="178">
        <v>8.4000000000000005E-2</v>
      </c>
      <c r="AT94" s="178">
        <v>0.11799999999999999</v>
      </c>
      <c r="AU94" s="178">
        <v>-8888</v>
      </c>
      <c r="AV94" s="178">
        <v>3.2609999999999997</v>
      </c>
      <c r="AW94" s="178">
        <v>0.373</v>
      </c>
      <c r="AX94" s="178">
        <v>1.0319999999999998</v>
      </c>
      <c r="AY94" s="178">
        <v>4.2929999999999993</v>
      </c>
      <c r="AZ94" s="178">
        <v>1.4049999999999998</v>
      </c>
      <c r="BA94" s="178">
        <v>2.2559999999999998</v>
      </c>
      <c r="BB94" s="178">
        <v>4.6659999999999995</v>
      </c>
      <c r="BC94" s="178">
        <v>1.5179999999999998</v>
      </c>
      <c r="BD94" s="179">
        <v>0.94</v>
      </c>
      <c r="BE94" s="179">
        <v>0.73</v>
      </c>
      <c r="BF94" s="179">
        <v>0.27</v>
      </c>
      <c r="BG94" s="179">
        <v>2.3199999999999998</v>
      </c>
      <c r="BH94" s="179">
        <v>0.08</v>
      </c>
      <c r="BI94" s="179">
        <v>0.92</v>
      </c>
      <c r="BJ94" s="179">
        <v>0.52</v>
      </c>
      <c r="BK94" s="174"/>
      <c r="BL94" s="190"/>
      <c r="BM94" s="190"/>
    </row>
    <row r="95" spans="1:65" s="140" customFormat="1" ht="14.1" customHeight="1">
      <c r="A95" s="175" t="s">
        <v>389</v>
      </c>
      <c r="B95" s="266" t="s">
        <v>435</v>
      </c>
      <c r="C95" s="266" t="s">
        <v>526</v>
      </c>
      <c r="D95" s="266" t="s">
        <v>524</v>
      </c>
      <c r="E95" s="267" t="s">
        <v>269</v>
      </c>
      <c r="F95" s="267">
        <v>547</v>
      </c>
      <c r="G95" s="267">
        <v>2</v>
      </c>
      <c r="H95" s="267">
        <v>7</v>
      </c>
      <c r="I95" s="267">
        <v>24.9</v>
      </c>
      <c r="J95" s="267">
        <v>76</v>
      </c>
      <c r="K95" s="266" t="s">
        <v>570</v>
      </c>
      <c r="L95" s="267">
        <v>2018</v>
      </c>
      <c r="M95" s="267" t="s">
        <v>624</v>
      </c>
      <c r="N95" s="267">
        <v>21</v>
      </c>
      <c r="O95" s="267">
        <v>294</v>
      </c>
      <c r="P95" s="282" t="s">
        <v>626</v>
      </c>
      <c r="Q95" s="267">
        <v>-70.881</v>
      </c>
      <c r="R95" s="267">
        <v>40.515000000000001</v>
      </c>
      <c r="S95" s="267" t="s">
        <v>271</v>
      </c>
      <c r="T95" s="267">
        <v>25</v>
      </c>
      <c r="U95" s="266" t="s">
        <v>573</v>
      </c>
      <c r="V95" s="268">
        <v>2.0110000000000001</v>
      </c>
      <c r="W95" s="268">
        <v>0.184</v>
      </c>
      <c r="X95" s="268">
        <v>0.38</v>
      </c>
      <c r="Y95" s="178">
        <v>8.5999999999999993E-2</v>
      </c>
      <c r="Z95" s="178">
        <v>2.4E-2</v>
      </c>
      <c r="AA95" s="178">
        <v>7.0999999999999994E-2</v>
      </c>
      <c r="AB95" s="178">
        <v>6.8000000000000005E-2</v>
      </c>
      <c r="AC95" s="178">
        <v>5.6000000000000001E-2</v>
      </c>
      <c r="AD95" s="178">
        <v>3.0000000000000001E-3</v>
      </c>
      <c r="AE95" s="178">
        <v>0.65600000000000003</v>
      </c>
      <c r="AF95" s="178">
        <v>7.3999999999999996E-2</v>
      </c>
      <c r="AG95" s="178">
        <v>2.1000000000000001E-2</v>
      </c>
      <c r="AH95" s="178">
        <v>1.95</v>
      </c>
      <c r="AI95" s="178">
        <v>-8888</v>
      </c>
      <c r="AJ95" s="178">
        <v>6.0999999999999999E-2</v>
      </c>
      <c r="AK95" s="178">
        <v>0.184</v>
      </c>
      <c r="AL95" s="178">
        <v>-8888</v>
      </c>
      <c r="AM95" s="178">
        <v>0.23899999999999999</v>
      </c>
      <c r="AN95" s="178">
        <v>0.14099999999999999</v>
      </c>
      <c r="AO95" s="178">
        <v>1.2999999999999999E-2</v>
      </c>
      <c r="AP95" s="178">
        <v>2.1000000000000001E-2</v>
      </c>
      <c r="AQ95" s="178">
        <v>1.4E-2</v>
      </c>
      <c r="AR95" s="178">
        <v>3.1E-2</v>
      </c>
      <c r="AS95" s="178">
        <v>0.125</v>
      </c>
      <c r="AT95" s="178">
        <v>5.7000000000000002E-2</v>
      </c>
      <c r="AU95" s="178">
        <v>-8888</v>
      </c>
      <c r="AV95" s="178">
        <v>2.5750000000000002</v>
      </c>
      <c r="AW95" s="178">
        <v>0.23399999999999999</v>
      </c>
      <c r="AX95" s="178">
        <v>0.82499999999999996</v>
      </c>
      <c r="AY95" s="178">
        <v>3.4000000000000004</v>
      </c>
      <c r="AZ95" s="178">
        <v>1.0589999999999999</v>
      </c>
      <c r="BA95" s="178">
        <v>1.6229999999999998</v>
      </c>
      <c r="BB95" s="178">
        <v>3.6339999999999999</v>
      </c>
      <c r="BC95" s="178">
        <v>1.0979999999999999</v>
      </c>
      <c r="BD95" s="179">
        <v>0.81</v>
      </c>
      <c r="BE95" s="179">
        <v>0.78</v>
      </c>
      <c r="BF95" s="179">
        <v>0.22</v>
      </c>
      <c r="BG95" s="179">
        <v>2.4300000000000002</v>
      </c>
      <c r="BH95" s="179">
        <v>0.06</v>
      </c>
      <c r="BI95" s="179">
        <v>0.94</v>
      </c>
      <c r="BJ95" s="179">
        <v>0.55000000000000004</v>
      </c>
      <c r="BK95" s="174"/>
      <c r="BL95" s="190"/>
      <c r="BM95" s="190"/>
    </row>
    <row r="96" spans="1:65" s="140" customFormat="1" ht="14.1" customHeight="1">
      <c r="A96" s="175" t="s">
        <v>390</v>
      </c>
      <c r="B96" s="266" t="s">
        <v>435</v>
      </c>
      <c r="C96" s="266" t="s">
        <v>527</v>
      </c>
      <c r="D96" s="266" t="s">
        <v>524</v>
      </c>
      <c r="E96" s="267" t="s">
        <v>269</v>
      </c>
      <c r="F96" s="267">
        <v>548</v>
      </c>
      <c r="G96" s="267">
        <v>2</v>
      </c>
      <c r="H96" s="267">
        <v>9</v>
      </c>
      <c r="I96" s="267">
        <v>2.9</v>
      </c>
      <c r="J96" s="267">
        <v>76</v>
      </c>
      <c r="K96" s="266" t="s">
        <v>570</v>
      </c>
      <c r="L96" s="267">
        <v>2018</v>
      </c>
      <c r="M96" s="267" t="s">
        <v>624</v>
      </c>
      <c r="N96" s="267">
        <v>21</v>
      </c>
      <c r="O96" s="267">
        <v>294</v>
      </c>
      <c r="P96" s="282" t="s">
        <v>626</v>
      </c>
      <c r="Q96" s="267">
        <v>-70.881</v>
      </c>
      <c r="R96" s="267">
        <v>40.515000000000001</v>
      </c>
      <c r="S96" s="267" t="s">
        <v>271</v>
      </c>
      <c r="T96" s="267">
        <v>25</v>
      </c>
      <c r="U96" s="266" t="s">
        <v>573</v>
      </c>
      <c r="V96" s="268">
        <v>1.7049999999999998</v>
      </c>
      <c r="W96" s="268">
        <v>0.17199999999999999</v>
      </c>
      <c r="X96" s="268">
        <v>0.32899999999999996</v>
      </c>
      <c r="Y96" s="178">
        <v>7.2999999999999995E-2</v>
      </c>
      <c r="Z96" s="178">
        <v>-8888</v>
      </c>
      <c r="AA96" s="178">
        <v>0.05</v>
      </c>
      <c r="AB96" s="178">
        <v>5.1999999999999998E-2</v>
      </c>
      <c r="AC96" s="178">
        <v>4.3999999999999997E-2</v>
      </c>
      <c r="AD96" s="178">
        <v>3.0000000000000001E-3</v>
      </c>
      <c r="AE96" s="178">
        <v>0.56000000000000005</v>
      </c>
      <c r="AF96" s="178">
        <v>3.9E-2</v>
      </c>
      <c r="AG96" s="178">
        <v>1.9E-2</v>
      </c>
      <c r="AH96" s="178">
        <v>1.6479999999999999</v>
      </c>
      <c r="AI96" s="178">
        <v>-8888</v>
      </c>
      <c r="AJ96" s="178">
        <v>5.7000000000000002E-2</v>
      </c>
      <c r="AK96" s="178">
        <v>0.17199999999999999</v>
      </c>
      <c r="AL96" s="178">
        <v>-8888</v>
      </c>
      <c r="AM96" s="178">
        <v>0.20799999999999999</v>
      </c>
      <c r="AN96" s="178">
        <v>0.121</v>
      </c>
      <c r="AO96" s="178">
        <v>1.0999999999999999E-2</v>
      </c>
      <c r="AP96" s="178">
        <v>1.9E-2</v>
      </c>
      <c r="AQ96" s="178">
        <v>1.2999999999999999E-2</v>
      </c>
      <c r="AR96" s="178">
        <v>2.9000000000000001E-2</v>
      </c>
      <c r="AS96" s="178">
        <v>0.13100000000000001</v>
      </c>
      <c r="AT96" s="178">
        <v>0.05</v>
      </c>
      <c r="AU96" s="178">
        <v>-8888</v>
      </c>
      <c r="AV96" s="178">
        <v>2.2059999999999995</v>
      </c>
      <c r="AW96" s="178">
        <v>0.191</v>
      </c>
      <c r="AX96" s="178">
        <v>0.64900000000000013</v>
      </c>
      <c r="AY96" s="178">
        <v>2.8549999999999995</v>
      </c>
      <c r="AZ96" s="178">
        <v>0.84000000000000008</v>
      </c>
      <c r="BA96" s="178">
        <v>1.341</v>
      </c>
      <c r="BB96" s="178">
        <v>3.0459999999999998</v>
      </c>
      <c r="BC96" s="178">
        <v>0.89200000000000013</v>
      </c>
      <c r="BD96" s="179">
        <v>0.79</v>
      </c>
      <c r="BE96" s="179">
        <v>0.77</v>
      </c>
      <c r="BF96" s="179">
        <v>0.23</v>
      </c>
      <c r="BG96" s="179">
        <v>2.63</v>
      </c>
      <c r="BH96" s="179">
        <v>0.06</v>
      </c>
      <c r="BI96" s="179">
        <v>0.94</v>
      </c>
      <c r="BJ96" s="179">
        <v>0.56000000000000005</v>
      </c>
      <c r="BK96" s="174"/>
      <c r="BL96" s="190"/>
      <c r="BM96" s="190"/>
    </row>
    <row r="97" spans="1:65" s="140" customFormat="1" ht="14.1" customHeight="1">
      <c r="A97" s="175" t="s">
        <v>391</v>
      </c>
      <c r="B97" s="266" t="s">
        <v>435</v>
      </c>
      <c r="C97" s="266" t="s">
        <v>528</v>
      </c>
      <c r="D97" s="266" t="s">
        <v>524</v>
      </c>
      <c r="E97" s="267" t="s">
        <v>272</v>
      </c>
      <c r="F97" s="267">
        <v>547</v>
      </c>
      <c r="G97" s="267">
        <v>3</v>
      </c>
      <c r="H97" s="267">
        <v>3</v>
      </c>
      <c r="I97" s="267">
        <v>35.299999999999997</v>
      </c>
      <c r="J97" s="267">
        <v>76</v>
      </c>
      <c r="K97" s="266" t="s">
        <v>570</v>
      </c>
      <c r="L97" s="267">
        <v>2018</v>
      </c>
      <c r="M97" s="267" t="s">
        <v>624</v>
      </c>
      <c r="N97" s="267">
        <v>21</v>
      </c>
      <c r="O97" s="267">
        <v>294</v>
      </c>
      <c r="P97" s="282" t="s">
        <v>627</v>
      </c>
      <c r="Q97" s="267">
        <v>-70.884</v>
      </c>
      <c r="R97" s="267">
        <v>40.695999999999998</v>
      </c>
      <c r="S97" s="267" t="s">
        <v>271</v>
      </c>
      <c r="T97" s="267">
        <v>25</v>
      </c>
      <c r="U97" s="266" t="s">
        <v>573</v>
      </c>
      <c r="V97" s="268">
        <v>2.5910000000000002</v>
      </c>
      <c r="W97" s="268">
        <v>7.0999999999999994E-2</v>
      </c>
      <c r="X97" s="268">
        <v>0.55600000000000005</v>
      </c>
      <c r="Y97" s="178">
        <v>8.6999999999999994E-2</v>
      </c>
      <c r="Z97" s="178">
        <v>-8888</v>
      </c>
      <c r="AA97" s="178">
        <v>2.1000000000000001E-2</v>
      </c>
      <c r="AB97" s="178">
        <v>1.0999999999999999E-2</v>
      </c>
      <c r="AC97" s="178">
        <v>7.1999999999999995E-2</v>
      </c>
      <c r="AD97" s="178">
        <v>6.0000000000000001E-3</v>
      </c>
      <c r="AE97" s="178">
        <v>1.1739999999999999</v>
      </c>
      <c r="AF97" s="178">
        <v>8.0000000000000002E-3</v>
      </c>
      <c r="AG97" s="178">
        <v>0.01</v>
      </c>
      <c r="AH97" s="178">
        <v>2.395</v>
      </c>
      <c r="AI97" s="178">
        <v>-8888</v>
      </c>
      <c r="AJ97" s="178">
        <v>0.19600000000000001</v>
      </c>
      <c r="AK97" s="178">
        <v>7.0999999999999994E-2</v>
      </c>
      <c r="AL97" s="178">
        <v>-8888</v>
      </c>
      <c r="AM97" s="178">
        <v>0.34200000000000003</v>
      </c>
      <c r="AN97" s="178">
        <v>0.214</v>
      </c>
      <c r="AO97" s="178">
        <v>8.9999999999999993E-3</v>
      </c>
      <c r="AP97" s="178">
        <v>8.9999999999999993E-3</v>
      </c>
      <c r="AQ97" s="178">
        <v>7.0000000000000001E-3</v>
      </c>
      <c r="AR97" s="178">
        <v>5.0999999999999997E-2</v>
      </c>
      <c r="AS97" s="178">
        <v>0.31</v>
      </c>
      <c r="AT97" s="178">
        <v>2.1999999999999999E-2</v>
      </c>
      <c r="AU97" s="178">
        <v>-8888</v>
      </c>
      <c r="AV97" s="178">
        <v>3.2180000000000004</v>
      </c>
      <c r="AW97" s="178">
        <v>0.186</v>
      </c>
      <c r="AX97" s="178">
        <v>1.2029999999999998</v>
      </c>
      <c r="AY97" s="178">
        <v>4.4210000000000003</v>
      </c>
      <c r="AZ97" s="178">
        <v>1.3889999999999998</v>
      </c>
      <c r="BA97" s="178">
        <v>2.016</v>
      </c>
      <c r="BB97" s="178">
        <v>4.6070000000000002</v>
      </c>
      <c r="BC97" s="178">
        <v>1.2949999999999999</v>
      </c>
      <c r="BD97" s="179">
        <v>0.78</v>
      </c>
      <c r="BE97" s="179">
        <v>0.87</v>
      </c>
      <c r="BF97" s="179">
        <v>0.13</v>
      </c>
      <c r="BG97" s="179">
        <v>2.3199999999999998</v>
      </c>
      <c r="BH97" s="179">
        <v>0.04</v>
      </c>
      <c r="BI97" s="179">
        <v>0.96</v>
      </c>
      <c r="BJ97" s="179">
        <v>0.56000000000000005</v>
      </c>
      <c r="BK97" s="174"/>
      <c r="BL97" s="190"/>
      <c r="BM97" s="190"/>
    </row>
    <row r="98" spans="1:65" s="140" customFormat="1" ht="14.1" customHeight="1">
      <c r="A98" s="175" t="s">
        <v>392</v>
      </c>
      <c r="B98" s="266" t="s">
        <v>435</v>
      </c>
      <c r="C98" s="266" t="s">
        <v>529</v>
      </c>
      <c r="D98" s="266" t="s">
        <v>524</v>
      </c>
      <c r="E98" s="267" t="s">
        <v>272</v>
      </c>
      <c r="F98" s="267">
        <v>532</v>
      </c>
      <c r="G98" s="267">
        <v>3</v>
      </c>
      <c r="H98" s="267">
        <v>3</v>
      </c>
      <c r="I98" s="267">
        <v>35.299999999999997</v>
      </c>
      <c r="J98" s="267">
        <v>76</v>
      </c>
      <c r="K98" s="266" t="s">
        <v>570</v>
      </c>
      <c r="L98" s="267">
        <v>2018</v>
      </c>
      <c r="M98" s="267" t="s">
        <v>624</v>
      </c>
      <c r="N98" s="267">
        <v>21</v>
      </c>
      <c r="O98" s="267">
        <v>294</v>
      </c>
      <c r="P98" s="282" t="s">
        <v>627</v>
      </c>
      <c r="Q98" s="267">
        <v>-70.884</v>
      </c>
      <c r="R98" s="267">
        <v>40.695999999999998</v>
      </c>
      <c r="S98" s="267" t="s">
        <v>271</v>
      </c>
      <c r="T98" s="267">
        <v>25</v>
      </c>
      <c r="U98" s="266" t="s">
        <v>573</v>
      </c>
      <c r="V98" s="268">
        <v>2.222</v>
      </c>
      <c r="W98" s="268">
        <v>6.9000000000000006E-2</v>
      </c>
      <c r="X98" s="268">
        <v>0.47199999999999998</v>
      </c>
      <c r="Y98" s="178">
        <v>7.9000000000000001E-2</v>
      </c>
      <c r="Z98" s="178">
        <v>-8888</v>
      </c>
      <c r="AA98" s="178">
        <v>0.02</v>
      </c>
      <c r="AB98" s="178">
        <v>1.2E-2</v>
      </c>
      <c r="AC98" s="178">
        <v>6.6000000000000003E-2</v>
      </c>
      <c r="AD98" s="178">
        <v>4.0000000000000001E-3</v>
      </c>
      <c r="AE98" s="178">
        <v>0.996</v>
      </c>
      <c r="AF98" s="178">
        <v>6.0000000000000001E-3</v>
      </c>
      <c r="AG98" s="178">
        <v>0.01</v>
      </c>
      <c r="AH98" s="178">
        <v>2.0539999999999998</v>
      </c>
      <c r="AI98" s="178">
        <v>-8888</v>
      </c>
      <c r="AJ98" s="178">
        <v>0.16800000000000001</v>
      </c>
      <c r="AK98" s="178">
        <v>6.9000000000000006E-2</v>
      </c>
      <c r="AL98" s="178">
        <v>-8888</v>
      </c>
      <c r="AM98" s="178">
        <v>0.29799999999999999</v>
      </c>
      <c r="AN98" s="178">
        <v>0.17399999999999999</v>
      </c>
      <c r="AO98" s="178">
        <v>8.9999999999999993E-3</v>
      </c>
      <c r="AP98" s="178">
        <v>8.9999999999999993E-3</v>
      </c>
      <c r="AQ98" s="178">
        <v>7.0000000000000001E-3</v>
      </c>
      <c r="AR98" s="178">
        <v>0.05</v>
      </c>
      <c r="AS98" s="178">
        <v>0.25</v>
      </c>
      <c r="AT98" s="178">
        <v>2.1000000000000001E-2</v>
      </c>
      <c r="AU98" s="178">
        <v>-8888</v>
      </c>
      <c r="AV98" s="178">
        <v>2.7629999999999999</v>
      </c>
      <c r="AW98" s="178">
        <v>0.17099999999999999</v>
      </c>
      <c r="AX98" s="178">
        <v>1.022</v>
      </c>
      <c r="AY98" s="178">
        <v>3.7850000000000001</v>
      </c>
      <c r="AZ98" s="178">
        <v>1.1930000000000001</v>
      </c>
      <c r="BA98" s="178">
        <v>1.734</v>
      </c>
      <c r="BB98" s="178">
        <v>3.956</v>
      </c>
      <c r="BC98" s="178">
        <v>1.113</v>
      </c>
      <c r="BD98" s="179">
        <v>0.78</v>
      </c>
      <c r="BE98" s="179">
        <v>0.86</v>
      </c>
      <c r="BF98" s="179">
        <v>0.14000000000000001</v>
      </c>
      <c r="BG98" s="179">
        <v>2.3199999999999998</v>
      </c>
      <c r="BH98" s="179">
        <v>0.04</v>
      </c>
      <c r="BI98" s="179">
        <v>0.96</v>
      </c>
      <c r="BJ98" s="179">
        <v>0.56000000000000005</v>
      </c>
      <c r="BK98" s="174"/>
      <c r="BL98" s="190"/>
      <c r="BM98" s="190"/>
    </row>
    <row r="99" spans="1:65" s="140" customFormat="1" ht="14.1" customHeight="1">
      <c r="A99" s="175" t="s">
        <v>393</v>
      </c>
      <c r="B99" s="266" t="s">
        <v>435</v>
      </c>
      <c r="C99" s="266" t="s">
        <v>530</v>
      </c>
      <c r="D99" s="266" t="s">
        <v>524</v>
      </c>
      <c r="E99" s="267" t="s">
        <v>269</v>
      </c>
      <c r="F99" s="267">
        <v>548</v>
      </c>
      <c r="G99" s="267">
        <v>3</v>
      </c>
      <c r="H99" s="267">
        <v>7</v>
      </c>
      <c r="I99" s="267">
        <v>2.2999999999999998</v>
      </c>
      <c r="J99" s="267">
        <v>76</v>
      </c>
      <c r="K99" s="266" t="s">
        <v>570</v>
      </c>
      <c r="L99" s="267">
        <v>2018</v>
      </c>
      <c r="M99" s="267" t="s">
        <v>624</v>
      </c>
      <c r="N99" s="267">
        <v>21</v>
      </c>
      <c r="O99" s="267">
        <v>294</v>
      </c>
      <c r="P99" s="282" t="s">
        <v>627</v>
      </c>
      <c r="Q99" s="267">
        <v>-70.884</v>
      </c>
      <c r="R99" s="267">
        <v>40.695999999999998</v>
      </c>
      <c r="S99" s="267" t="s">
        <v>271</v>
      </c>
      <c r="T99" s="267">
        <v>25</v>
      </c>
      <c r="U99" s="266" t="s">
        <v>573</v>
      </c>
      <c r="V99" s="268">
        <v>2.5059999999999998</v>
      </c>
      <c r="W99" s="268">
        <v>6.4000000000000001E-2</v>
      </c>
      <c r="X99" s="268">
        <v>0.53300000000000003</v>
      </c>
      <c r="Y99" s="178">
        <v>8.4000000000000005E-2</v>
      </c>
      <c r="Z99" s="178">
        <v>-8888</v>
      </c>
      <c r="AA99" s="178">
        <v>2.5000000000000001E-2</v>
      </c>
      <c r="AB99" s="178">
        <v>1.7999999999999999E-2</v>
      </c>
      <c r="AC99" s="178">
        <v>7.9000000000000001E-2</v>
      </c>
      <c r="AD99" s="178">
        <v>8.0000000000000002E-3</v>
      </c>
      <c r="AE99" s="178">
        <v>1.0900000000000001</v>
      </c>
      <c r="AF99" s="178">
        <v>0.03</v>
      </c>
      <c r="AG99" s="178">
        <v>8.0000000000000002E-3</v>
      </c>
      <c r="AH99" s="178">
        <v>2.2629999999999999</v>
      </c>
      <c r="AI99" s="178">
        <v>-8888</v>
      </c>
      <c r="AJ99" s="178">
        <v>0.24299999999999999</v>
      </c>
      <c r="AK99" s="178">
        <v>6.4000000000000001E-2</v>
      </c>
      <c r="AL99" s="178">
        <v>-8888</v>
      </c>
      <c r="AM99" s="178">
        <v>0.372</v>
      </c>
      <c r="AN99" s="178">
        <v>0.161</v>
      </c>
      <c r="AO99" s="178">
        <v>8.0000000000000002E-3</v>
      </c>
      <c r="AP99" s="178">
        <v>8.0000000000000002E-3</v>
      </c>
      <c r="AQ99" s="178">
        <v>7.0000000000000001E-3</v>
      </c>
      <c r="AR99" s="178">
        <v>0.06</v>
      </c>
      <c r="AS99" s="178">
        <v>0.29299999999999998</v>
      </c>
      <c r="AT99" s="178">
        <v>1.9E-2</v>
      </c>
      <c r="AU99" s="178">
        <v>-8888</v>
      </c>
      <c r="AV99" s="178">
        <v>3.1029999999999998</v>
      </c>
      <c r="AW99" s="178">
        <v>0.19700000000000001</v>
      </c>
      <c r="AX99" s="178">
        <v>1.145</v>
      </c>
      <c r="AY99" s="178">
        <v>4.2479999999999993</v>
      </c>
      <c r="AZ99" s="178">
        <v>1.3420000000000001</v>
      </c>
      <c r="BA99" s="178">
        <v>1.9390000000000001</v>
      </c>
      <c r="BB99" s="178">
        <v>4.4450000000000003</v>
      </c>
      <c r="BC99" s="178">
        <v>1.2350000000000001</v>
      </c>
      <c r="BD99" s="179">
        <v>0.77</v>
      </c>
      <c r="BE99" s="179">
        <v>0.85</v>
      </c>
      <c r="BF99" s="179">
        <v>0.15</v>
      </c>
      <c r="BG99" s="179">
        <v>2.31</v>
      </c>
      <c r="BH99" s="179">
        <v>0.04</v>
      </c>
      <c r="BI99" s="179">
        <v>0.96</v>
      </c>
      <c r="BJ99" s="179">
        <v>0.56000000000000005</v>
      </c>
      <c r="BK99" s="174"/>
      <c r="BL99" s="190"/>
      <c r="BM99" s="190"/>
    </row>
    <row r="100" spans="1:65" s="140" customFormat="1" ht="14.1" customHeight="1">
      <c r="A100" s="175" t="s">
        <v>394</v>
      </c>
      <c r="B100" s="266" t="s">
        <v>435</v>
      </c>
      <c r="C100" s="266" t="s">
        <v>531</v>
      </c>
      <c r="D100" s="266" t="s">
        <v>524</v>
      </c>
      <c r="E100" s="267" t="s">
        <v>269</v>
      </c>
      <c r="F100" s="267">
        <v>547</v>
      </c>
      <c r="G100" s="267">
        <v>4</v>
      </c>
      <c r="H100" s="267">
        <v>3</v>
      </c>
      <c r="I100" s="267">
        <v>40.200000000000003</v>
      </c>
      <c r="J100" s="267">
        <v>54</v>
      </c>
      <c r="K100" s="266" t="s">
        <v>570</v>
      </c>
      <c r="L100" s="267">
        <v>2018</v>
      </c>
      <c r="M100" s="267" t="s">
        <v>624</v>
      </c>
      <c r="N100" s="267">
        <v>21</v>
      </c>
      <c r="O100" s="267">
        <v>294</v>
      </c>
      <c r="P100" s="282" t="s">
        <v>628</v>
      </c>
      <c r="Q100" s="267">
        <v>-70.884</v>
      </c>
      <c r="R100" s="267">
        <v>40.863</v>
      </c>
      <c r="S100" s="267" t="s">
        <v>271</v>
      </c>
      <c r="T100" s="267">
        <v>25</v>
      </c>
      <c r="U100" s="266" t="s">
        <v>573</v>
      </c>
      <c r="V100" s="268">
        <v>3.8810000000000002</v>
      </c>
      <c r="W100" s="268">
        <v>2.3E-2</v>
      </c>
      <c r="X100" s="268">
        <v>0.81099999999999994</v>
      </c>
      <c r="Y100" s="178">
        <v>0.14000000000000001</v>
      </c>
      <c r="Z100" s="178">
        <v>-8888</v>
      </c>
      <c r="AA100" s="178">
        <v>4.0000000000000001E-3</v>
      </c>
      <c r="AB100" s="178">
        <v>5.0000000000000001E-3</v>
      </c>
      <c r="AC100" s="178">
        <v>0.128</v>
      </c>
      <c r="AD100" s="178">
        <v>0.01</v>
      </c>
      <c r="AE100" s="178">
        <v>1.738</v>
      </c>
      <c r="AF100" s="178">
        <v>-8888</v>
      </c>
      <c r="AG100" s="178">
        <v>4.0000000000000001E-3</v>
      </c>
      <c r="AH100" s="178">
        <v>3.3660000000000001</v>
      </c>
      <c r="AI100" s="178">
        <v>-8888</v>
      </c>
      <c r="AJ100" s="178">
        <v>0.51500000000000001</v>
      </c>
      <c r="AK100" s="178">
        <v>2.3E-2</v>
      </c>
      <c r="AL100" s="178">
        <v>-8888</v>
      </c>
      <c r="AM100" s="178">
        <v>0.60699999999999998</v>
      </c>
      <c r="AN100" s="178">
        <v>0.20399999999999999</v>
      </c>
      <c r="AO100" s="178">
        <v>4.0000000000000001E-3</v>
      </c>
      <c r="AP100" s="178">
        <v>-8888</v>
      </c>
      <c r="AQ100" s="178">
        <v>7.0000000000000001E-3</v>
      </c>
      <c r="AR100" s="178">
        <v>0.14199999999999999</v>
      </c>
      <c r="AS100" s="178">
        <v>1.153</v>
      </c>
      <c r="AT100" s="178">
        <v>6.0000000000000001E-3</v>
      </c>
      <c r="AU100" s="178">
        <v>-8888</v>
      </c>
      <c r="AV100" s="178">
        <v>4.7149999999999999</v>
      </c>
      <c r="AW100" s="178">
        <v>0.28700000000000003</v>
      </c>
      <c r="AX100" s="178">
        <v>1.742</v>
      </c>
      <c r="AY100" s="178">
        <v>6.4569999999999999</v>
      </c>
      <c r="AZ100" s="178">
        <v>2.0289999999999999</v>
      </c>
      <c r="BA100" s="178">
        <v>2.863</v>
      </c>
      <c r="BB100" s="178">
        <v>6.7439999999999998</v>
      </c>
      <c r="BC100" s="178">
        <v>1.774</v>
      </c>
      <c r="BD100" s="179">
        <v>0.74</v>
      </c>
      <c r="BE100" s="179">
        <v>0.86</v>
      </c>
      <c r="BF100" s="179">
        <v>0.14000000000000001</v>
      </c>
      <c r="BG100" s="179">
        <v>2.3199999999999998</v>
      </c>
      <c r="BH100" s="179">
        <v>0.04</v>
      </c>
      <c r="BI100" s="179">
        <v>0.96</v>
      </c>
      <c r="BJ100" s="179">
        <v>0.57999999999999996</v>
      </c>
      <c r="BK100" s="174"/>
      <c r="BL100" s="190"/>
      <c r="BM100" s="190"/>
    </row>
    <row r="101" spans="1:65" s="140" customFormat="1" ht="14.1" customHeight="1">
      <c r="A101" s="175" t="s">
        <v>395</v>
      </c>
      <c r="B101" s="266" t="s">
        <v>435</v>
      </c>
      <c r="C101" s="266" t="s">
        <v>532</v>
      </c>
      <c r="D101" s="266" t="s">
        <v>524</v>
      </c>
      <c r="E101" s="267" t="s">
        <v>269</v>
      </c>
      <c r="F101" s="267">
        <v>548</v>
      </c>
      <c r="G101" s="267">
        <v>4</v>
      </c>
      <c r="H101" s="267">
        <v>7</v>
      </c>
      <c r="I101" s="267">
        <v>3</v>
      </c>
      <c r="J101" s="267">
        <v>54</v>
      </c>
      <c r="K101" s="266" t="s">
        <v>570</v>
      </c>
      <c r="L101" s="267">
        <v>2018</v>
      </c>
      <c r="M101" s="267" t="s">
        <v>624</v>
      </c>
      <c r="N101" s="267">
        <v>21</v>
      </c>
      <c r="O101" s="267">
        <v>294</v>
      </c>
      <c r="P101" s="282" t="s">
        <v>628</v>
      </c>
      <c r="Q101" s="267">
        <v>-70.884</v>
      </c>
      <c r="R101" s="267">
        <v>40.863</v>
      </c>
      <c r="S101" s="267" t="s">
        <v>271</v>
      </c>
      <c r="T101" s="267">
        <v>25</v>
      </c>
      <c r="U101" s="266" t="s">
        <v>573</v>
      </c>
      <c r="V101" s="268">
        <v>2.5029999999999997</v>
      </c>
      <c r="W101" s="268">
        <v>3.1E-2</v>
      </c>
      <c r="X101" s="268">
        <v>0.51900000000000002</v>
      </c>
      <c r="Y101" s="178">
        <v>8.7999999999999995E-2</v>
      </c>
      <c r="Z101" s="178">
        <v>-8888</v>
      </c>
      <c r="AA101" s="178">
        <v>1.7000000000000001E-2</v>
      </c>
      <c r="AB101" s="178">
        <v>1.4999999999999999E-2</v>
      </c>
      <c r="AC101" s="178">
        <v>0.09</v>
      </c>
      <c r="AD101" s="178">
        <v>1.0999999999999999E-2</v>
      </c>
      <c r="AE101" s="178">
        <v>1.107</v>
      </c>
      <c r="AF101" s="178">
        <v>0.01</v>
      </c>
      <c r="AG101" s="178">
        <v>3.0000000000000001E-3</v>
      </c>
      <c r="AH101" s="178">
        <v>2.1269999999999998</v>
      </c>
      <c r="AI101" s="178">
        <v>-8888</v>
      </c>
      <c r="AJ101" s="178">
        <v>0.376</v>
      </c>
      <c r="AK101" s="178">
        <v>3.1E-2</v>
      </c>
      <c r="AL101" s="178">
        <v>-8888</v>
      </c>
      <c r="AM101" s="178">
        <v>0.44500000000000001</v>
      </c>
      <c r="AN101" s="178">
        <v>7.3999999999999996E-2</v>
      </c>
      <c r="AO101" s="178">
        <v>3.0000000000000001E-3</v>
      </c>
      <c r="AP101" s="178">
        <v>-8888</v>
      </c>
      <c r="AQ101" s="178">
        <v>5.0000000000000001E-3</v>
      </c>
      <c r="AR101" s="178">
        <v>7.9000000000000001E-2</v>
      </c>
      <c r="AS101" s="178">
        <v>0.45500000000000002</v>
      </c>
      <c r="AT101" s="178">
        <v>8.0000000000000002E-3</v>
      </c>
      <c r="AU101" s="178">
        <v>-8888</v>
      </c>
      <c r="AV101" s="178">
        <v>3.0529999999999999</v>
      </c>
      <c r="AW101" s="178">
        <v>0.20699999999999999</v>
      </c>
      <c r="AX101" s="178">
        <v>1.1339999999999999</v>
      </c>
      <c r="AY101" s="178">
        <v>4.1869999999999994</v>
      </c>
      <c r="AZ101" s="178">
        <v>1.341</v>
      </c>
      <c r="BA101" s="178">
        <v>1.891</v>
      </c>
      <c r="BB101" s="178">
        <v>4.3940000000000001</v>
      </c>
      <c r="BC101" s="178">
        <v>1.1829999999999998</v>
      </c>
      <c r="BD101" s="179">
        <v>0.76</v>
      </c>
      <c r="BE101" s="179">
        <v>0.85</v>
      </c>
      <c r="BF101" s="179">
        <v>0.15</v>
      </c>
      <c r="BG101" s="179">
        <v>2.2799999999999998</v>
      </c>
      <c r="BH101" s="179">
        <v>0.05</v>
      </c>
      <c r="BI101" s="179">
        <v>0.95</v>
      </c>
      <c r="BJ101" s="179">
        <v>0.56999999999999995</v>
      </c>
      <c r="BK101" s="174"/>
      <c r="BL101" s="190"/>
      <c r="BM101" s="190"/>
    </row>
    <row r="102" spans="1:65" s="140" customFormat="1" ht="14.1" customHeight="1">
      <c r="A102" s="175" t="s">
        <v>396</v>
      </c>
      <c r="B102" s="266" t="s">
        <v>435</v>
      </c>
      <c r="C102" s="266" t="s">
        <v>533</v>
      </c>
      <c r="D102" s="266" t="s">
        <v>524</v>
      </c>
      <c r="E102" s="267" t="s">
        <v>269</v>
      </c>
      <c r="F102" s="267">
        <v>547</v>
      </c>
      <c r="G102" s="267">
        <v>5</v>
      </c>
      <c r="H102" s="267">
        <v>3</v>
      </c>
      <c r="I102" s="267">
        <v>29.8</v>
      </c>
      <c r="J102" s="267">
        <v>45</v>
      </c>
      <c r="K102" s="266" t="s">
        <v>570</v>
      </c>
      <c r="L102" s="267">
        <v>2018</v>
      </c>
      <c r="M102" s="267" t="s">
        <v>624</v>
      </c>
      <c r="N102" s="267">
        <v>21</v>
      </c>
      <c r="O102" s="267">
        <v>294</v>
      </c>
      <c r="P102" s="282" t="s">
        <v>629</v>
      </c>
      <c r="Q102" s="267">
        <v>-70.882999999999996</v>
      </c>
      <c r="R102" s="267">
        <v>41.030999999999999</v>
      </c>
      <c r="S102" s="267" t="s">
        <v>271</v>
      </c>
      <c r="T102" s="267">
        <v>25</v>
      </c>
      <c r="U102" s="266" t="s">
        <v>573</v>
      </c>
      <c r="V102" s="268">
        <v>5.673</v>
      </c>
      <c r="W102" s="268">
        <v>0.114</v>
      </c>
      <c r="X102" s="268">
        <v>0.95300000000000007</v>
      </c>
      <c r="Y102" s="178">
        <v>0.21299999999999999</v>
      </c>
      <c r="Z102" s="178">
        <v>-8888</v>
      </c>
      <c r="AA102" s="178">
        <v>5.0999999999999997E-2</v>
      </c>
      <c r="AB102" s="178">
        <v>9.6000000000000002E-2</v>
      </c>
      <c r="AC102" s="178">
        <v>0.17499999999999999</v>
      </c>
      <c r="AD102" s="178">
        <v>1.6E-2</v>
      </c>
      <c r="AE102" s="178">
        <v>2.468</v>
      </c>
      <c r="AF102" s="178">
        <v>3.1E-2</v>
      </c>
      <c r="AG102" s="178">
        <v>5.0000000000000001E-3</v>
      </c>
      <c r="AH102" s="178">
        <v>5.0919999999999996</v>
      </c>
      <c r="AI102" s="178">
        <v>-8888</v>
      </c>
      <c r="AJ102" s="178">
        <v>0.58099999999999996</v>
      </c>
      <c r="AK102" s="178">
        <v>0.114</v>
      </c>
      <c r="AL102" s="178">
        <v>-8888</v>
      </c>
      <c r="AM102" s="178">
        <v>0.80200000000000005</v>
      </c>
      <c r="AN102" s="178">
        <v>0.151</v>
      </c>
      <c r="AO102" s="178">
        <v>3.0000000000000001E-3</v>
      </c>
      <c r="AP102" s="178">
        <v>1.2E-2</v>
      </c>
      <c r="AQ102" s="178">
        <v>1.4999999999999999E-2</v>
      </c>
      <c r="AR102" s="178">
        <v>0.14899999999999999</v>
      </c>
      <c r="AS102" s="178">
        <v>0.40600000000000003</v>
      </c>
      <c r="AT102" s="178">
        <v>-8888</v>
      </c>
      <c r="AU102" s="178">
        <v>-8888</v>
      </c>
      <c r="AV102" s="178">
        <v>6.74</v>
      </c>
      <c r="AW102" s="178">
        <v>0.505</v>
      </c>
      <c r="AX102" s="178">
        <v>2.5500000000000003</v>
      </c>
      <c r="AY102" s="178">
        <v>9.2900000000000009</v>
      </c>
      <c r="AZ102" s="178">
        <v>3.0550000000000002</v>
      </c>
      <c r="BA102" s="178">
        <v>4.1219999999999999</v>
      </c>
      <c r="BB102" s="178">
        <v>9.7949999999999999</v>
      </c>
      <c r="BC102" s="178">
        <v>2.7650000000000001</v>
      </c>
      <c r="BD102" s="179">
        <v>0.73</v>
      </c>
      <c r="BE102" s="179">
        <v>0.83</v>
      </c>
      <c r="BF102" s="179">
        <v>0.17</v>
      </c>
      <c r="BG102" s="179">
        <v>2.21</v>
      </c>
      <c r="BH102" s="179">
        <v>0.05</v>
      </c>
      <c r="BI102" s="179">
        <v>0.95</v>
      </c>
      <c r="BJ102" s="179">
        <v>0.57999999999999996</v>
      </c>
      <c r="BK102" s="174"/>
      <c r="BL102" s="190"/>
      <c r="BM102" s="190"/>
    </row>
    <row r="103" spans="1:65" s="140" customFormat="1" ht="14.1" customHeight="1">
      <c r="A103" s="175" t="s">
        <v>397</v>
      </c>
      <c r="B103" s="266" t="s">
        <v>435</v>
      </c>
      <c r="C103" s="266" t="s">
        <v>534</v>
      </c>
      <c r="D103" s="266" t="s">
        <v>524</v>
      </c>
      <c r="E103" s="267" t="s">
        <v>269</v>
      </c>
      <c r="F103" s="267">
        <v>548</v>
      </c>
      <c r="G103" s="267">
        <v>5</v>
      </c>
      <c r="H103" s="267">
        <v>7</v>
      </c>
      <c r="I103" s="267">
        <v>3.1</v>
      </c>
      <c r="J103" s="267">
        <v>45</v>
      </c>
      <c r="K103" s="266" t="s">
        <v>570</v>
      </c>
      <c r="L103" s="267">
        <v>2018</v>
      </c>
      <c r="M103" s="267" t="s">
        <v>624</v>
      </c>
      <c r="N103" s="267">
        <v>21</v>
      </c>
      <c r="O103" s="267">
        <v>294</v>
      </c>
      <c r="P103" s="282" t="s">
        <v>629</v>
      </c>
      <c r="Q103" s="267">
        <v>-70.882999999999996</v>
      </c>
      <c r="R103" s="267">
        <v>41.030999999999999</v>
      </c>
      <c r="S103" s="267" t="s">
        <v>271</v>
      </c>
      <c r="T103" s="267">
        <v>25</v>
      </c>
      <c r="U103" s="266" t="s">
        <v>573</v>
      </c>
      <c r="V103" s="268">
        <v>6.54</v>
      </c>
      <c r="W103" s="268">
        <v>0.16800000000000001</v>
      </c>
      <c r="X103" s="268">
        <v>1.103</v>
      </c>
      <c r="Y103" s="178">
        <v>0.24199999999999999</v>
      </c>
      <c r="Z103" s="178">
        <v>-8888</v>
      </c>
      <c r="AA103" s="178">
        <v>7.1999999999999995E-2</v>
      </c>
      <c r="AB103" s="178">
        <v>0.13800000000000001</v>
      </c>
      <c r="AC103" s="178">
        <v>0.21</v>
      </c>
      <c r="AD103" s="178">
        <v>2.7E-2</v>
      </c>
      <c r="AE103" s="178">
        <v>2.6930000000000001</v>
      </c>
      <c r="AF103" s="178">
        <v>4.9000000000000002E-2</v>
      </c>
      <c r="AG103" s="178">
        <v>1.2E-2</v>
      </c>
      <c r="AH103" s="178">
        <v>5.7270000000000003</v>
      </c>
      <c r="AI103" s="178">
        <v>-8888</v>
      </c>
      <c r="AJ103" s="178">
        <v>0.81299999999999994</v>
      </c>
      <c r="AK103" s="178">
        <v>0.16800000000000001</v>
      </c>
      <c r="AL103" s="178">
        <v>-8888</v>
      </c>
      <c r="AM103" s="178">
        <v>0.95699999999999996</v>
      </c>
      <c r="AN103" s="178">
        <v>0.14599999999999999</v>
      </c>
      <c r="AO103" s="178">
        <v>5.0000000000000001E-3</v>
      </c>
      <c r="AP103" s="178">
        <v>1.6E-2</v>
      </c>
      <c r="AQ103" s="178">
        <v>2.1000000000000001E-2</v>
      </c>
      <c r="AR103" s="178">
        <v>0.16700000000000001</v>
      </c>
      <c r="AS103" s="178">
        <v>0.45700000000000002</v>
      </c>
      <c r="AT103" s="178">
        <v>-8888</v>
      </c>
      <c r="AU103" s="178">
        <v>-8888</v>
      </c>
      <c r="AV103" s="178">
        <v>7.8109999999999999</v>
      </c>
      <c r="AW103" s="178">
        <v>0.629</v>
      </c>
      <c r="AX103" s="178">
        <v>2.8140000000000001</v>
      </c>
      <c r="AY103" s="178">
        <v>10.625</v>
      </c>
      <c r="AZ103" s="178">
        <v>3.4430000000000001</v>
      </c>
      <c r="BA103" s="178">
        <v>4.7140000000000004</v>
      </c>
      <c r="BB103" s="178">
        <v>11.254000000000001</v>
      </c>
      <c r="BC103" s="178">
        <v>3.1320000000000001</v>
      </c>
      <c r="BD103" s="179">
        <v>0.72</v>
      </c>
      <c r="BE103" s="179">
        <v>0.82</v>
      </c>
      <c r="BF103" s="179">
        <v>0.18</v>
      </c>
      <c r="BG103" s="179">
        <v>2.27</v>
      </c>
      <c r="BH103" s="179">
        <v>0.06</v>
      </c>
      <c r="BI103" s="179">
        <v>0.94</v>
      </c>
      <c r="BJ103" s="179">
        <v>0.57999999999999996</v>
      </c>
      <c r="BK103" s="174"/>
      <c r="BL103" s="190"/>
      <c r="BM103" s="190"/>
    </row>
    <row r="104" spans="1:65" s="140" customFormat="1" ht="14.1" customHeight="1">
      <c r="A104" s="175" t="s">
        <v>398</v>
      </c>
      <c r="B104" s="266" t="s">
        <v>435</v>
      </c>
      <c r="C104" s="266" t="s">
        <v>536</v>
      </c>
      <c r="D104" s="266" t="s">
        <v>524</v>
      </c>
      <c r="E104" s="267" t="s">
        <v>272</v>
      </c>
      <c r="F104" s="267">
        <v>547</v>
      </c>
      <c r="G104" s="267">
        <v>6</v>
      </c>
      <c r="H104" s="267">
        <v>3</v>
      </c>
      <c r="I104" s="267">
        <v>3.4</v>
      </c>
      <c r="J104" s="267">
        <v>23</v>
      </c>
      <c r="K104" s="266" t="s">
        <v>570</v>
      </c>
      <c r="L104" s="267">
        <v>2018</v>
      </c>
      <c r="M104" s="267" t="s">
        <v>624</v>
      </c>
      <c r="N104" s="267">
        <v>21</v>
      </c>
      <c r="O104" s="267">
        <v>294</v>
      </c>
      <c r="P104" s="282" t="s">
        <v>630</v>
      </c>
      <c r="Q104" s="267">
        <v>-70.882999999999996</v>
      </c>
      <c r="R104" s="267">
        <v>41.197000000000003</v>
      </c>
      <c r="S104" s="267" t="s">
        <v>271</v>
      </c>
      <c r="T104" s="267">
        <v>25</v>
      </c>
      <c r="U104" s="266" t="s">
        <v>573</v>
      </c>
      <c r="V104" s="268">
        <v>3.1750000000000003</v>
      </c>
      <c r="W104" s="268">
        <v>0.03</v>
      </c>
      <c r="X104" s="268">
        <v>0.69299999999999995</v>
      </c>
      <c r="Y104" s="178">
        <v>0.122</v>
      </c>
      <c r="Z104" s="178">
        <v>-8888</v>
      </c>
      <c r="AA104" s="178">
        <v>1.2E-2</v>
      </c>
      <c r="AB104" s="178">
        <v>2.5000000000000001E-2</v>
      </c>
      <c r="AC104" s="178">
        <v>0.121</v>
      </c>
      <c r="AD104" s="178">
        <v>0.01</v>
      </c>
      <c r="AE104" s="178">
        <v>1.415</v>
      </c>
      <c r="AF104" s="178">
        <v>1.0999999999999999E-2</v>
      </c>
      <c r="AG104" s="178">
        <v>5.0000000000000001E-3</v>
      </c>
      <c r="AH104" s="178">
        <v>2.5070000000000001</v>
      </c>
      <c r="AI104" s="178">
        <v>-8888</v>
      </c>
      <c r="AJ104" s="178">
        <v>0.66800000000000004</v>
      </c>
      <c r="AK104" s="178">
        <v>0.03</v>
      </c>
      <c r="AL104" s="178">
        <v>-8888</v>
      </c>
      <c r="AM104" s="178">
        <v>0.60699999999999998</v>
      </c>
      <c r="AN104" s="178">
        <v>8.5999999999999993E-2</v>
      </c>
      <c r="AO104" s="178">
        <v>2E-3</v>
      </c>
      <c r="AP104" s="178">
        <v>-8888</v>
      </c>
      <c r="AQ104" s="178">
        <v>7.0000000000000001E-3</v>
      </c>
      <c r="AR104" s="178">
        <v>0.13600000000000001</v>
      </c>
      <c r="AS104" s="178">
        <v>0.81399999999999995</v>
      </c>
      <c r="AT104" s="178">
        <v>5.0000000000000001E-3</v>
      </c>
      <c r="AU104" s="178">
        <v>-8888</v>
      </c>
      <c r="AV104" s="178">
        <v>3.8980000000000001</v>
      </c>
      <c r="AW104" s="178">
        <v>0.28300000000000003</v>
      </c>
      <c r="AX104" s="178">
        <v>1.4379999999999999</v>
      </c>
      <c r="AY104" s="178">
        <v>5.3360000000000003</v>
      </c>
      <c r="AZ104" s="178">
        <v>1.7210000000000001</v>
      </c>
      <c r="BA104" s="178">
        <v>2.444</v>
      </c>
      <c r="BB104" s="178">
        <v>5.6189999999999998</v>
      </c>
      <c r="BC104" s="178">
        <v>1.498</v>
      </c>
      <c r="BD104" s="179">
        <v>0.77</v>
      </c>
      <c r="BE104" s="179">
        <v>0.84</v>
      </c>
      <c r="BF104" s="179">
        <v>0.16</v>
      </c>
      <c r="BG104" s="179">
        <v>2.2599999999999998</v>
      </c>
      <c r="BH104" s="179">
        <v>0.05</v>
      </c>
      <c r="BI104" s="179">
        <v>0.95</v>
      </c>
      <c r="BJ104" s="179">
        <v>0.56999999999999995</v>
      </c>
      <c r="BK104" s="174"/>
      <c r="BL104" s="190"/>
      <c r="BM104" s="190"/>
    </row>
    <row r="105" spans="1:65" s="140" customFormat="1" ht="14.1" customHeight="1">
      <c r="A105" s="175" t="s">
        <v>399</v>
      </c>
      <c r="B105" s="266" t="s">
        <v>435</v>
      </c>
      <c r="C105" s="266" t="s">
        <v>537</v>
      </c>
      <c r="D105" s="266" t="s">
        <v>524</v>
      </c>
      <c r="E105" s="267" t="s">
        <v>272</v>
      </c>
      <c r="F105" s="267">
        <v>548</v>
      </c>
      <c r="G105" s="267">
        <v>6</v>
      </c>
      <c r="H105" s="267">
        <v>3</v>
      </c>
      <c r="I105" s="267">
        <v>3.4</v>
      </c>
      <c r="J105" s="267">
        <v>23</v>
      </c>
      <c r="K105" s="266" t="s">
        <v>570</v>
      </c>
      <c r="L105" s="267">
        <v>2018</v>
      </c>
      <c r="M105" s="267" t="s">
        <v>624</v>
      </c>
      <c r="N105" s="267">
        <v>21</v>
      </c>
      <c r="O105" s="267">
        <v>294</v>
      </c>
      <c r="P105" s="282" t="s">
        <v>630</v>
      </c>
      <c r="Q105" s="267">
        <v>-70.882999999999996</v>
      </c>
      <c r="R105" s="267">
        <v>41.197000000000003</v>
      </c>
      <c r="S105" s="267" t="s">
        <v>271</v>
      </c>
      <c r="T105" s="267">
        <v>25</v>
      </c>
      <c r="U105" s="266" t="s">
        <v>573</v>
      </c>
      <c r="V105" s="268">
        <v>3.2199999999999998</v>
      </c>
      <c r="W105" s="268">
        <v>3.2000000000000001E-2</v>
      </c>
      <c r="X105" s="268">
        <v>0.68099999999999994</v>
      </c>
      <c r="Y105" s="178">
        <v>0.126</v>
      </c>
      <c r="Z105" s="178">
        <v>-8888</v>
      </c>
      <c r="AA105" s="178">
        <v>1.6E-2</v>
      </c>
      <c r="AB105" s="178">
        <v>3.9E-2</v>
      </c>
      <c r="AC105" s="178">
        <v>0.124</v>
      </c>
      <c r="AD105" s="178">
        <v>0.01</v>
      </c>
      <c r="AE105" s="178">
        <v>1.413</v>
      </c>
      <c r="AF105" s="178">
        <v>1.6E-2</v>
      </c>
      <c r="AG105" s="178">
        <v>4.0000000000000001E-3</v>
      </c>
      <c r="AH105" s="178">
        <v>2.5179999999999998</v>
      </c>
      <c r="AI105" s="178">
        <v>-8888</v>
      </c>
      <c r="AJ105" s="178">
        <v>0.70199999999999996</v>
      </c>
      <c r="AK105" s="178">
        <v>3.2000000000000001E-2</v>
      </c>
      <c r="AL105" s="178">
        <v>-8888</v>
      </c>
      <c r="AM105" s="178">
        <v>0.59799999999999998</v>
      </c>
      <c r="AN105" s="178">
        <v>8.3000000000000004E-2</v>
      </c>
      <c r="AO105" s="178">
        <v>2E-3</v>
      </c>
      <c r="AP105" s="178">
        <v>-8888</v>
      </c>
      <c r="AQ105" s="178">
        <v>7.0000000000000001E-3</v>
      </c>
      <c r="AR105" s="178">
        <v>0.14699999999999999</v>
      </c>
      <c r="AS105" s="178">
        <v>0.70199999999999996</v>
      </c>
      <c r="AT105" s="178">
        <v>7.0000000000000001E-3</v>
      </c>
      <c r="AU105" s="178">
        <v>-8888</v>
      </c>
      <c r="AV105" s="178">
        <v>3.9329999999999998</v>
      </c>
      <c r="AW105" s="178">
        <v>0.30300000000000005</v>
      </c>
      <c r="AX105" s="178">
        <v>1.4450000000000001</v>
      </c>
      <c r="AY105" s="178">
        <v>5.3780000000000001</v>
      </c>
      <c r="AZ105" s="178">
        <v>1.7480000000000002</v>
      </c>
      <c r="BA105" s="178">
        <v>2.4610000000000003</v>
      </c>
      <c r="BB105" s="178">
        <v>5.681</v>
      </c>
      <c r="BC105" s="178">
        <v>1.52</v>
      </c>
      <c r="BD105" s="179">
        <v>0.76</v>
      </c>
      <c r="BE105" s="179">
        <v>0.83</v>
      </c>
      <c r="BF105" s="179">
        <v>0.17</v>
      </c>
      <c r="BG105" s="179">
        <v>2.25</v>
      </c>
      <c r="BH105" s="179">
        <v>0.05</v>
      </c>
      <c r="BI105" s="179">
        <v>0.95</v>
      </c>
      <c r="BJ105" s="179">
        <v>0.56999999999999995</v>
      </c>
      <c r="BK105" s="174"/>
      <c r="BL105" s="190"/>
      <c r="BM105" s="190"/>
    </row>
    <row r="106" spans="1:65" s="140" customFormat="1" ht="14.1" customHeight="1">
      <c r="A106" s="175" t="s">
        <v>400</v>
      </c>
      <c r="B106" s="266" t="s">
        <v>435</v>
      </c>
      <c r="C106" s="266" t="s">
        <v>538</v>
      </c>
      <c r="D106" s="266" t="s">
        <v>539</v>
      </c>
      <c r="E106" s="267" t="s">
        <v>269</v>
      </c>
      <c r="F106" s="267">
        <v>539</v>
      </c>
      <c r="G106" s="267">
        <v>3</v>
      </c>
      <c r="H106" s="267">
        <v>3</v>
      </c>
      <c r="I106" s="267">
        <v>11.8</v>
      </c>
      <c r="J106" s="267">
        <v>22</v>
      </c>
      <c r="K106" s="266" t="s">
        <v>570</v>
      </c>
      <c r="L106" s="267">
        <v>2019</v>
      </c>
      <c r="M106" s="267" t="s">
        <v>270</v>
      </c>
      <c r="N106" s="267">
        <v>1</v>
      </c>
      <c r="O106" s="267">
        <v>32</v>
      </c>
      <c r="P106" s="282" t="s">
        <v>631</v>
      </c>
      <c r="Q106" s="267">
        <v>-70.882000000000005</v>
      </c>
      <c r="R106" s="267">
        <v>41.197000000000003</v>
      </c>
      <c r="S106" s="267" t="s">
        <v>271</v>
      </c>
      <c r="T106" s="267">
        <v>25</v>
      </c>
      <c r="U106" s="266" t="s">
        <v>573</v>
      </c>
      <c r="V106" s="268">
        <v>2.7589999999999999</v>
      </c>
      <c r="W106" s="268">
        <v>5.5E-2</v>
      </c>
      <c r="X106" s="268">
        <v>0.32900000000000001</v>
      </c>
      <c r="Y106" s="178">
        <v>9.4E-2</v>
      </c>
      <c r="Z106" s="178">
        <v>-8888</v>
      </c>
      <c r="AA106" s="178">
        <v>-8888</v>
      </c>
      <c r="AB106" s="178">
        <v>5.8999999999999997E-2</v>
      </c>
      <c r="AC106" s="178">
        <v>0.13800000000000001</v>
      </c>
      <c r="AD106" s="178">
        <v>1.7999999999999999E-2</v>
      </c>
      <c r="AE106" s="178">
        <v>1.1870000000000001</v>
      </c>
      <c r="AF106" s="178">
        <v>1.2999999999999999E-2</v>
      </c>
      <c r="AG106" s="178">
        <v>5.0000000000000001E-3</v>
      </c>
      <c r="AH106" s="178">
        <v>2.726</v>
      </c>
      <c r="AI106" s="178">
        <v>-8888</v>
      </c>
      <c r="AJ106" s="178">
        <v>3.3000000000000002E-2</v>
      </c>
      <c r="AK106" s="178">
        <v>5.5E-2</v>
      </c>
      <c r="AL106" s="178">
        <v>-8888</v>
      </c>
      <c r="AM106" s="178">
        <v>0.313</v>
      </c>
      <c r="AN106" s="178">
        <v>1.6E-2</v>
      </c>
      <c r="AO106" s="178">
        <v>1E-3</v>
      </c>
      <c r="AP106" s="178">
        <v>6.0000000000000001E-3</v>
      </c>
      <c r="AQ106" s="178">
        <v>0.01</v>
      </c>
      <c r="AR106" s="178">
        <v>0.03</v>
      </c>
      <c r="AS106" s="178">
        <v>0.13300000000000001</v>
      </c>
      <c r="AT106" s="178">
        <v>1.4999999999999999E-2</v>
      </c>
      <c r="AU106" s="178">
        <v>-8888</v>
      </c>
      <c r="AV106" s="178">
        <v>3.1430000000000002</v>
      </c>
      <c r="AW106" s="178">
        <v>0.314</v>
      </c>
      <c r="AX106" s="178">
        <v>1.2</v>
      </c>
      <c r="AY106" s="178">
        <v>4.343</v>
      </c>
      <c r="AZ106" s="178">
        <v>1.514</v>
      </c>
      <c r="BA106" s="178">
        <v>1.8979999999999999</v>
      </c>
      <c r="BB106" s="178">
        <v>4.657</v>
      </c>
      <c r="BC106" s="178">
        <v>1.319</v>
      </c>
      <c r="BD106" s="179">
        <v>0.69</v>
      </c>
      <c r="BE106" s="179">
        <v>0.79</v>
      </c>
      <c r="BF106" s="179">
        <v>0.21</v>
      </c>
      <c r="BG106" s="179">
        <v>2.08</v>
      </c>
      <c r="BH106" s="179">
        <v>7.0000000000000007E-2</v>
      </c>
      <c r="BI106" s="179">
        <v>0.93</v>
      </c>
      <c r="BJ106" s="179">
        <v>0.59</v>
      </c>
      <c r="BK106" s="174"/>
      <c r="BL106" s="190"/>
      <c r="BM106" s="190"/>
    </row>
    <row r="107" spans="1:65" s="140" customFormat="1" ht="14.1" customHeight="1">
      <c r="A107" s="175" t="s">
        <v>401</v>
      </c>
      <c r="B107" s="266" t="s">
        <v>435</v>
      </c>
      <c r="C107" s="266" t="s">
        <v>540</v>
      </c>
      <c r="D107" s="266" t="s">
        <v>539</v>
      </c>
      <c r="E107" s="267" t="s">
        <v>272</v>
      </c>
      <c r="F107" s="267">
        <v>547</v>
      </c>
      <c r="G107" s="267">
        <v>3</v>
      </c>
      <c r="H107" s="267">
        <v>7</v>
      </c>
      <c r="I107" s="267">
        <v>2.1</v>
      </c>
      <c r="J107" s="267">
        <v>22</v>
      </c>
      <c r="K107" s="266" t="s">
        <v>570</v>
      </c>
      <c r="L107" s="267">
        <v>2019</v>
      </c>
      <c r="M107" s="267" t="s">
        <v>270</v>
      </c>
      <c r="N107" s="267">
        <v>1</v>
      </c>
      <c r="O107" s="267">
        <v>32</v>
      </c>
      <c r="P107" s="282" t="s">
        <v>631</v>
      </c>
      <c r="Q107" s="267">
        <v>-70.882000000000005</v>
      </c>
      <c r="R107" s="267">
        <v>41.197000000000003</v>
      </c>
      <c r="S107" s="267" t="s">
        <v>271</v>
      </c>
      <c r="T107" s="267">
        <v>25</v>
      </c>
      <c r="U107" s="266" t="s">
        <v>573</v>
      </c>
      <c r="V107" s="268">
        <v>2.9350000000000001</v>
      </c>
      <c r="W107" s="268">
        <v>5.7000000000000002E-2</v>
      </c>
      <c r="X107" s="268">
        <v>0.35100000000000003</v>
      </c>
      <c r="Y107" s="178">
        <v>0.10100000000000001</v>
      </c>
      <c r="Z107" s="178">
        <v>-8888</v>
      </c>
      <c r="AA107" s="178">
        <v>3.0000000000000001E-3</v>
      </c>
      <c r="AB107" s="178">
        <v>5.1999999999999998E-2</v>
      </c>
      <c r="AC107" s="178">
        <v>0.154</v>
      </c>
      <c r="AD107" s="178">
        <v>1.4999999999999999E-2</v>
      </c>
      <c r="AE107" s="178">
        <v>1.292</v>
      </c>
      <c r="AF107" s="178">
        <v>1.4999999999999999E-2</v>
      </c>
      <c r="AG107" s="178">
        <v>4.0000000000000001E-3</v>
      </c>
      <c r="AH107" s="178">
        <v>2.9039999999999999</v>
      </c>
      <c r="AI107" s="178">
        <v>-8888</v>
      </c>
      <c r="AJ107" s="178">
        <v>3.1E-2</v>
      </c>
      <c r="AK107" s="178">
        <v>5.7000000000000002E-2</v>
      </c>
      <c r="AL107" s="178">
        <v>-8888</v>
      </c>
      <c r="AM107" s="178">
        <v>0.33300000000000002</v>
      </c>
      <c r="AN107" s="178">
        <v>1.7999999999999999E-2</v>
      </c>
      <c r="AO107" s="178">
        <v>2E-3</v>
      </c>
      <c r="AP107" s="178">
        <v>7.0000000000000001E-3</v>
      </c>
      <c r="AQ107" s="178">
        <v>1.0999999999999999E-2</v>
      </c>
      <c r="AR107" s="178">
        <v>3.2000000000000001E-2</v>
      </c>
      <c r="AS107" s="178">
        <v>0.13400000000000001</v>
      </c>
      <c r="AT107" s="178">
        <v>1.4999999999999999E-2</v>
      </c>
      <c r="AU107" s="178">
        <v>-8888</v>
      </c>
      <c r="AV107" s="178">
        <v>3.343</v>
      </c>
      <c r="AW107" s="178">
        <v>0.32599999999999996</v>
      </c>
      <c r="AX107" s="178">
        <v>1.3099999999999998</v>
      </c>
      <c r="AY107" s="178">
        <v>4.6529999999999996</v>
      </c>
      <c r="AZ107" s="178">
        <v>1.6359999999999997</v>
      </c>
      <c r="BA107" s="178">
        <v>2.0439999999999996</v>
      </c>
      <c r="BB107" s="178">
        <v>4.9789999999999992</v>
      </c>
      <c r="BC107" s="178">
        <v>1.4229999999999998</v>
      </c>
      <c r="BD107" s="179">
        <v>0.7</v>
      </c>
      <c r="BE107" s="179">
        <v>0.8</v>
      </c>
      <c r="BF107" s="179">
        <v>0.2</v>
      </c>
      <c r="BG107" s="179">
        <v>2.04</v>
      </c>
      <c r="BH107" s="179">
        <v>7.0000000000000007E-2</v>
      </c>
      <c r="BI107" s="179">
        <v>0.93</v>
      </c>
      <c r="BJ107" s="179">
        <v>0.59</v>
      </c>
      <c r="BK107" s="174"/>
      <c r="BL107" s="190"/>
      <c r="BM107" s="190"/>
    </row>
    <row r="108" spans="1:65" s="140" customFormat="1" ht="14.1" customHeight="1">
      <c r="A108" s="175" t="s">
        <v>402</v>
      </c>
      <c r="B108" s="266" t="s">
        <v>435</v>
      </c>
      <c r="C108" s="266" t="s">
        <v>541</v>
      </c>
      <c r="D108" s="266" t="s">
        <v>539</v>
      </c>
      <c r="E108" s="267" t="s">
        <v>272</v>
      </c>
      <c r="F108" s="267">
        <v>540</v>
      </c>
      <c r="G108" s="267">
        <v>3</v>
      </c>
      <c r="H108" s="267">
        <v>7</v>
      </c>
      <c r="I108" s="267">
        <v>2.1</v>
      </c>
      <c r="J108" s="267">
        <v>22</v>
      </c>
      <c r="K108" s="266" t="s">
        <v>570</v>
      </c>
      <c r="L108" s="267">
        <v>2019</v>
      </c>
      <c r="M108" s="267" t="s">
        <v>270</v>
      </c>
      <c r="N108" s="267">
        <v>1</v>
      </c>
      <c r="O108" s="267">
        <v>32</v>
      </c>
      <c r="P108" s="282" t="s">
        <v>631</v>
      </c>
      <c r="Q108" s="267">
        <v>-70.882000000000005</v>
      </c>
      <c r="R108" s="267">
        <v>41.197000000000003</v>
      </c>
      <c r="S108" s="267" t="s">
        <v>271</v>
      </c>
      <c r="T108" s="267">
        <v>25</v>
      </c>
      <c r="U108" s="266" t="s">
        <v>573</v>
      </c>
      <c r="V108" s="268">
        <v>3.14</v>
      </c>
      <c r="W108" s="268">
        <v>5.8999999999999997E-2</v>
      </c>
      <c r="X108" s="268">
        <v>0.374</v>
      </c>
      <c r="Y108" s="178">
        <v>0.105</v>
      </c>
      <c r="Z108" s="178">
        <v>-8888</v>
      </c>
      <c r="AA108" s="178">
        <v>3.0000000000000001E-3</v>
      </c>
      <c r="AB108" s="178">
        <v>5.8000000000000003E-2</v>
      </c>
      <c r="AC108" s="178">
        <v>0.17399999999999999</v>
      </c>
      <c r="AD108" s="178">
        <v>1.6E-2</v>
      </c>
      <c r="AE108" s="178">
        <v>1.36</v>
      </c>
      <c r="AF108" s="178">
        <v>0.04</v>
      </c>
      <c r="AG108" s="178">
        <v>3.0000000000000001E-3</v>
      </c>
      <c r="AH108" s="178">
        <v>3.1080000000000001</v>
      </c>
      <c r="AI108" s="178">
        <v>-8888</v>
      </c>
      <c r="AJ108" s="178">
        <v>3.2000000000000001E-2</v>
      </c>
      <c r="AK108" s="178">
        <v>5.8999999999999997E-2</v>
      </c>
      <c r="AL108" s="178">
        <v>-8888</v>
      </c>
      <c r="AM108" s="178">
        <v>0.35599999999999998</v>
      </c>
      <c r="AN108" s="178">
        <v>1.7999999999999999E-2</v>
      </c>
      <c r="AO108" s="178">
        <v>2E-3</v>
      </c>
      <c r="AP108" s="178">
        <v>7.0000000000000001E-3</v>
      </c>
      <c r="AQ108" s="178">
        <v>1.2E-2</v>
      </c>
      <c r="AR108" s="178">
        <v>3.7999999999999999E-2</v>
      </c>
      <c r="AS108" s="178">
        <v>0.128</v>
      </c>
      <c r="AT108" s="178">
        <v>1.6E-2</v>
      </c>
      <c r="AU108" s="178">
        <v>-8888</v>
      </c>
      <c r="AV108" s="178">
        <v>3.5730000000000004</v>
      </c>
      <c r="AW108" s="178">
        <v>0.35599999999999998</v>
      </c>
      <c r="AX108" s="178">
        <v>1.403</v>
      </c>
      <c r="AY108" s="178">
        <v>4.9760000000000009</v>
      </c>
      <c r="AZ108" s="178">
        <v>1.7589999999999999</v>
      </c>
      <c r="BA108" s="178">
        <v>2.1919999999999997</v>
      </c>
      <c r="BB108" s="178">
        <v>5.3319999999999999</v>
      </c>
      <c r="BC108" s="178">
        <v>1.5230000000000001</v>
      </c>
      <c r="BD108" s="179">
        <v>0.7</v>
      </c>
      <c r="BE108" s="179">
        <v>0.8</v>
      </c>
      <c r="BF108" s="179">
        <v>0.2</v>
      </c>
      <c r="BG108" s="179">
        <v>2.0299999999999998</v>
      </c>
      <c r="BH108" s="179">
        <v>7.0000000000000007E-2</v>
      </c>
      <c r="BI108" s="179">
        <v>0.93</v>
      </c>
      <c r="BJ108" s="179">
        <v>0.59</v>
      </c>
      <c r="BK108" s="174"/>
      <c r="BL108" s="190"/>
      <c r="BM108" s="190"/>
    </row>
    <row r="109" spans="1:65" s="140" customFormat="1" ht="14.1" customHeight="1">
      <c r="A109" s="175" t="s">
        <v>403</v>
      </c>
      <c r="B109" s="266" t="s">
        <v>435</v>
      </c>
      <c r="C109" s="266" t="s">
        <v>542</v>
      </c>
      <c r="D109" s="266" t="s">
        <v>539</v>
      </c>
      <c r="E109" s="267" t="s">
        <v>269</v>
      </c>
      <c r="F109" s="267">
        <v>539</v>
      </c>
      <c r="G109" s="267">
        <v>7</v>
      </c>
      <c r="H109" s="267">
        <v>4</v>
      </c>
      <c r="I109" s="267">
        <v>30.4</v>
      </c>
      <c r="J109" s="267">
        <v>46</v>
      </c>
      <c r="K109" s="266" t="s">
        <v>570</v>
      </c>
      <c r="L109" s="267">
        <v>2019</v>
      </c>
      <c r="M109" s="267" t="s">
        <v>270</v>
      </c>
      <c r="N109" s="267">
        <v>2</v>
      </c>
      <c r="O109" s="267">
        <v>33</v>
      </c>
      <c r="P109" s="282" t="s">
        <v>632</v>
      </c>
      <c r="Q109" s="267">
        <v>-70.882000000000005</v>
      </c>
      <c r="R109" s="267">
        <v>41.027999999999999</v>
      </c>
      <c r="S109" s="267" t="s">
        <v>271</v>
      </c>
      <c r="T109" s="267">
        <v>25</v>
      </c>
      <c r="U109" s="266" t="s">
        <v>573</v>
      </c>
      <c r="V109" s="268">
        <v>4.0720000000000001</v>
      </c>
      <c r="W109" s="268">
        <v>7.1999999999999995E-2</v>
      </c>
      <c r="X109" s="268">
        <v>0.51900000000000002</v>
      </c>
      <c r="Y109" s="178">
        <v>0.122</v>
      </c>
      <c r="Z109" s="178">
        <v>-8888</v>
      </c>
      <c r="AA109" s="178">
        <v>1.4E-2</v>
      </c>
      <c r="AB109" s="178">
        <v>3.3000000000000002E-2</v>
      </c>
      <c r="AC109" s="178">
        <v>0.16200000000000001</v>
      </c>
      <c r="AD109" s="178">
        <v>1.9E-2</v>
      </c>
      <c r="AE109" s="178">
        <v>1.78</v>
      </c>
      <c r="AF109" s="178">
        <v>4.8000000000000001E-2</v>
      </c>
      <c r="AG109" s="178">
        <v>4.0000000000000001E-3</v>
      </c>
      <c r="AH109" s="178">
        <v>3.996</v>
      </c>
      <c r="AI109" s="178">
        <v>-8888</v>
      </c>
      <c r="AJ109" s="178">
        <v>7.5999999999999998E-2</v>
      </c>
      <c r="AK109" s="178">
        <v>7.1999999999999995E-2</v>
      </c>
      <c r="AL109" s="178">
        <v>-8888</v>
      </c>
      <c r="AM109" s="178">
        <v>0.48</v>
      </c>
      <c r="AN109" s="178">
        <v>3.9E-2</v>
      </c>
      <c r="AO109" s="178">
        <v>3.0000000000000001E-3</v>
      </c>
      <c r="AP109" s="178">
        <v>8.0000000000000002E-3</v>
      </c>
      <c r="AQ109" s="178">
        <v>1.2E-2</v>
      </c>
      <c r="AR109" s="178">
        <v>5.3999999999999999E-2</v>
      </c>
      <c r="AS109" s="178">
        <v>0.10100000000000001</v>
      </c>
      <c r="AT109" s="178">
        <v>1.7999999999999999E-2</v>
      </c>
      <c r="AU109" s="178">
        <v>-8888</v>
      </c>
      <c r="AV109" s="178">
        <v>4.6630000000000003</v>
      </c>
      <c r="AW109" s="178">
        <v>0.33999999999999997</v>
      </c>
      <c r="AX109" s="178">
        <v>1.8420000000000001</v>
      </c>
      <c r="AY109" s="178">
        <v>6.5050000000000008</v>
      </c>
      <c r="AZ109" s="178">
        <v>2.1819999999999999</v>
      </c>
      <c r="BA109" s="178">
        <v>2.7730000000000001</v>
      </c>
      <c r="BB109" s="178">
        <v>6.8450000000000006</v>
      </c>
      <c r="BC109" s="178">
        <v>1.9510000000000001</v>
      </c>
      <c r="BD109" s="179">
        <v>0.68</v>
      </c>
      <c r="BE109" s="179">
        <v>0.84</v>
      </c>
      <c r="BF109" s="179">
        <v>0.16</v>
      </c>
      <c r="BG109" s="179">
        <v>2.14</v>
      </c>
      <c r="BH109" s="179">
        <v>0.05</v>
      </c>
      <c r="BI109" s="179">
        <v>0.95</v>
      </c>
      <c r="BJ109" s="179">
        <v>0.59</v>
      </c>
      <c r="BK109" s="174"/>
      <c r="BL109" s="190"/>
      <c r="BM109" s="190"/>
    </row>
    <row r="110" spans="1:65" s="140" customFormat="1" ht="14.1" customHeight="1">
      <c r="A110" s="175" t="s">
        <v>404</v>
      </c>
      <c r="B110" s="266" t="s">
        <v>435</v>
      </c>
      <c r="C110" s="266" t="s">
        <v>543</v>
      </c>
      <c r="D110" s="266" t="s">
        <v>539</v>
      </c>
      <c r="E110" s="267" t="s">
        <v>269</v>
      </c>
      <c r="F110" s="267">
        <v>548</v>
      </c>
      <c r="G110" s="267">
        <v>7</v>
      </c>
      <c r="H110" s="267">
        <v>10</v>
      </c>
      <c r="I110" s="267">
        <v>3.8</v>
      </c>
      <c r="J110" s="267">
        <v>46</v>
      </c>
      <c r="K110" s="266" t="s">
        <v>570</v>
      </c>
      <c r="L110" s="267">
        <v>2019</v>
      </c>
      <c r="M110" s="267" t="s">
        <v>270</v>
      </c>
      <c r="N110" s="267">
        <v>2</v>
      </c>
      <c r="O110" s="267">
        <v>33</v>
      </c>
      <c r="P110" s="282" t="s">
        <v>632</v>
      </c>
      <c r="Q110" s="267">
        <v>-70.882000000000005</v>
      </c>
      <c r="R110" s="267">
        <v>41.027999999999999</v>
      </c>
      <c r="S110" s="267" t="s">
        <v>271</v>
      </c>
      <c r="T110" s="267">
        <v>25</v>
      </c>
      <c r="U110" s="266" t="s">
        <v>573</v>
      </c>
      <c r="V110" s="268">
        <v>4.0229999999999997</v>
      </c>
      <c r="W110" s="268">
        <v>7.4999999999999997E-2</v>
      </c>
      <c r="X110" s="268">
        <v>0.51300000000000001</v>
      </c>
      <c r="Y110" s="178">
        <v>0.124</v>
      </c>
      <c r="Z110" s="178">
        <v>-8888</v>
      </c>
      <c r="AA110" s="178">
        <v>1.4E-2</v>
      </c>
      <c r="AB110" s="178">
        <v>3.5000000000000003E-2</v>
      </c>
      <c r="AC110" s="178">
        <v>0.16200000000000001</v>
      </c>
      <c r="AD110" s="178">
        <v>2.3E-2</v>
      </c>
      <c r="AE110" s="178">
        <v>1.7549999999999999</v>
      </c>
      <c r="AF110" s="178">
        <v>5.2999999999999999E-2</v>
      </c>
      <c r="AG110" s="178">
        <v>4.0000000000000001E-3</v>
      </c>
      <c r="AH110" s="178">
        <v>3.964</v>
      </c>
      <c r="AI110" s="178">
        <v>-8888</v>
      </c>
      <c r="AJ110" s="178">
        <v>5.8999999999999997E-2</v>
      </c>
      <c r="AK110" s="178">
        <v>7.4999999999999997E-2</v>
      </c>
      <c r="AL110" s="178">
        <v>-8888</v>
      </c>
      <c r="AM110" s="178">
        <v>0.47699999999999998</v>
      </c>
      <c r="AN110" s="178">
        <v>3.5999999999999997E-2</v>
      </c>
      <c r="AO110" s="178">
        <v>3.0000000000000001E-3</v>
      </c>
      <c r="AP110" s="178">
        <v>8.9999999999999993E-3</v>
      </c>
      <c r="AQ110" s="178">
        <v>1.2E-2</v>
      </c>
      <c r="AR110" s="178">
        <v>4.9000000000000002E-2</v>
      </c>
      <c r="AS110" s="178">
        <v>9.6000000000000002E-2</v>
      </c>
      <c r="AT110" s="178">
        <v>1.7999999999999999E-2</v>
      </c>
      <c r="AU110" s="178">
        <v>-8888</v>
      </c>
      <c r="AV110" s="178">
        <v>4.6109999999999998</v>
      </c>
      <c r="AW110" s="178">
        <v>0.34799999999999998</v>
      </c>
      <c r="AX110" s="178">
        <v>1.8219999999999998</v>
      </c>
      <c r="AY110" s="178">
        <v>6.4329999999999998</v>
      </c>
      <c r="AZ110" s="178">
        <v>2.17</v>
      </c>
      <c r="BA110" s="178">
        <v>2.758</v>
      </c>
      <c r="BB110" s="178">
        <v>6.7809999999999997</v>
      </c>
      <c r="BC110" s="178">
        <v>1.9359999999999999</v>
      </c>
      <c r="BD110" s="179">
        <v>0.69</v>
      </c>
      <c r="BE110" s="179">
        <v>0.84</v>
      </c>
      <c r="BF110" s="179">
        <v>0.16</v>
      </c>
      <c r="BG110" s="179">
        <v>2.12</v>
      </c>
      <c r="BH110" s="179">
        <v>0.05</v>
      </c>
      <c r="BI110" s="179">
        <v>0.95</v>
      </c>
      <c r="BJ110" s="179">
        <v>0.59</v>
      </c>
      <c r="BK110" s="174"/>
      <c r="BL110" s="190"/>
      <c r="BM110" s="190"/>
    </row>
    <row r="111" spans="1:65" s="140" customFormat="1" ht="14.1" customHeight="1">
      <c r="A111" s="175" t="s">
        <v>405</v>
      </c>
      <c r="B111" s="266" t="s">
        <v>435</v>
      </c>
      <c r="C111" s="266" t="s">
        <v>544</v>
      </c>
      <c r="D111" s="266" t="s">
        <v>539</v>
      </c>
      <c r="E111" s="267" t="s">
        <v>272</v>
      </c>
      <c r="F111" s="267">
        <v>539</v>
      </c>
      <c r="G111" s="267">
        <v>8</v>
      </c>
      <c r="H111" s="267">
        <v>1</v>
      </c>
      <c r="I111" s="267">
        <v>50.7</v>
      </c>
      <c r="J111" s="267">
        <v>56</v>
      </c>
      <c r="K111" s="266" t="s">
        <v>570</v>
      </c>
      <c r="L111" s="267">
        <v>2019</v>
      </c>
      <c r="M111" s="267" t="s">
        <v>270</v>
      </c>
      <c r="N111" s="267">
        <v>2</v>
      </c>
      <c r="O111" s="267">
        <v>33</v>
      </c>
      <c r="P111" s="282" t="s">
        <v>633</v>
      </c>
      <c r="Q111" s="267">
        <v>-70.885000000000005</v>
      </c>
      <c r="R111" s="267">
        <v>40.863</v>
      </c>
      <c r="S111" s="267" t="s">
        <v>271</v>
      </c>
      <c r="T111" s="267">
        <v>25</v>
      </c>
      <c r="U111" s="266" t="s">
        <v>573</v>
      </c>
      <c r="V111" s="268">
        <v>3.5210000000000004</v>
      </c>
      <c r="W111" s="268">
        <v>5.0999999999999997E-2</v>
      </c>
      <c r="X111" s="268">
        <v>0.42799999999999999</v>
      </c>
      <c r="Y111" s="178">
        <v>0.107</v>
      </c>
      <c r="Z111" s="178">
        <v>-8888</v>
      </c>
      <c r="AA111" s="178">
        <v>1.0999999999999999E-2</v>
      </c>
      <c r="AB111" s="178">
        <v>1.9E-2</v>
      </c>
      <c r="AC111" s="178">
        <v>0.13400000000000001</v>
      </c>
      <c r="AD111" s="178">
        <v>0.03</v>
      </c>
      <c r="AE111" s="178">
        <v>1.59</v>
      </c>
      <c r="AF111" s="178">
        <v>3.3000000000000002E-2</v>
      </c>
      <c r="AG111" s="178">
        <v>4.0000000000000001E-3</v>
      </c>
      <c r="AH111" s="178">
        <v>3.4740000000000002</v>
      </c>
      <c r="AI111" s="178">
        <v>-8888</v>
      </c>
      <c r="AJ111" s="178">
        <v>4.7E-2</v>
      </c>
      <c r="AK111" s="178">
        <v>5.0999999999999997E-2</v>
      </c>
      <c r="AL111" s="178">
        <v>-8888</v>
      </c>
      <c r="AM111" s="178">
        <v>0.38900000000000001</v>
      </c>
      <c r="AN111" s="178">
        <v>3.9E-2</v>
      </c>
      <c r="AO111" s="178">
        <v>-8888</v>
      </c>
      <c r="AP111" s="178">
        <v>5.0000000000000001E-3</v>
      </c>
      <c r="AQ111" s="178">
        <v>0.01</v>
      </c>
      <c r="AR111" s="178">
        <v>3.9E-2</v>
      </c>
      <c r="AS111" s="178">
        <v>6.5000000000000002E-2</v>
      </c>
      <c r="AT111" s="178">
        <v>1.2999999999999999E-2</v>
      </c>
      <c r="AU111" s="178">
        <v>-8888</v>
      </c>
      <c r="AV111" s="178">
        <v>4.0000000000000009</v>
      </c>
      <c r="AW111" s="178">
        <v>0.29399999999999998</v>
      </c>
      <c r="AX111" s="178">
        <v>1.6339999999999999</v>
      </c>
      <c r="AY111" s="178">
        <v>5.6340000000000003</v>
      </c>
      <c r="AZ111" s="178">
        <v>1.9279999999999999</v>
      </c>
      <c r="BA111" s="178">
        <v>2.407</v>
      </c>
      <c r="BB111" s="178">
        <v>5.9280000000000008</v>
      </c>
      <c r="BC111" s="178">
        <v>1.708</v>
      </c>
      <c r="BD111" s="179">
        <v>0.68</v>
      </c>
      <c r="BE111" s="179">
        <v>0.85</v>
      </c>
      <c r="BF111" s="179">
        <v>0.15</v>
      </c>
      <c r="BG111" s="179">
        <v>2.0699999999999998</v>
      </c>
      <c r="BH111" s="179">
        <v>0.05</v>
      </c>
      <c r="BI111" s="179">
        <v>0.95</v>
      </c>
      <c r="BJ111" s="179">
        <v>0.59</v>
      </c>
      <c r="BK111" s="174"/>
      <c r="BL111" s="190"/>
      <c r="BM111" s="190"/>
    </row>
    <row r="112" spans="1:65" s="140" customFormat="1" ht="14.1" customHeight="1">
      <c r="A112" s="175" t="s">
        <v>406</v>
      </c>
      <c r="B112" s="266" t="s">
        <v>435</v>
      </c>
      <c r="C112" s="266" t="s">
        <v>545</v>
      </c>
      <c r="D112" s="266" t="s">
        <v>539</v>
      </c>
      <c r="E112" s="267" t="s">
        <v>272</v>
      </c>
      <c r="F112" s="267">
        <v>539</v>
      </c>
      <c r="G112" s="267">
        <v>8</v>
      </c>
      <c r="H112" s="267">
        <v>1</v>
      </c>
      <c r="I112" s="267">
        <v>50.7</v>
      </c>
      <c r="J112" s="267">
        <v>56</v>
      </c>
      <c r="K112" s="266" t="s">
        <v>570</v>
      </c>
      <c r="L112" s="267">
        <v>2019</v>
      </c>
      <c r="M112" s="267" t="s">
        <v>270</v>
      </c>
      <c r="N112" s="267">
        <v>2</v>
      </c>
      <c r="O112" s="267">
        <v>33</v>
      </c>
      <c r="P112" s="282" t="s">
        <v>633</v>
      </c>
      <c r="Q112" s="267">
        <v>-70.885000000000005</v>
      </c>
      <c r="R112" s="267">
        <v>40.863</v>
      </c>
      <c r="S112" s="267" t="s">
        <v>271</v>
      </c>
      <c r="T112" s="267">
        <v>25</v>
      </c>
      <c r="U112" s="266" t="s">
        <v>573</v>
      </c>
      <c r="V112" s="268">
        <v>3.0170000000000003</v>
      </c>
      <c r="W112" s="268">
        <v>4.4999999999999998E-2</v>
      </c>
      <c r="X112" s="268">
        <v>0.372</v>
      </c>
      <c r="Y112" s="178">
        <v>8.6999999999999994E-2</v>
      </c>
      <c r="Z112" s="178">
        <v>-8888</v>
      </c>
      <c r="AA112" s="178">
        <v>1.2E-2</v>
      </c>
      <c r="AB112" s="178">
        <v>1.7999999999999999E-2</v>
      </c>
      <c r="AC112" s="178">
        <v>0.112</v>
      </c>
      <c r="AD112" s="178">
        <v>1.9E-2</v>
      </c>
      <c r="AE112" s="178">
        <v>1.3680000000000001</v>
      </c>
      <c r="AF112" s="178">
        <v>2.7E-2</v>
      </c>
      <c r="AG112" s="178">
        <v>4.0000000000000001E-3</v>
      </c>
      <c r="AH112" s="178">
        <v>2.9460000000000002</v>
      </c>
      <c r="AI112" s="178">
        <v>-8888</v>
      </c>
      <c r="AJ112" s="178">
        <v>7.0999999999999994E-2</v>
      </c>
      <c r="AK112" s="178">
        <v>4.4999999999999998E-2</v>
      </c>
      <c r="AL112" s="178">
        <v>-8888</v>
      </c>
      <c r="AM112" s="178">
        <v>0.33600000000000002</v>
      </c>
      <c r="AN112" s="178">
        <v>3.5999999999999997E-2</v>
      </c>
      <c r="AO112" s="178">
        <v>-8888</v>
      </c>
      <c r="AP112" s="178">
        <v>4.0000000000000001E-3</v>
      </c>
      <c r="AQ112" s="178">
        <v>8.9999999999999993E-3</v>
      </c>
      <c r="AR112" s="178">
        <v>3.5999999999999997E-2</v>
      </c>
      <c r="AS112" s="178">
        <v>6.7000000000000004E-2</v>
      </c>
      <c r="AT112" s="178">
        <v>1.2E-2</v>
      </c>
      <c r="AU112" s="178">
        <v>-8888</v>
      </c>
      <c r="AV112" s="178">
        <v>3.4340000000000002</v>
      </c>
      <c r="AW112" s="178">
        <v>0.24</v>
      </c>
      <c r="AX112" s="178">
        <v>1.407</v>
      </c>
      <c r="AY112" s="178">
        <v>4.8410000000000002</v>
      </c>
      <c r="AZ112" s="178">
        <v>1.647</v>
      </c>
      <c r="BA112" s="178">
        <v>2.0640000000000001</v>
      </c>
      <c r="BB112" s="178">
        <v>5.0810000000000004</v>
      </c>
      <c r="BC112" s="178">
        <v>1.474</v>
      </c>
      <c r="BD112" s="179">
        <v>0.68</v>
      </c>
      <c r="BE112" s="179">
        <v>0.85</v>
      </c>
      <c r="BF112" s="179">
        <v>0.15</v>
      </c>
      <c r="BG112" s="179">
        <v>2.09</v>
      </c>
      <c r="BH112" s="179">
        <v>0.05</v>
      </c>
      <c r="BI112" s="179">
        <v>0.95</v>
      </c>
      <c r="BJ112" s="179">
        <v>0.59</v>
      </c>
      <c r="BK112" s="174"/>
      <c r="BL112" s="190"/>
      <c r="BM112" s="190"/>
    </row>
    <row r="113" spans="1:65" s="140" customFormat="1" ht="14.1" customHeight="1">
      <c r="A113" s="175" t="s">
        <v>407</v>
      </c>
      <c r="B113" s="266" t="s">
        <v>435</v>
      </c>
      <c r="C113" s="266" t="s">
        <v>546</v>
      </c>
      <c r="D113" s="266" t="s">
        <v>539</v>
      </c>
      <c r="E113" s="267" t="s">
        <v>269</v>
      </c>
      <c r="F113" s="267">
        <v>548</v>
      </c>
      <c r="G113" s="267">
        <v>8</v>
      </c>
      <c r="H113" s="267">
        <v>8</v>
      </c>
      <c r="I113" s="267">
        <v>5.0999999999999996</v>
      </c>
      <c r="J113" s="267">
        <v>56</v>
      </c>
      <c r="K113" s="266" t="s">
        <v>570</v>
      </c>
      <c r="L113" s="267">
        <v>2019</v>
      </c>
      <c r="M113" s="267" t="s">
        <v>270</v>
      </c>
      <c r="N113" s="267">
        <v>2</v>
      </c>
      <c r="O113" s="267">
        <v>33</v>
      </c>
      <c r="P113" s="282" t="s">
        <v>633</v>
      </c>
      <c r="Q113" s="267">
        <v>-70.885000000000005</v>
      </c>
      <c r="R113" s="267">
        <v>40.863</v>
      </c>
      <c r="S113" s="267" t="s">
        <v>271</v>
      </c>
      <c r="T113" s="267">
        <v>25</v>
      </c>
      <c r="U113" s="266" t="s">
        <v>573</v>
      </c>
      <c r="V113" s="268">
        <v>3.3149999999999999</v>
      </c>
      <c r="W113" s="268">
        <v>4.4999999999999998E-2</v>
      </c>
      <c r="X113" s="268">
        <v>0.40500000000000003</v>
      </c>
      <c r="Y113" s="178">
        <v>0.105</v>
      </c>
      <c r="Z113" s="178">
        <v>-8888</v>
      </c>
      <c r="AA113" s="178">
        <v>0.01</v>
      </c>
      <c r="AB113" s="178">
        <v>0.02</v>
      </c>
      <c r="AC113" s="178">
        <v>0.126</v>
      </c>
      <c r="AD113" s="178">
        <v>1.4E-2</v>
      </c>
      <c r="AE113" s="178">
        <v>1.516</v>
      </c>
      <c r="AF113" s="178">
        <v>2.5999999999999999E-2</v>
      </c>
      <c r="AG113" s="178">
        <v>4.0000000000000001E-3</v>
      </c>
      <c r="AH113" s="178">
        <v>3.27</v>
      </c>
      <c r="AI113" s="178">
        <v>-8888</v>
      </c>
      <c r="AJ113" s="178">
        <v>4.4999999999999998E-2</v>
      </c>
      <c r="AK113" s="178">
        <v>4.4999999999999998E-2</v>
      </c>
      <c r="AL113" s="178">
        <v>-8888</v>
      </c>
      <c r="AM113" s="178">
        <v>0.37</v>
      </c>
      <c r="AN113" s="178">
        <v>3.5000000000000003E-2</v>
      </c>
      <c r="AO113" s="178">
        <v>2E-3</v>
      </c>
      <c r="AP113" s="178">
        <v>4.0000000000000001E-3</v>
      </c>
      <c r="AQ113" s="178">
        <v>8.0000000000000002E-3</v>
      </c>
      <c r="AR113" s="178">
        <v>4.1000000000000002E-2</v>
      </c>
      <c r="AS113" s="178">
        <v>0.06</v>
      </c>
      <c r="AT113" s="178">
        <v>1.0999999999999999E-2</v>
      </c>
      <c r="AU113" s="178">
        <v>-8888</v>
      </c>
      <c r="AV113" s="178">
        <v>3.7649999999999997</v>
      </c>
      <c r="AW113" s="178">
        <v>0.26900000000000002</v>
      </c>
      <c r="AX113" s="178">
        <v>1.552</v>
      </c>
      <c r="AY113" s="178">
        <v>5.3170000000000002</v>
      </c>
      <c r="AZ113" s="178">
        <v>1.8210000000000002</v>
      </c>
      <c r="BA113" s="178">
        <v>2.2709999999999999</v>
      </c>
      <c r="BB113" s="178">
        <v>5.5860000000000003</v>
      </c>
      <c r="BC113" s="178">
        <v>1.621</v>
      </c>
      <c r="BD113" s="179">
        <v>0.69</v>
      </c>
      <c r="BE113" s="179">
        <v>0.85</v>
      </c>
      <c r="BF113" s="179">
        <v>0.15</v>
      </c>
      <c r="BG113" s="179">
        <v>2.0699999999999998</v>
      </c>
      <c r="BH113" s="179">
        <v>0.05</v>
      </c>
      <c r="BI113" s="179">
        <v>0.95</v>
      </c>
      <c r="BJ113" s="179">
        <v>0.59</v>
      </c>
      <c r="BK113" s="174"/>
      <c r="BL113" s="190"/>
      <c r="BM113" s="190"/>
    </row>
    <row r="114" spans="1:65" s="140" customFormat="1" ht="14.1" customHeight="1">
      <c r="A114" s="175" t="s">
        <v>408</v>
      </c>
      <c r="B114" s="266" t="s">
        <v>435</v>
      </c>
      <c r="C114" s="266" t="s">
        <v>547</v>
      </c>
      <c r="D114" s="266" t="s">
        <v>539</v>
      </c>
      <c r="E114" s="267" t="s">
        <v>269</v>
      </c>
      <c r="F114" s="267">
        <v>548</v>
      </c>
      <c r="G114" s="267">
        <v>12</v>
      </c>
      <c r="H114" s="267">
        <v>10</v>
      </c>
      <c r="I114" s="267">
        <v>3.3</v>
      </c>
      <c r="J114" s="267">
        <v>66</v>
      </c>
      <c r="K114" s="266" t="s">
        <v>570</v>
      </c>
      <c r="L114" s="267">
        <v>2019</v>
      </c>
      <c r="M114" s="267" t="s">
        <v>270</v>
      </c>
      <c r="N114" s="267">
        <v>2</v>
      </c>
      <c r="O114" s="267">
        <v>33</v>
      </c>
      <c r="P114" s="282" t="s">
        <v>634</v>
      </c>
      <c r="Q114" s="267">
        <v>-70.882999999999996</v>
      </c>
      <c r="R114" s="267">
        <v>40.697000000000003</v>
      </c>
      <c r="S114" s="267" t="s">
        <v>271</v>
      </c>
      <c r="T114" s="267">
        <v>25</v>
      </c>
      <c r="U114" s="266" t="s">
        <v>573</v>
      </c>
      <c r="V114" s="268">
        <v>2.4609999999999999</v>
      </c>
      <c r="W114" s="268">
        <v>0.05</v>
      </c>
      <c r="X114" s="268">
        <v>0.30499999999999999</v>
      </c>
      <c r="Y114" s="178">
        <v>7.9000000000000001E-2</v>
      </c>
      <c r="Z114" s="178">
        <v>8.9999999999999993E-3</v>
      </c>
      <c r="AA114" s="178">
        <v>0.01</v>
      </c>
      <c r="AB114" s="178">
        <v>2.1999999999999999E-2</v>
      </c>
      <c r="AC114" s="178">
        <v>0.107</v>
      </c>
      <c r="AD114" s="178">
        <v>2.1000000000000001E-2</v>
      </c>
      <c r="AE114" s="178">
        <v>1.1359999999999999</v>
      </c>
      <c r="AF114" s="178">
        <v>1.2999999999999999E-2</v>
      </c>
      <c r="AG114" s="178">
        <v>4.0000000000000001E-3</v>
      </c>
      <c r="AH114" s="178">
        <v>2.4289999999999998</v>
      </c>
      <c r="AI114" s="178">
        <v>-8888</v>
      </c>
      <c r="AJ114" s="178">
        <v>3.2000000000000001E-2</v>
      </c>
      <c r="AK114" s="178">
        <v>0.05</v>
      </c>
      <c r="AL114" s="178">
        <v>-8888</v>
      </c>
      <c r="AM114" s="178">
        <v>0.26900000000000002</v>
      </c>
      <c r="AN114" s="178">
        <v>3.5999999999999997E-2</v>
      </c>
      <c r="AO114" s="178">
        <v>2E-3</v>
      </c>
      <c r="AP114" s="178">
        <v>6.0000000000000001E-3</v>
      </c>
      <c r="AQ114" s="178">
        <v>0.01</v>
      </c>
      <c r="AR114" s="178">
        <v>2.9000000000000001E-2</v>
      </c>
      <c r="AS114" s="178">
        <v>5.0999999999999997E-2</v>
      </c>
      <c r="AT114" s="178">
        <v>1.2999999999999999E-2</v>
      </c>
      <c r="AU114" s="178">
        <v>-8888</v>
      </c>
      <c r="AV114" s="178">
        <v>2.8159999999999998</v>
      </c>
      <c r="AW114" s="178">
        <v>0.23299999999999998</v>
      </c>
      <c r="AX114" s="178">
        <v>1.1679999999999997</v>
      </c>
      <c r="AY114" s="178">
        <v>3.9839999999999995</v>
      </c>
      <c r="AZ114" s="178">
        <v>1.4009999999999998</v>
      </c>
      <c r="BA114" s="178">
        <v>1.7559999999999998</v>
      </c>
      <c r="BB114" s="178">
        <v>4.2169999999999996</v>
      </c>
      <c r="BC114" s="178">
        <v>1.2439999999999998</v>
      </c>
      <c r="BD114" s="179">
        <v>0.71</v>
      </c>
      <c r="BE114" s="179">
        <v>0.83</v>
      </c>
      <c r="BF114" s="179">
        <v>0.17</v>
      </c>
      <c r="BG114" s="179">
        <v>2.0099999999999998</v>
      </c>
      <c r="BH114" s="179">
        <v>0.06</v>
      </c>
      <c r="BI114" s="179">
        <v>0.94</v>
      </c>
      <c r="BJ114" s="179">
        <v>0.57999999999999996</v>
      </c>
      <c r="BK114" s="174"/>
      <c r="BL114" s="190"/>
      <c r="BM114" s="190"/>
    </row>
    <row r="115" spans="1:65" s="140" customFormat="1" ht="14.1" customHeight="1">
      <c r="A115" s="175" t="s">
        <v>410</v>
      </c>
      <c r="B115" s="266" t="s">
        <v>435</v>
      </c>
      <c r="C115" s="266" t="s">
        <v>548</v>
      </c>
      <c r="D115" s="266" t="s">
        <v>539</v>
      </c>
      <c r="E115" s="267" t="s">
        <v>269</v>
      </c>
      <c r="F115" s="267">
        <v>547</v>
      </c>
      <c r="G115" s="267">
        <v>12</v>
      </c>
      <c r="H115" s="267">
        <v>8</v>
      </c>
      <c r="I115" s="267">
        <v>15.2</v>
      </c>
      <c r="J115" s="267">
        <v>66</v>
      </c>
      <c r="K115" s="266" t="s">
        <v>570</v>
      </c>
      <c r="L115" s="267">
        <v>2019</v>
      </c>
      <c r="M115" s="267" t="s">
        <v>270</v>
      </c>
      <c r="N115" s="267">
        <v>2</v>
      </c>
      <c r="O115" s="267">
        <v>33</v>
      </c>
      <c r="P115" s="282" t="s">
        <v>634</v>
      </c>
      <c r="Q115" s="267">
        <v>-70.882999999999996</v>
      </c>
      <c r="R115" s="267">
        <v>40.697000000000003</v>
      </c>
      <c r="S115" s="267" t="s">
        <v>271</v>
      </c>
      <c r="T115" s="267">
        <v>25</v>
      </c>
      <c r="U115" s="266" t="s">
        <v>573</v>
      </c>
      <c r="V115" s="268">
        <v>1.3559999999999999</v>
      </c>
      <c r="W115" s="268">
        <v>5.3999999999999999E-2</v>
      </c>
      <c r="X115" s="268">
        <v>0.18</v>
      </c>
      <c r="Y115" s="178">
        <v>4.5999999999999999E-2</v>
      </c>
      <c r="Z115" s="178">
        <v>0.01</v>
      </c>
      <c r="AA115" s="178">
        <v>0.01</v>
      </c>
      <c r="AB115" s="178">
        <v>2.1000000000000001E-2</v>
      </c>
      <c r="AC115" s="178">
        <v>0.06</v>
      </c>
      <c r="AD115" s="178">
        <v>1.2E-2</v>
      </c>
      <c r="AE115" s="178">
        <v>0.58299999999999996</v>
      </c>
      <c r="AF115" s="178">
        <v>2.9000000000000001E-2</v>
      </c>
      <c r="AG115" s="178">
        <v>4.0000000000000001E-3</v>
      </c>
      <c r="AH115" s="178">
        <v>1.347</v>
      </c>
      <c r="AI115" s="178">
        <v>-8888</v>
      </c>
      <c r="AJ115" s="178">
        <v>8.9999999999999993E-3</v>
      </c>
      <c r="AK115" s="178">
        <v>5.3999999999999999E-2</v>
      </c>
      <c r="AL115" s="178">
        <v>-8888</v>
      </c>
      <c r="AM115" s="178">
        <v>0.151</v>
      </c>
      <c r="AN115" s="178">
        <v>2.9000000000000001E-2</v>
      </c>
      <c r="AO115" s="178">
        <v>2E-3</v>
      </c>
      <c r="AP115" s="178">
        <v>6.0000000000000001E-3</v>
      </c>
      <c r="AQ115" s="178">
        <v>8.0000000000000002E-3</v>
      </c>
      <c r="AR115" s="178">
        <v>1.6E-2</v>
      </c>
      <c r="AS115" s="178">
        <v>3.1E-2</v>
      </c>
      <c r="AT115" s="178">
        <v>1.4E-2</v>
      </c>
      <c r="AU115" s="178">
        <v>-8888</v>
      </c>
      <c r="AV115" s="178">
        <v>1.5899999999999999</v>
      </c>
      <c r="AW115" s="178">
        <v>0.14300000000000002</v>
      </c>
      <c r="AX115" s="178">
        <v>0.63200000000000001</v>
      </c>
      <c r="AY115" s="178">
        <v>2.222</v>
      </c>
      <c r="AZ115" s="178">
        <v>0.77500000000000002</v>
      </c>
      <c r="BA115" s="178">
        <v>1.0090000000000001</v>
      </c>
      <c r="BB115" s="178">
        <v>2.3650000000000002</v>
      </c>
      <c r="BC115" s="178">
        <v>0.71099999999999997</v>
      </c>
      <c r="BD115" s="179">
        <v>0.74</v>
      </c>
      <c r="BE115" s="179">
        <v>0.82</v>
      </c>
      <c r="BF115" s="179">
        <v>0.18</v>
      </c>
      <c r="BG115" s="179">
        <v>2.0499999999999998</v>
      </c>
      <c r="BH115" s="179">
        <v>0.06</v>
      </c>
      <c r="BI115" s="179">
        <v>0.94</v>
      </c>
      <c r="BJ115" s="179">
        <v>0.56999999999999995</v>
      </c>
      <c r="BK115" s="174"/>
      <c r="BL115" s="190"/>
      <c r="BM115" s="190"/>
    </row>
    <row r="116" spans="1:65" s="140" customFormat="1" ht="14.1" customHeight="1">
      <c r="A116" s="175" t="s">
        <v>411</v>
      </c>
      <c r="B116" s="266" t="s">
        <v>435</v>
      </c>
      <c r="C116" s="266" t="s">
        <v>549</v>
      </c>
      <c r="D116" s="266" t="s">
        <v>539</v>
      </c>
      <c r="E116" s="267" t="s">
        <v>269</v>
      </c>
      <c r="F116" s="267">
        <v>548</v>
      </c>
      <c r="G116" s="267">
        <v>13</v>
      </c>
      <c r="H116" s="267">
        <v>10</v>
      </c>
      <c r="I116" s="267">
        <v>3.9</v>
      </c>
      <c r="J116" s="267">
        <v>78</v>
      </c>
      <c r="K116" s="266" t="s">
        <v>570</v>
      </c>
      <c r="L116" s="267">
        <v>2019</v>
      </c>
      <c r="M116" s="267" t="s">
        <v>270</v>
      </c>
      <c r="N116" s="267">
        <v>2</v>
      </c>
      <c r="O116" s="267">
        <v>33</v>
      </c>
      <c r="P116" s="282" t="s">
        <v>635</v>
      </c>
      <c r="Q116" s="267">
        <v>-70.88</v>
      </c>
      <c r="R116" s="267">
        <v>40.509</v>
      </c>
      <c r="S116" s="267" t="s">
        <v>271</v>
      </c>
      <c r="T116" s="267">
        <v>25</v>
      </c>
      <c r="U116" s="266" t="s">
        <v>573</v>
      </c>
      <c r="V116" s="268">
        <v>1.044</v>
      </c>
      <c r="W116" s="268">
        <v>0.06</v>
      </c>
      <c r="X116" s="268">
        <v>0.14600000000000002</v>
      </c>
      <c r="Y116" s="178">
        <v>3.5000000000000003E-2</v>
      </c>
      <c r="Z116" s="178">
        <v>-8888</v>
      </c>
      <c r="AA116" s="178">
        <v>8.0000000000000002E-3</v>
      </c>
      <c r="AB116" s="178">
        <v>1.7999999999999999E-2</v>
      </c>
      <c r="AC116" s="178">
        <v>4.4999999999999998E-2</v>
      </c>
      <c r="AD116" s="178">
        <v>4.0000000000000001E-3</v>
      </c>
      <c r="AE116" s="178">
        <v>0.42399999999999999</v>
      </c>
      <c r="AF116" s="178">
        <v>2.5000000000000001E-2</v>
      </c>
      <c r="AG116" s="178">
        <v>4.0000000000000001E-3</v>
      </c>
      <c r="AH116" s="178">
        <v>1.036</v>
      </c>
      <c r="AI116" s="178">
        <v>-8888</v>
      </c>
      <c r="AJ116" s="178">
        <v>8.0000000000000002E-3</v>
      </c>
      <c r="AK116" s="178">
        <v>0.06</v>
      </c>
      <c r="AL116" s="178">
        <v>-8888</v>
      </c>
      <c r="AM116" s="178">
        <v>0.112</v>
      </c>
      <c r="AN116" s="178">
        <v>3.4000000000000002E-2</v>
      </c>
      <c r="AO116" s="178">
        <v>2E-3</v>
      </c>
      <c r="AP116" s="178">
        <v>8.0000000000000002E-3</v>
      </c>
      <c r="AQ116" s="178">
        <v>8.9999999999999993E-3</v>
      </c>
      <c r="AR116" s="178">
        <v>1.2999999999999999E-2</v>
      </c>
      <c r="AS116" s="178">
        <v>3.2000000000000001E-2</v>
      </c>
      <c r="AT116" s="178">
        <v>1.7999999999999999E-2</v>
      </c>
      <c r="AU116" s="178">
        <v>-8888</v>
      </c>
      <c r="AV116" s="178">
        <v>1.25</v>
      </c>
      <c r="AW116" s="178">
        <v>0.10600000000000001</v>
      </c>
      <c r="AX116" s="178">
        <v>0.45700000000000002</v>
      </c>
      <c r="AY116" s="178">
        <v>1.7070000000000001</v>
      </c>
      <c r="AZ116" s="178">
        <v>0.56300000000000006</v>
      </c>
      <c r="BA116" s="178">
        <v>0.76900000000000002</v>
      </c>
      <c r="BB116" s="178">
        <v>1.8130000000000002</v>
      </c>
      <c r="BC116" s="178">
        <v>0.53900000000000003</v>
      </c>
      <c r="BD116" s="179">
        <v>0.74</v>
      </c>
      <c r="BE116" s="179">
        <v>0.81</v>
      </c>
      <c r="BF116" s="179">
        <v>0.19</v>
      </c>
      <c r="BG116" s="179">
        <v>2.2200000000000002</v>
      </c>
      <c r="BH116" s="179">
        <v>0.06</v>
      </c>
      <c r="BI116" s="179">
        <v>0.94</v>
      </c>
      <c r="BJ116" s="179">
        <v>0.57999999999999996</v>
      </c>
      <c r="BK116" s="174"/>
      <c r="BL116" s="190"/>
      <c r="BM116" s="190"/>
    </row>
    <row r="117" spans="1:65" s="140" customFormat="1" ht="14.1" customHeight="1">
      <c r="A117" s="175" t="s">
        <v>412</v>
      </c>
      <c r="B117" s="266" t="s">
        <v>435</v>
      </c>
      <c r="C117" s="266" t="s">
        <v>550</v>
      </c>
      <c r="D117" s="266" t="s">
        <v>539</v>
      </c>
      <c r="E117" s="267" t="s">
        <v>272</v>
      </c>
      <c r="F117" s="267">
        <v>539</v>
      </c>
      <c r="G117" s="267">
        <v>13</v>
      </c>
      <c r="H117" s="267">
        <v>6</v>
      </c>
      <c r="I117" s="267">
        <v>29.3</v>
      </c>
      <c r="J117" s="267">
        <v>78</v>
      </c>
      <c r="K117" s="266" t="s">
        <v>570</v>
      </c>
      <c r="L117" s="267">
        <v>2019</v>
      </c>
      <c r="M117" s="267" t="s">
        <v>270</v>
      </c>
      <c r="N117" s="267">
        <v>2</v>
      </c>
      <c r="O117" s="267">
        <v>33</v>
      </c>
      <c r="P117" s="282" t="s">
        <v>635</v>
      </c>
      <c r="Q117" s="267">
        <v>-70.88</v>
      </c>
      <c r="R117" s="267">
        <v>40.509</v>
      </c>
      <c r="S117" s="267" t="s">
        <v>271</v>
      </c>
      <c r="T117" s="267">
        <v>25</v>
      </c>
      <c r="U117" s="266" t="s">
        <v>573</v>
      </c>
      <c r="V117" s="268">
        <v>0.97599999999999998</v>
      </c>
      <c r="W117" s="268">
        <v>6.2E-2</v>
      </c>
      <c r="X117" s="268">
        <v>0.14299999999999999</v>
      </c>
      <c r="Y117" s="178">
        <v>3.5000000000000003E-2</v>
      </c>
      <c r="Z117" s="178">
        <v>-8888</v>
      </c>
      <c r="AA117" s="178">
        <v>8.0000000000000002E-3</v>
      </c>
      <c r="AB117" s="178">
        <v>1.7999999999999999E-2</v>
      </c>
      <c r="AC117" s="178">
        <v>4.3999999999999997E-2</v>
      </c>
      <c r="AD117" s="178">
        <v>4.0000000000000001E-3</v>
      </c>
      <c r="AE117" s="178">
        <v>0.38600000000000001</v>
      </c>
      <c r="AF117" s="178">
        <v>3.1E-2</v>
      </c>
      <c r="AG117" s="178">
        <v>5.0000000000000001E-3</v>
      </c>
      <c r="AH117" s="178">
        <v>0.96599999999999997</v>
      </c>
      <c r="AI117" s="178">
        <v>-8888</v>
      </c>
      <c r="AJ117" s="178">
        <v>0.01</v>
      </c>
      <c r="AK117" s="178">
        <v>6.2E-2</v>
      </c>
      <c r="AL117" s="178">
        <v>-8888</v>
      </c>
      <c r="AM117" s="178">
        <v>0.107</v>
      </c>
      <c r="AN117" s="178">
        <v>3.5999999999999997E-2</v>
      </c>
      <c r="AO117" s="178">
        <v>2E-3</v>
      </c>
      <c r="AP117" s="178">
        <v>8.0000000000000002E-3</v>
      </c>
      <c r="AQ117" s="178">
        <v>8.9999999999999993E-3</v>
      </c>
      <c r="AR117" s="178">
        <v>1.4999999999999999E-2</v>
      </c>
      <c r="AS117" s="178">
        <v>0.03</v>
      </c>
      <c r="AT117" s="178">
        <v>1.9E-2</v>
      </c>
      <c r="AU117" s="178">
        <v>-8888</v>
      </c>
      <c r="AV117" s="178">
        <v>1.181</v>
      </c>
      <c r="AW117" s="178">
        <v>0.10600000000000001</v>
      </c>
      <c r="AX117" s="178">
        <v>0.42500000000000004</v>
      </c>
      <c r="AY117" s="178">
        <v>1.6060000000000001</v>
      </c>
      <c r="AZ117" s="178">
        <v>0.53100000000000003</v>
      </c>
      <c r="BA117" s="178">
        <v>0.73599999999999999</v>
      </c>
      <c r="BB117" s="178">
        <v>1.712</v>
      </c>
      <c r="BC117" s="178">
        <v>0.51</v>
      </c>
      <c r="BD117" s="179">
        <v>0.75</v>
      </c>
      <c r="BE117" s="179">
        <v>0.8</v>
      </c>
      <c r="BF117" s="179">
        <v>0.2</v>
      </c>
      <c r="BG117" s="179">
        <v>2.2200000000000002</v>
      </c>
      <c r="BH117" s="179">
        <v>0.06</v>
      </c>
      <c r="BI117" s="179">
        <v>0.94</v>
      </c>
      <c r="BJ117" s="179">
        <v>0.56999999999999995</v>
      </c>
      <c r="BK117" s="174"/>
      <c r="BL117" s="190"/>
      <c r="BM117" s="190"/>
    </row>
    <row r="118" spans="1:65" s="140" customFormat="1" ht="14.1" customHeight="1">
      <c r="A118" s="175" t="s">
        <v>413</v>
      </c>
      <c r="B118" s="266" t="s">
        <v>435</v>
      </c>
      <c r="C118" s="266" t="s">
        <v>551</v>
      </c>
      <c r="D118" s="266" t="s">
        <v>539</v>
      </c>
      <c r="E118" s="267" t="s">
        <v>272</v>
      </c>
      <c r="F118" s="267">
        <v>539</v>
      </c>
      <c r="G118" s="267">
        <v>13</v>
      </c>
      <c r="H118" s="267">
        <v>6</v>
      </c>
      <c r="I118" s="267">
        <v>29.3</v>
      </c>
      <c r="J118" s="267">
        <v>78</v>
      </c>
      <c r="K118" s="266" t="s">
        <v>570</v>
      </c>
      <c r="L118" s="267">
        <v>2019</v>
      </c>
      <c r="M118" s="267" t="s">
        <v>270</v>
      </c>
      <c r="N118" s="267">
        <v>2</v>
      </c>
      <c r="O118" s="267">
        <v>33</v>
      </c>
      <c r="P118" s="282" t="s">
        <v>635</v>
      </c>
      <c r="Q118" s="267">
        <v>-70.88</v>
      </c>
      <c r="R118" s="267">
        <v>40.509</v>
      </c>
      <c r="S118" s="267" t="s">
        <v>271</v>
      </c>
      <c r="T118" s="267">
        <v>25</v>
      </c>
      <c r="U118" s="266" t="s">
        <v>573</v>
      </c>
      <c r="V118" s="268">
        <v>1.0489999999999999</v>
      </c>
      <c r="W118" s="268">
        <v>6.2E-2</v>
      </c>
      <c r="X118" s="268">
        <v>0.14699999999999999</v>
      </c>
      <c r="Y118" s="178">
        <v>3.6999999999999998E-2</v>
      </c>
      <c r="Z118" s="178">
        <v>-8888</v>
      </c>
      <c r="AA118" s="178">
        <v>8.0000000000000002E-3</v>
      </c>
      <c r="AB118" s="178">
        <v>1.7999999999999999E-2</v>
      </c>
      <c r="AC118" s="178">
        <v>4.8000000000000001E-2</v>
      </c>
      <c r="AD118" s="178">
        <v>3.0000000000000001E-3</v>
      </c>
      <c r="AE118" s="178">
        <v>0.42299999999999999</v>
      </c>
      <c r="AF118" s="178">
        <v>2.9000000000000001E-2</v>
      </c>
      <c r="AG118" s="178">
        <v>4.0000000000000001E-3</v>
      </c>
      <c r="AH118" s="178">
        <v>1.0389999999999999</v>
      </c>
      <c r="AI118" s="178">
        <v>-8888</v>
      </c>
      <c r="AJ118" s="178">
        <v>0.01</v>
      </c>
      <c r="AK118" s="178">
        <v>6.2E-2</v>
      </c>
      <c r="AL118" s="178">
        <v>-8888</v>
      </c>
      <c r="AM118" s="178">
        <v>0.111</v>
      </c>
      <c r="AN118" s="178">
        <v>3.5999999999999997E-2</v>
      </c>
      <c r="AO118" s="178">
        <v>2E-3</v>
      </c>
      <c r="AP118" s="178">
        <v>7.0000000000000001E-3</v>
      </c>
      <c r="AQ118" s="178">
        <v>8.9999999999999993E-3</v>
      </c>
      <c r="AR118" s="178">
        <v>1.4E-2</v>
      </c>
      <c r="AS118" s="178">
        <v>3.5000000000000003E-2</v>
      </c>
      <c r="AT118" s="178">
        <v>1.9E-2</v>
      </c>
      <c r="AU118" s="178">
        <v>-8888</v>
      </c>
      <c r="AV118" s="178">
        <v>1.258</v>
      </c>
      <c r="AW118" s="178">
        <v>0.11000000000000001</v>
      </c>
      <c r="AX118" s="178">
        <v>0.46</v>
      </c>
      <c r="AY118" s="178">
        <v>1.718</v>
      </c>
      <c r="AZ118" s="178">
        <v>0.57000000000000006</v>
      </c>
      <c r="BA118" s="178">
        <v>0.77900000000000014</v>
      </c>
      <c r="BB118" s="178">
        <v>1.8280000000000001</v>
      </c>
      <c r="BC118" s="178">
        <v>0.54400000000000004</v>
      </c>
      <c r="BD118" s="179">
        <v>0.74</v>
      </c>
      <c r="BE118" s="179">
        <v>0.81</v>
      </c>
      <c r="BF118" s="179">
        <v>0.19</v>
      </c>
      <c r="BG118" s="179">
        <v>2.21</v>
      </c>
      <c r="BH118" s="179">
        <v>0.06</v>
      </c>
      <c r="BI118" s="179">
        <v>0.94</v>
      </c>
      <c r="BJ118" s="179">
        <v>0.56999999999999995</v>
      </c>
      <c r="BK118" s="174"/>
      <c r="BL118" s="190"/>
      <c r="BM118" s="190"/>
    </row>
    <row r="119" spans="1:65" s="140" customFormat="1" ht="14.1" customHeight="1">
      <c r="A119" s="175" t="s">
        <v>414</v>
      </c>
      <c r="B119" s="266" t="s">
        <v>435</v>
      </c>
      <c r="C119" s="266" t="s">
        <v>552</v>
      </c>
      <c r="D119" s="266" t="s">
        <v>539</v>
      </c>
      <c r="E119" s="267" t="s">
        <v>269</v>
      </c>
      <c r="F119" s="267">
        <v>539</v>
      </c>
      <c r="G119" s="267">
        <v>16</v>
      </c>
      <c r="H119" s="267">
        <v>6</v>
      </c>
      <c r="I119" s="267">
        <v>43.7</v>
      </c>
      <c r="J119" s="267">
        <v>90</v>
      </c>
      <c r="K119" s="266" t="s">
        <v>570</v>
      </c>
      <c r="L119" s="267">
        <v>2019</v>
      </c>
      <c r="M119" s="267" t="s">
        <v>270</v>
      </c>
      <c r="N119" s="267">
        <v>3</v>
      </c>
      <c r="O119" s="267">
        <v>34</v>
      </c>
      <c r="P119" s="282" t="s">
        <v>636</v>
      </c>
      <c r="Q119" s="267">
        <v>-70.887</v>
      </c>
      <c r="R119" s="267">
        <v>40.362000000000002</v>
      </c>
      <c r="S119" s="267" t="s">
        <v>271</v>
      </c>
      <c r="T119" s="267">
        <v>25</v>
      </c>
      <c r="U119" s="266" t="s">
        <v>573</v>
      </c>
      <c r="V119" s="268">
        <v>1.6949999999999998</v>
      </c>
      <c r="W119" s="268">
        <v>2.7E-2</v>
      </c>
      <c r="X119" s="268">
        <v>0.27399999999999997</v>
      </c>
      <c r="Y119" s="178">
        <v>5.6000000000000001E-2</v>
      </c>
      <c r="Z119" s="178">
        <v>-8888</v>
      </c>
      <c r="AA119" s="178">
        <v>0.01</v>
      </c>
      <c r="AB119" s="178">
        <v>2.5999999999999999E-2</v>
      </c>
      <c r="AC119" s="178">
        <v>8.5999999999999993E-2</v>
      </c>
      <c r="AD119" s="178">
        <v>2.1999999999999999E-2</v>
      </c>
      <c r="AE119" s="178">
        <v>0.65300000000000002</v>
      </c>
      <c r="AF119" s="178">
        <v>8.7999999999999995E-2</v>
      </c>
      <c r="AG119" s="178">
        <v>4.0000000000000001E-3</v>
      </c>
      <c r="AH119" s="178">
        <v>1.6819999999999999</v>
      </c>
      <c r="AI119" s="178">
        <v>-8888</v>
      </c>
      <c r="AJ119" s="178">
        <v>1.2999999999999999E-2</v>
      </c>
      <c r="AK119" s="178">
        <v>2.7E-2</v>
      </c>
      <c r="AL119" s="178">
        <v>-8888</v>
      </c>
      <c r="AM119" s="178">
        <v>0.23599999999999999</v>
      </c>
      <c r="AN119" s="178">
        <v>3.7999999999999999E-2</v>
      </c>
      <c r="AO119" s="178">
        <v>1E-3</v>
      </c>
      <c r="AP119" s="178">
        <v>3.0000000000000001E-3</v>
      </c>
      <c r="AQ119" s="178">
        <v>5.0000000000000001E-3</v>
      </c>
      <c r="AR119" s="178">
        <v>2.1999999999999999E-2</v>
      </c>
      <c r="AS119" s="178">
        <v>3.1E-2</v>
      </c>
      <c r="AT119" s="178">
        <v>-8888</v>
      </c>
      <c r="AU119" s="178">
        <v>-8888</v>
      </c>
      <c r="AV119" s="178">
        <v>1.9959999999999998</v>
      </c>
      <c r="AW119" s="178">
        <v>0.19399999999999998</v>
      </c>
      <c r="AX119" s="178">
        <v>0.751</v>
      </c>
      <c r="AY119" s="178">
        <v>2.7469999999999999</v>
      </c>
      <c r="AZ119" s="178">
        <v>0.94499999999999995</v>
      </c>
      <c r="BA119" s="178">
        <v>1.246</v>
      </c>
      <c r="BB119" s="178">
        <v>2.9409999999999998</v>
      </c>
      <c r="BC119" s="178">
        <v>0.80800000000000005</v>
      </c>
      <c r="BD119" s="179">
        <v>0.74</v>
      </c>
      <c r="BE119" s="179">
        <v>0.79</v>
      </c>
      <c r="BF119" s="179">
        <v>0.21</v>
      </c>
      <c r="BG119" s="179">
        <v>2.11</v>
      </c>
      <c r="BH119" s="179">
        <v>7.0000000000000007E-2</v>
      </c>
      <c r="BI119" s="179">
        <v>0.93</v>
      </c>
      <c r="BJ119" s="179">
        <v>0.57999999999999996</v>
      </c>
      <c r="BK119" s="174"/>
      <c r="BL119" s="190"/>
      <c r="BM119" s="190"/>
    </row>
    <row r="120" spans="1:65" s="140" customFormat="1" ht="14.1" customHeight="1">
      <c r="A120" s="175" t="s">
        <v>415</v>
      </c>
      <c r="B120" s="266" t="s">
        <v>435</v>
      </c>
      <c r="C120" s="266" t="s">
        <v>553</v>
      </c>
      <c r="D120" s="266" t="s">
        <v>539</v>
      </c>
      <c r="E120" s="267" t="s">
        <v>269</v>
      </c>
      <c r="F120" s="267">
        <v>547</v>
      </c>
      <c r="G120" s="267">
        <v>16</v>
      </c>
      <c r="H120" s="267">
        <v>11</v>
      </c>
      <c r="I120" s="267">
        <v>5.5</v>
      </c>
      <c r="J120" s="267">
        <v>90</v>
      </c>
      <c r="K120" s="266" t="s">
        <v>570</v>
      </c>
      <c r="L120" s="267">
        <v>2019</v>
      </c>
      <c r="M120" s="267" t="s">
        <v>270</v>
      </c>
      <c r="N120" s="267">
        <v>3</v>
      </c>
      <c r="O120" s="267">
        <v>34</v>
      </c>
      <c r="P120" s="282" t="s">
        <v>636</v>
      </c>
      <c r="Q120" s="267">
        <v>-70.887</v>
      </c>
      <c r="R120" s="267">
        <v>40.362000000000002</v>
      </c>
      <c r="S120" s="267" t="s">
        <v>271</v>
      </c>
      <c r="T120" s="267">
        <v>25</v>
      </c>
      <c r="U120" s="266" t="s">
        <v>573</v>
      </c>
      <c r="V120" s="268">
        <v>2.0920000000000001</v>
      </c>
      <c r="W120" s="268">
        <v>2.4E-2</v>
      </c>
      <c r="X120" s="268">
        <v>0.32599999999999996</v>
      </c>
      <c r="Y120" s="178">
        <v>6.5000000000000002E-2</v>
      </c>
      <c r="Z120" s="178">
        <v>2.1000000000000001E-2</v>
      </c>
      <c r="AA120" s="178">
        <v>8.9999999999999993E-3</v>
      </c>
      <c r="AB120" s="178">
        <v>2.1000000000000001E-2</v>
      </c>
      <c r="AC120" s="178">
        <v>0.109</v>
      </c>
      <c r="AD120" s="178">
        <v>1.6E-2</v>
      </c>
      <c r="AE120" s="178">
        <v>0.82699999999999996</v>
      </c>
      <c r="AF120" s="178">
        <v>0.112</v>
      </c>
      <c r="AG120" s="178">
        <v>4.0000000000000001E-3</v>
      </c>
      <c r="AH120" s="178">
        <v>2.0790000000000002</v>
      </c>
      <c r="AI120" s="178">
        <v>-8888</v>
      </c>
      <c r="AJ120" s="178">
        <v>1.2999999999999999E-2</v>
      </c>
      <c r="AK120" s="178">
        <v>2.4E-2</v>
      </c>
      <c r="AL120" s="178">
        <v>-8888</v>
      </c>
      <c r="AM120" s="178">
        <v>0.29199999999999998</v>
      </c>
      <c r="AN120" s="178">
        <v>3.4000000000000002E-2</v>
      </c>
      <c r="AO120" s="178">
        <v>-8888</v>
      </c>
      <c r="AP120" s="178">
        <v>2E-3</v>
      </c>
      <c r="AQ120" s="178">
        <v>5.0000000000000001E-3</v>
      </c>
      <c r="AR120" s="178">
        <v>2.4E-2</v>
      </c>
      <c r="AS120" s="178">
        <v>2.9000000000000001E-2</v>
      </c>
      <c r="AT120" s="178">
        <v>-8888</v>
      </c>
      <c r="AU120" s="178">
        <v>-8888</v>
      </c>
      <c r="AV120" s="178">
        <v>2.4420000000000002</v>
      </c>
      <c r="AW120" s="178">
        <v>0.21500000000000002</v>
      </c>
      <c r="AX120" s="178">
        <v>0.96899999999999997</v>
      </c>
      <c r="AY120" s="178">
        <v>3.411</v>
      </c>
      <c r="AZ120" s="178">
        <v>1.1839999999999999</v>
      </c>
      <c r="BA120" s="178">
        <v>1.5339999999999998</v>
      </c>
      <c r="BB120" s="178">
        <v>3.6259999999999999</v>
      </c>
      <c r="BC120" s="178">
        <v>1.018</v>
      </c>
      <c r="BD120" s="179">
        <v>0.73</v>
      </c>
      <c r="BE120" s="179">
        <v>0.82</v>
      </c>
      <c r="BF120" s="179">
        <v>0.18</v>
      </c>
      <c r="BG120" s="179">
        <v>2.06</v>
      </c>
      <c r="BH120" s="179">
        <v>0.06</v>
      </c>
      <c r="BI120" s="179">
        <v>0.94</v>
      </c>
      <c r="BJ120" s="179">
        <v>0.57999999999999996</v>
      </c>
      <c r="BK120" s="174"/>
      <c r="BL120" s="190"/>
      <c r="BM120" s="190"/>
    </row>
    <row r="121" spans="1:65" s="140" customFormat="1" ht="14.1" customHeight="1">
      <c r="A121" s="175" t="s">
        <v>416</v>
      </c>
      <c r="B121" s="266" t="s">
        <v>435</v>
      </c>
      <c r="C121" s="266" t="s">
        <v>554</v>
      </c>
      <c r="D121" s="266" t="s">
        <v>539</v>
      </c>
      <c r="E121" s="267" t="s">
        <v>272</v>
      </c>
      <c r="F121" s="267">
        <v>539</v>
      </c>
      <c r="G121" s="267">
        <v>17</v>
      </c>
      <c r="H121" s="267">
        <v>8</v>
      </c>
      <c r="I121" s="267">
        <v>45.6</v>
      </c>
      <c r="J121" s="267">
        <v>122</v>
      </c>
      <c r="K121" s="266" t="s">
        <v>570</v>
      </c>
      <c r="L121" s="267">
        <v>2019</v>
      </c>
      <c r="M121" s="267" t="s">
        <v>270</v>
      </c>
      <c r="N121" s="267">
        <v>3</v>
      </c>
      <c r="O121" s="267">
        <v>34</v>
      </c>
      <c r="P121" s="282" t="s">
        <v>637</v>
      </c>
      <c r="Q121" s="267">
        <v>-70.887</v>
      </c>
      <c r="R121" s="267">
        <v>40.228000000000002</v>
      </c>
      <c r="S121" s="267" t="s">
        <v>271</v>
      </c>
      <c r="T121" s="267">
        <v>25</v>
      </c>
      <c r="U121" s="266" t="s">
        <v>573</v>
      </c>
      <c r="V121" s="268">
        <v>2.2609999999999997</v>
      </c>
      <c r="W121" s="268">
        <v>9.1999999999999998E-2</v>
      </c>
      <c r="X121" s="268">
        <v>0.35899999999999999</v>
      </c>
      <c r="Y121" s="178">
        <v>7.6999999999999999E-2</v>
      </c>
      <c r="Z121" s="178">
        <v>2.1999999999999999E-2</v>
      </c>
      <c r="AA121" s="178">
        <v>5.5E-2</v>
      </c>
      <c r="AB121" s="178">
        <v>3.5000000000000003E-2</v>
      </c>
      <c r="AC121" s="178">
        <v>9.6000000000000002E-2</v>
      </c>
      <c r="AD121" s="178">
        <v>0.01</v>
      </c>
      <c r="AE121" s="178">
        <v>0.90700000000000003</v>
      </c>
      <c r="AF121" s="178">
        <v>0.106</v>
      </c>
      <c r="AG121" s="178">
        <v>4.0000000000000001E-3</v>
      </c>
      <c r="AH121" s="178">
        <v>2.2429999999999999</v>
      </c>
      <c r="AI121" s="178">
        <v>-8888</v>
      </c>
      <c r="AJ121" s="178">
        <v>1.7999999999999999E-2</v>
      </c>
      <c r="AK121" s="178">
        <v>9.1999999999999998E-2</v>
      </c>
      <c r="AL121" s="178">
        <v>-8888</v>
      </c>
      <c r="AM121" s="178">
        <v>0.28599999999999998</v>
      </c>
      <c r="AN121" s="178">
        <v>7.2999999999999995E-2</v>
      </c>
      <c r="AO121" s="178">
        <v>2E-3</v>
      </c>
      <c r="AP121" s="178">
        <v>0.01</v>
      </c>
      <c r="AQ121" s="178">
        <v>1.2E-2</v>
      </c>
      <c r="AR121" s="178">
        <v>2.3E-2</v>
      </c>
      <c r="AS121" s="178">
        <v>2.3E-2</v>
      </c>
      <c r="AT121" s="178">
        <v>2.7E-2</v>
      </c>
      <c r="AU121" s="178">
        <v>-8888</v>
      </c>
      <c r="AV121" s="178">
        <v>2.7119999999999997</v>
      </c>
      <c r="AW121" s="178">
        <v>0.22200000000000003</v>
      </c>
      <c r="AX121" s="178">
        <v>1.0900000000000001</v>
      </c>
      <c r="AY121" s="178">
        <v>3.8019999999999996</v>
      </c>
      <c r="AZ121" s="178">
        <v>1.3120000000000001</v>
      </c>
      <c r="BA121" s="178">
        <v>1.7630000000000001</v>
      </c>
      <c r="BB121" s="178">
        <v>4.024</v>
      </c>
      <c r="BC121" s="178">
        <v>1.2210000000000001</v>
      </c>
      <c r="BD121" s="179">
        <v>0.78</v>
      </c>
      <c r="BE121" s="179">
        <v>0.83</v>
      </c>
      <c r="BF121" s="179">
        <v>0.17</v>
      </c>
      <c r="BG121" s="179">
        <v>2.0699999999999998</v>
      </c>
      <c r="BH121" s="179">
        <v>0.06</v>
      </c>
      <c r="BI121" s="179">
        <v>0.94</v>
      </c>
      <c r="BJ121" s="179">
        <v>0.56000000000000005</v>
      </c>
      <c r="BK121" s="174"/>
      <c r="BL121" s="190"/>
      <c r="BM121" s="190"/>
    </row>
    <row r="122" spans="1:65" s="140" customFormat="1" ht="14.1" customHeight="1">
      <c r="A122" s="175" t="s">
        <v>418</v>
      </c>
      <c r="B122" s="266" t="s">
        <v>435</v>
      </c>
      <c r="C122" s="266" t="s">
        <v>555</v>
      </c>
      <c r="D122" s="266" t="s">
        <v>539</v>
      </c>
      <c r="E122" s="267" t="s">
        <v>272</v>
      </c>
      <c r="F122" s="267">
        <v>539</v>
      </c>
      <c r="G122" s="267">
        <v>17</v>
      </c>
      <c r="H122" s="267">
        <v>8</v>
      </c>
      <c r="I122" s="267">
        <v>45.6</v>
      </c>
      <c r="J122" s="267">
        <v>122</v>
      </c>
      <c r="K122" s="266" t="s">
        <v>570</v>
      </c>
      <c r="L122" s="267">
        <v>2019</v>
      </c>
      <c r="M122" s="267" t="s">
        <v>270</v>
      </c>
      <c r="N122" s="267">
        <v>3</v>
      </c>
      <c r="O122" s="267">
        <v>34</v>
      </c>
      <c r="P122" s="282" t="s">
        <v>637</v>
      </c>
      <c r="Q122" s="267">
        <v>-70.887</v>
      </c>
      <c r="R122" s="267">
        <v>40.228000000000002</v>
      </c>
      <c r="S122" s="267" t="s">
        <v>271</v>
      </c>
      <c r="T122" s="267">
        <v>25</v>
      </c>
      <c r="U122" s="266" t="s">
        <v>573</v>
      </c>
      <c r="V122" s="268">
        <v>1.972</v>
      </c>
      <c r="W122" s="268">
        <v>9.5000000000000001E-2</v>
      </c>
      <c r="X122" s="268">
        <v>0.33</v>
      </c>
      <c r="Y122" s="178">
        <v>6.7000000000000004E-2</v>
      </c>
      <c r="Z122" s="178">
        <v>2.4E-2</v>
      </c>
      <c r="AA122" s="178">
        <v>5.7000000000000002E-2</v>
      </c>
      <c r="AB122" s="178">
        <v>3.6999999999999998E-2</v>
      </c>
      <c r="AC122" s="178">
        <v>8.6999999999999994E-2</v>
      </c>
      <c r="AD122" s="178">
        <v>8.9999999999999993E-3</v>
      </c>
      <c r="AE122" s="178">
        <v>0.754</v>
      </c>
      <c r="AF122" s="178">
        <v>0.11899999999999999</v>
      </c>
      <c r="AG122" s="178">
        <v>5.0000000000000001E-3</v>
      </c>
      <c r="AH122" s="178">
        <v>1.9570000000000001</v>
      </c>
      <c r="AI122" s="178">
        <v>-8888</v>
      </c>
      <c r="AJ122" s="178">
        <v>1.4999999999999999E-2</v>
      </c>
      <c r="AK122" s="178">
        <v>9.5000000000000001E-2</v>
      </c>
      <c r="AL122" s="178">
        <v>-8888</v>
      </c>
      <c r="AM122" s="178">
        <v>0.251</v>
      </c>
      <c r="AN122" s="178">
        <v>7.9000000000000001E-2</v>
      </c>
      <c r="AO122" s="178">
        <v>3.0000000000000001E-3</v>
      </c>
      <c r="AP122" s="178">
        <v>0.01</v>
      </c>
      <c r="AQ122" s="178">
        <v>1.2E-2</v>
      </c>
      <c r="AR122" s="178">
        <v>0.02</v>
      </c>
      <c r="AS122" s="178">
        <v>0.02</v>
      </c>
      <c r="AT122" s="178">
        <v>2.8000000000000001E-2</v>
      </c>
      <c r="AU122" s="178">
        <v>-8888</v>
      </c>
      <c r="AV122" s="178">
        <v>2.3970000000000002</v>
      </c>
      <c r="AW122" s="178">
        <v>0.20500000000000002</v>
      </c>
      <c r="AX122" s="178">
        <v>0.95400000000000007</v>
      </c>
      <c r="AY122" s="178">
        <v>3.3510000000000004</v>
      </c>
      <c r="AZ122" s="178">
        <v>1.159</v>
      </c>
      <c r="BA122" s="178">
        <v>1.5840000000000001</v>
      </c>
      <c r="BB122" s="178">
        <v>3.556</v>
      </c>
      <c r="BC122" s="178">
        <v>1.0910000000000002</v>
      </c>
      <c r="BD122" s="179">
        <v>0.8</v>
      </c>
      <c r="BE122" s="179">
        <v>0.82</v>
      </c>
      <c r="BF122" s="179">
        <v>0.18</v>
      </c>
      <c r="BG122" s="179">
        <v>2.0699999999999998</v>
      </c>
      <c r="BH122" s="179">
        <v>0.06</v>
      </c>
      <c r="BI122" s="179">
        <v>0.94</v>
      </c>
      <c r="BJ122" s="179">
        <v>0.55000000000000004</v>
      </c>
      <c r="BK122" s="174"/>
      <c r="BL122" s="190"/>
      <c r="BM122" s="190"/>
    </row>
    <row r="123" spans="1:65" s="140" customFormat="1" ht="14.1" customHeight="1">
      <c r="A123" s="175" t="s">
        <v>419</v>
      </c>
      <c r="B123" s="266" t="s">
        <v>435</v>
      </c>
      <c r="C123" s="266" t="s">
        <v>556</v>
      </c>
      <c r="D123" s="266" t="s">
        <v>539</v>
      </c>
      <c r="E123" s="267" t="s">
        <v>269</v>
      </c>
      <c r="F123" s="267">
        <v>493</v>
      </c>
      <c r="G123" s="267">
        <v>17</v>
      </c>
      <c r="H123" s="267">
        <v>10</v>
      </c>
      <c r="I123" s="267">
        <v>4.8</v>
      </c>
      <c r="J123" s="267">
        <v>122</v>
      </c>
      <c r="K123" s="266" t="s">
        <v>570</v>
      </c>
      <c r="L123" s="267">
        <v>2019</v>
      </c>
      <c r="M123" s="267" t="s">
        <v>270</v>
      </c>
      <c r="N123" s="267">
        <v>3</v>
      </c>
      <c r="O123" s="267">
        <v>34</v>
      </c>
      <c r="P123" s="282" t="s">
        <v>637</v>
      </c>
      <c r="Q123" s="267">
        <v>-70.887</v>
      </c>
      <c r="R123" s="267">
        <v>40.228000000000002</v>
      </c>
      <c r="S123" s="267" t="s">
        <v>271</v>
      </c>
      <c r="T123" s="267">
        <v>25</v>
      </c>
      <c r="U123" s="266" t="s">
        <v>573</v>
      </c>
      <c r="V123" s="268">
        <v>2.0529999999999999</v>
      </c>
      <c r="W123" s="268">
        <v>0.10199999999999999</v>
      </c>
      <c r="X123" s="268">
        <v>0.33800000000000002</v>
      </c>
      <c r="Y123" s="178">
        <v>7.5999999999999998E-2</v>
      </c>
      <c r="Z123" s="178">
        <v>2.5000000000000001E-2</v>
      </c>
      <c r="AA123" s="178">
        <v>5.8000000000000003E-2</v>
      </c>
      <c r="AB123" s="178">
        <v>4.3999999999999997E-2</v>
      </c>
      <c r="AC123" s="178">
        <v>0.107</v>
      </c>
      <c r="AD123" s="178">
        <v>2.1000000000000001E-2</v>
      </c>
      <c r="AE123" s="178">
        <v>0.79100000000000004</v>
      </c>
      <c r="AF123" s="178">
        <v>0.105</v>
      </c>
      <c r="AG123" s="178">
        <v>5.0000000000000001E-3</v>
      </c>
      <c r="AH123" s="178">
        <v>2.0379999999999998</v>
      </c>
      <c r="AI123" s="178">
        <v>-8888</v>
      </c>
      <c r="AJ123" s="178">
        <v>1.4999999999999999E-2</v>
      </c>
      <c r="AK123" s="178">
        <v>0.10199999999999999</v>
      </c>
      <c r="AL123" s="178">
        <v>-8888</v>
      </c>
      <c r="AM123" s="178">
        <v>0.26</v>
      </c>
      <c r="AN123" s="178">
        <v>7.8E-2</v>
      </c>
      <c r="AO123" s="178">
        <v>3.0000000000000001E-3</v>
      </c>
      <c r="AP123" s="178">
        <v>1.0999999999999999E-2</v>
      </c>
      <c r="AQ123" s="178">
        <v>1.4E-2</v>
      </c>
      <c r="AR123" s="178">
        <v>1.7000000000000001E-2</v>
      </c>
      <c r="AS123" s="178">
        <v>1.4E-2</v>
      </c>
      <c r="AT123" s="178">
        <v>2.9000000000000001E-2</v>
      </c>
      <c r="AU123" s="178">
        <v>-8888</v>
      </c>
      <c r="AV123" s="178">
        <v>2.4929999999999999</v>
      </c>
      <c r="AW123" s="178">
        <v>0.253</v>
      </c>
      <c r="AX123" s="178">
        <v>0.97900000000000009</v>
      </c>
      <c r="AY123" s="178">
        <v>3.472</v>
      </c>
      <c r="AZ123" s="178">
        <v>1.2320000000000002</v>
      </c>
      <c r="BA123" s="178">
        <v>1.6720000000000004</v>
      </c>
      <c r="BB123" s="178">
        <v>3.7250000000000005</v>
      </c>
      <c r="BC123" s="178">
        <v>1.1300000000000001</v>
      </c>
      <c r="BD123" s="179">
        <v>0.81</v>
      </c>
      <c r="BE123" s="179">
        <v>0.79</v>
      </c>
      <c r="BF123" s="179">
        <v>0.21</v>
      </c>
      <c r="BG123" s="179">
        <v>2.02</v>
      </c>
      <c r="BH123" s="179">
        <v>7.0000000000000007E-2</v>
      </c>
      <c r="BI123" s="179">
        <v>0.93</v>
      </c>
      <c r="BJ123" s="179">
        <v>0.55000000000000004</v>
      </c>
      <c r="BK123" s="174"/>
      <c r="BL123" s="190"/>
      <c r="BM123" s="190"/>
    </row>
    <row r="124" spans="1:65" s="140" customFormat="1" ht="14.1" customHeight="1">
      <c r="A124" s="175" t="s">
        <v>420</v>
      </c>
      <c r="B124" s="266" t="s">
        <v>435</v>
      </c>
      <c r="C124" s="266" t="s">
        <v>557</v>
      </c>
      <c r="D124" s="266" t="s">
        <v>539</v>
      </c>
      <c r="E124" s="267" t="s">
        <v>269</v>
      </c>
      <c r="F124" s="267">
        <v>539</v>
      </c>
      <c r="G124" s="267">
        <v>19</v>
      </c>
      <c r="H124" s="267">
        <v>7</v>
      </c>
      <c r="I124" s="267">
        <v>19.7</v>
      </c>
      <c r="J124" s="267">
        <v>133</v>
      </c>
      <c r="K124" s="266" t="s">
        <v>570</v>
      </c>
      <c r="L124" s="267">
        <v>2019</v>
      </c>
      <c r="M124" s="267" t="s">
        <v>270</v>
      </c>
      <c r="N124" s="267">
        <v>3</v>
      </c>
      <c r="O124" s="267">
        <v>34</v>
      </c>
      <c r="P124" s="282" t="s">
        <v>638</v>
      </c>
      <c r="Q124" s="267">
        <v>-70.763999999999996</v>
      </c>
      <c r="R124" s="267">
        <v>40.134999999999998</v>
      </c>
      <c r="S124" s="267" t="s">
        <v>271</v>
      </c>
      <c r="T124" s="267">
        <v>25</v>
      </c>
      <c r="U124" s="266" t="s">
        <v>573</v>
      </c>
      <c r="V124" s="268">
        <v>1.839</v>
      </c>
      <c r="W124" s="268">
        <v>7.4999999999999997E-2</v>
      </c>
      <c r="X124" s="268">
        <v>0.3</v>
      </c>
      <c r="Y124" s="178">
        <v>6.7000000000000004E-2</v>
      </c>
      <c r="Z124" s="178">
        <v>1.9E-2</v>
      </c>
      <c r="AA124" s="178">
        <v>3.7999999999999999E-2</v>
      </c>
      <c r="AB124" s="178">
        <v>0.03</v>
      </c>
      <c r="AC124" s="178">
        <v>8.5999999999999993E-2</v>
      </c>
      <c r="AD124" s="178">
        <v>8.9999999999999993E-3</v>
      </c>
      <c r="AE124" s="178">
        <v>0.72</v>
      </c>
      <c r="AF124" s="178">
        <v>0.113</v>
      </c>
      <c r="AG124" s="178">
        <v>4.0000000000000001E-3</v>
      </c>
      <c r="AH124" s="178">
        <v>1.83</v>
      </c>
      <c r="AI124" s="178">
        <v>-8888</v>
      </c>
      <c r="AJ124" s="178">
        <v>8.9999999999999993E-3</v>
      </c>
      <c r="AK124" s="178">
        <v>7.4999999999999997E-2</v>
      </c>
      <c r="AL124" s="178">
        <v>-8888</v>
      </c>
      <c r="AM124" s="178">
        <v>0.23799999999999999</v>
      </c>
      <c r="AN124" s="178">
        <v>6.2E-2</v>
      </c>
      <c r="AO124" s="178">
        <v>2E-3</v>
      </c>
      <c r="AP124" s="178">
        <v>8.0000000000000002E-3</v>
      </c>
      <c r="AQ124" s="178">
        <v>0.01</v>
      </c>
      <c r="AR124" s="178">
        <v>1.4999999999999999E-2</v>
      </c>
      <c r="AS124" s="178">
        <v>1.9E-2</v>
      </c>
      <c r="AT124" s="178">
        <v>2.3E-2</v>
      </c>
      <c r="AU124" s="178">
        <v>-8888</v>
      </c>
      <c r="AV124" s="178">
        <v>2.214</v>
      </c>
      <c r="AW124" s="178">
        <v>0.19599999999999998</v>
      </c>
      <c r="AX124" s="178">
        <v>0.89</v>
      </c>
      <c r="AY124" s="178">
        <v>3.1040000000000001</v>
      </c>
      <c r="AZ124" s="178">
        <v>1.0860000000000001</v>
      </c>
      <c r="BA124" s="178">
        <v>1.4610000000000001</v>
      </c>
      <c r="BB124" s="178">
        <v>3.3</v>
      </c>
      <c r="BC124" s="178">
        <v>0.999</v>
      </c>
      <c r="BD124" s="179">
        <v>0.79</v>
      </c>
      <c r="BE124" s="179">
        <v>0.82</v>
      </c>
      <c r="BF124" s="179">
        <v>0.18</v>
      </c>
      <c r="BG124" s="179">
        <v>2.04</v>
      </c>
      <c r="BH124" s="179">
        <v>0.06</v>
      </c>
      <c r="BI124" s="179">
        <v>0.94</v>
      </c>
      <c r="BJ124" s="179">
        <v>0.56000000000000005</v>
      </c>
      <c r="BK124" s="174"/>
      <c r="BL124" s="190"/>
      <c r="BM124" s="190"/>
    </row>
    <row r="125" spans="1:65" s="140" customFormat="1" ht="14.1" customHeight="1">
      <c r="A125" s="175" t="s">
        <v>421</v>
      </c>
      <c r="B125" s="266" t="s">
        <v>435</v>
      </c>
      <c r="C125" s="266" t="s">
        <v>558</v>
      </c>
      <c r="D125" s="266" t="s">
        <v>539</v>
      </c>
      <c r="E125" s="267" t="s">
        <v>269</v>
      </c>
      <c r="F125" s="267">
        <v>548</v>
      </c>
      <c r="G125" s="267">
        <v>19</v>
      </c>
      <c r="H125" s="267">
        <v>9</v>
      </c>
      <c r="I125" s="267">
        <v>3</v>
      </c>
      <c r="J125" s="267">
        <v>133</v>
      </c>
      <c r="K125" s="266" t="s">
        <v>570</v>
      </c>
      <c r="L125" s="267">
        <v>2019</v>
      </c>
      <c r="M125" s="267" t="s">
        <v>270</v>
      </c>
      <c r="N125" s="267">
        <v>3</v>
      </c>
      <c r="O125" s="267">
        <v>34</v>
      </c>
      <c r="P125" s="282" t="s">
        <v>638</v>
      </c>
      <c r="Q125" s="267">
        <v>-70.763999999999996</v>
      </c>
      <c r="R125" s="267">
        <v>40.134999999999998</v>
      </c>
      <c r="S125" s="267" t="s">
        <v>271</v>
      </c>
      <c r="T125" s="267">
        <v>25</v>
      </c>
      <c r="U125" s="266" t="s">
        <v>573</v>
      </c>
      <c r="V125" s="268">
        <v>1.254</v>
      </c>
      <c r="W125" s="268">
        <v>5.6000000000000001E-2</v>
      </c>
      <c r="X125" s="268">
        <v>0.216</v>
      </c>
      <c r="Y125" s="178">
        <v>4.3999999999999997E-2</v>
      </c>
      <c r="Z125" s="178">
        <v>2.1999999999999999E-2</v>
      </c>
      <c r="AA125" s="178">
        <v>3.7999999999999999E-2</v>
      </c>
      <c r="AB125" s="178">
        <v>3.5999999999999997E-2</v>
      </c>
      <c r="AC125" s="178">
        <v>8.1000000000000003E-2</v>
      </c>
      <c r="AD125" s="178">
        <v>0.03</v>
      </c>
      <c r="AE125" s="178">
        <v>0.439</v>
      </c>
      <c r="AF125" s="178">
        <v>9.5000000000000001E-2</v>
      </c>
      <c r="AG125" s="178">
        <v>8.0000000000000002E-3</v>
      </c>
      <c r="AH125" s="178">
        <v>1.246</v>
      </c>
      <c r="AI125" s="178">
        <v>-8888</v>
      </c>
      <c r="AJ125" s="178">
        <v>8.0000000000000002E-3</v>
      </c>
      <c r="AK125" s="178">
        <v>5.6000000000000001E-2</v>
      </c>
      <c r="AL125" s="178">
        <v>-8888</v>
      </c>
      <c r="AM125" s="178">
        <v>0.16200000000000001</v>
      </c>
      <c r="AN125" s="178">
        <v>5.3999999999999999E-2</v>
      </c>
      <c r="AO125" s="178">
        <v>3.0000000000000001E-3</v>
      </c>
      <c r="AP125" s="178">
        <v>6.0000000000000001E-3</v>
      </c>
      <c r="AQ125" s="178">
        <v>7.0000000000000001E-3</v>
      </c>
      <c r="AR125" s="178">
        <v>0.01</v>
      </c>
      <c r="AS125" s="178">
        <v>1.6E-2</v>
      </c>
      <c r="AT125" s="178">
        <v>0.02</v>
      </c>
      <c r="AU125" s="178">
        <v>-8888</v>
      </c>
      <c r="AV125" s="178">
        <v>1.526</v>
      </c>
      <c r="AW125" s="178">
        <v>0.19900000000000001</v>
      </c>
      <c r="AX125" s="178">
        <v>0.59399999999999997</v>
      </c>
      <c r="AY125" s="178">
        <v>2.12</v>
      </c>
      <c r="AZ125" s="178">
        <v>0.79299999999999993</v>
      </c>
      <c r="BA125" s="178">
        <v>1.0649999999999999</v>
      </c>
      <c r="BB125" s="178">
        <v>2.319</v>
      </c>
      <c r="BC125" s="178">
        <v>0.69399999999999995</v>
      </c>
      <c r="BD125" s="179">
        <v>0.85</v>
      </c>
      <c r="BE125" s="179">
        <v>0.75</v>
      </c>
      <c r="BF125" s="179">
        <v>0.25</v>
      </c>
      <c r="BG125" s="179">
        <v>1.92</v>
      </c>
      <c r="BH125" s="179">
        <v>0.09</v>
      </c>
      <c r="BI125" s="179">
        <v>0.91</v>
      </c>
      <c r="BJ125" s="179">
        <v>0.54</v>
      </c>
      <c r="BK125" s="174"/>
      <c r="BL125" s="190"/>
      <c r="BM125" s="190"/>
    </row>
    <row r="126" spans="1:65" s="140" customFormat="1" ht="14.1" customHeight="1">
      <c r="A126" s="175" t="s">
        <v>422</v>
      </c>
      <c r="B126" s="266" t="s">
        <v>435</v>
      </c>
      <c r="C126" s="266" t="s">
        <v>559</v>
      </c>
      <c r="D126" s="266" t="s">
        <v>539</v>
      </c>
      <c r="E126" s="267" t="s">
        <v>269</v>
      </c>
      <c r="F126" s="267">
        <v>539</v>
      </c>
      <c r="G126" s="267">
        <v>22</v>
      </c>
      <c r="H126" s="267">
        <v>7</v>
      </c>
      <c r="I126" s="267">
        <v>25.3</v>
      </c>
      <c r="J126" s="267">
        <v>149</v>
      </c>
      <c r="K126" s="266" t="s">
        <v>570</v>
      </c>
      <c r="L126" s="267">
        <v>2019</v>
      </c>
      <c r="M126" s="267" t="s">
        <v>270</v>
      </c>
      <c r="N126" s="267">
        <v>4</v>
      </c>
      <c r="O126" s="267">
        <v>35</v>
      </c>
      <c r="P126" s="282" t="s">
        <v>639</v>
      </c>
      <c r="Q126" s="267">
        <v>-70.885000000000005</v>
      </c>
      <c r="R126" s="267">
        <v>40.097999999999999</v>
      </c>
      <c r="S126" s="267" t="s">
        <v>271</v>
      </c>
      <c r="T126" s="267">
        <v>25</v>
      </c>
      <c r="U126" s="266" t="s">
        <v>573</v>
      </c>
      <c r="V126" s="268">
        <v>2.9159999999999999</v>
      </c>
      <c r="W126" s="268">
        <v>0.14599999999999999</v>
      </c>
      <c r="X126" s="268">
        <v>0.45699999999999996</v>
      </c>
      <c r="Y126" s="178">
        <v>0.10100000000000001</v>
      </c>
      <c r="Z126" s="178">
        <v>0.03</v>
      </c>
      <c r="AA126" s="178">
        <v>0.08</v>
      </c>
      <c r="AB126" s="178">
        <v>5.0999999999999997E-2</v>
      </c>
      <c r="AC126" s="178">
        <v>0.13700000000000001</v>
      </c>
      <c r="AD126" s="178">
        <v>1.4E-2</v>
      </c>
      <c r="AE126" s="178">
        <v>1.121</v>
      </c>
      <c r="AF126" s="178">
        <v>0.14299999999999999</v>
      </c>
      <c r="AG126" s="178">
        <v>7.0000000000000001E-3</v>
      </c>
      <c r="AH126" s="178">
        <v>2.887</v>
      </c>
      <c r="AI126" s="178">
        <v>-8888</v>
      </c>
      <c r="AJ126" s="178">
        <v>2.9000000000000001E-2</v>
      </c>
      <c r="AK126" s="178">
        <v>0.14599999999999999</v>
      </c>
      <c r="AL126" s="178">
        <v>-8888</v>
      </c>
      <c r="AM126" s="178">
        <v>0.371</v>
      </c>
      <c r="AN126" s="178">
        <v>8.5999999999999993E-2</v>
      </c>
      <c r="AO126" s="178">
        <v>4.0000000000000001E-3</v>
      </c>
      <c r="AP126" s="178">
        <v>1.4999999999999999E-2</v>
      </c>
      <c r="AQ126" s="178">
        <v>1.7999999999999999E-2</v>
      </c>
      <c r="AR126" s="178">
        <v>2.5000000000000001E-2</v>
      </c>
      <c r="AS126" s="178">
        <v>1.7999999999999999E-2</v>
      </c>
      <c r="AT126" s="178">
        <v>3.9E-2</v>
      </c>
      <c r="AU126" s="178">
        <v>-8888</v>
      </c>
      <c r="AV126" s="178">
        <v>3.5189999999999997</v>
      </c>
      <c r="AW126" s="178">
        <v>0.31000000000000005</v>
      </c>
      <c r="AX126" s="178">
        <v>1.3740000000000001</v>
      </c>
      <c r="AY126" s="178">
        <v>4.8929999999999998</v>
      </c>
      <c r="AZ126" s="178">
        <v>1.6840000000000002</v>
      </c>
      <c r="BA126" s="178">
        <v>2.2869999999999999</v>
      </c>
      <c r="BB126" s="178">
        <v>5.2029999999999994</v>
      </c>
      <c r="BC126" s="178">
        <v>1.5780000000000001</v>
      </c>
      <c r="BD126" s="179">
        <v>0.78</v>
      </c>
      <c r="BE126" s="179">
        <v>0.82</v>
      </c>
      <c r="BF126" s="179">
        <v>0.18</v>
      </c>
      <c r="BG126" s="179">
        <v>2.09</v>
      </c>
      <c r="BH126" s="179">
        <v>0.06</v>
      </c>
      <c r="BI126" s="179">
        <v>0.94</v>
      </c>
      <c r="BJ126" s="179">
        <v>0.56000000000000005</v>
      </c>
      <c r="BK126" s="174"/>
      <c r="BL126" s="190"/>
      <c r="BM126" s="190"/>
    </row>
    <row r="127" spans="1:65" s="140" customFormat="1" ht="14.1" customHeight="1">
      <c r="A127" s="175" t="s">
        <v>423</v>
      </c>
      <c r="B127" s="266" t="s">
        <v>435</v>
      </c>
      <c r="C127" s="266" t="s">
        <v>560</v>
      </c>
      <c r="D127" s="266" t="s">
        <v>539</v>
      </c>
      <c r="E127" s="267" t="s">
        <v>269</v>
      </c>
      <c r="F127" s="267">
        <v>548</v>
      </c>
      <c r="G127" s="267">
        <v>22</v>
      </c>
      <c r="H127" s="267">
        <v>11</v>
      </c>
      <c r="I127" s="267">
        <v>2.5</v>
      </c>
      <c r="J127" s="267">
        <v>149</v>
      </c>
      <c r="K127" s="266" t="s">
        <v>570</v>
      </c>
      <c r="L127" s="267">
        <v>2019</v>
      </c>
      <c r="M127" s="267" t="s">
        <v>270</v>
      </c>
      <c r="N127" s="267">
        <v>4</v>
      </c>
      <c r="O127" s="267">
        <v>35</v>
      </c>
      <c r="P127" s="282" t="s">
        <v>639</v>
      </c>
      <c r="Q127" s="267">
        <v>-70.885000000000005</v>
      </c>
      <c r="R127" s="267">
        <v>40.097999999999999</v>
      </c>
      <c r="S127" s="267" t="s">
        <v>271</v>
      </c>
      <c r="T127" s="267">
        <v>25</v>
      </c>
      <c r="U127" s="266" t="s">
        <v>573</v>
      </c>
      <c r="V127" s="268">
        <v>1.8459999999999999</v>
      </c>
      <c r="W127" s="268">
        <v>0.14099999999999999</v>
      </c>
      <c r="X127" s="268">
        <v>0.30399999999999999</v>
      </c>
      <c r="Y127" s="178">
        <v>7.3999999999999996E-2</v>
      </c>
      <c r="Z127" s="178">
        <v>3.3000000000000002E-2</v>
      </c>
      <c r="AA127" s="178">
        <v>6.7000000000000004E-2</v>
      </c>
      <c r="AB127" s="178">
        <v>0.06</v>
      </c>
      <c r="AC127" s="178">
        <v>0.10100000000000001</v>
      </c>
      <c r="AD127" s="178">
        <v>1.4999999999999999E-2</v>
      </c>
      <c r="AE127" s="178">
        <v>0.59099999999999997</v>
      </c>
      <c r="AF127" s="178">
        <v>0.126</v>
      </c>
      <c r="AG127" s="178">
        <v>8.0000000000000002E-3</v>
      </c>
      <c r="AH127" s="178">
        <v>1.833</v>
      </c>
      <c r="AI127" s="178">
        <v>-8888</v>
      </c>
      <c r="AJ127" s="178">
        <v>1.2999999999999999E-2</v>
      </c>
      <c r="AK127" s="178">
        <v>0.14099999999999999</v>
      </c>
      <c r="AL127" s="178">
        <v>-8888</v>
      </c>
      <c r="AM127" s="178">
        <v>0.23100000000000001</v>
      </c>
      <c r="AN127" s="178">
        <v>7.2999999999999995E-2</v>
      </c>
      <c r="AO127" s="178">
        <v>5.0000000000000001E-3</v>
      </c>
      <c r="AP127" s="178">
        <v>1.4999999999999999E-2</v>
      </c>
      <c r="AQ127" s="178">
        <v>1.9E-2</v>
      </c>
      <c r="AR127" s="178">
        <v>1.7000000000000001E-2</v>
      </c>
      <c r="AS127" s="178">
        <v>1.7999999999999999E-2</v>
      </c>
      <c r="AT127" s="178">
        <v>3.4000000000000002E-2</v>
      </c>
      <c r="AU127" s="178">
        <v>-8888</v>
      </c>
      <c r="AV127" s="178">
        <v>2.2909999999999999</v>
      </c>
      <c r="AW127" s="178">
        <v>0.25800000000000001</v>
      </c>
      <c r="AX127" s="178">
        <v>0.81700000000000006</v>
      </c>
      <c r="AY127" s="178">
        <v>3.1080000000000001</v>
      </c>
      <c r="AZ127" s="178">
        <v>1.0750000000000002</v>
      </c>
      <c r="BA127" s="178">
        <v>1.5200000000000002</v>
      </c>
      <c r="BB127" s="178">
        <v>3.3660000000000001</v>
      </c>
      <c r="BC127" s="178">
        <v>1.026</v>
      </c>
      <c r="BD127" s="179">
        <v>0.82</v>
      </c>
      <c r="BE127" s="179">
        <v>0.76</v>
      </c>
      <c r="BF127" s="179">
        <v>0.24</v>
      </c>
      <c r="BG127" s="179">
        <v>2.13</v>
      </c>
      <c r="BH127" s="179">
        <v>0.08</v>
      </c>
      <c r="BI127" s="179">
        <v>0.92</v>
      </c>
      <c r="BJ127" s="179">
        <v>0.55000000000000004</v>
      </c>
      <c r="BK127" s="174"/>
      <c r="BL127" s="190"/>
      <c r="BM127" s="190"/>
    </row>
    <row r="128" spans="1:65" s="140" customFormat="1" ht="14.1" customHeight="1">
      <c r="A128" s="175" t="s">
        <v>424</v>
      </c>
      <c r="B128" s="266" t="s">
        <v>435</v>
      </c>
      <c r="C128" s="266" t="s">
        <v>561</v>
      </c>
      <c r="D128" s="266" t="s">
        <v>539</v>
      </c>
      <c r="E128" s="267" t="s">
        <v>269</v>
      </c>
      <c r="F128" s="267">
        <v>539</v>
      </c>
      <c r="G128" s="267">
        <v>24</v>
      </c>
      <c r="H128" s="267">
        <v>6</v>
      </c>
      <c r="I128" s="267">
        <v>19.8</v>
      </c>
      <c r="J128" s="267">
        <v>442</v>
      </c>
      <c r="K128" s="266" t="s">
        <v>570</v>
      </c>
      <c r="L128" s="267">
        <v>2019</v>
      </c>
      <c r="M128" s="267" t="s">
        <v>270</v>
      </c>
      <c r="N128" s="267">
        <v>4</v>
      </c>
      <c r="O128" s="267">
        <v>35</v>
      </c>
      <c r="P128" s="282" t="s">
        <v>640</v>
      </c>
      <c r="Q128" s="267">
        <v>-70.882999999999996</v>
      </c>
      <c r="R128" s="267">
        <v>39.94</v>
      </c>
      <c r="S128" s="267" t="s">
        <v>271</v>
      </c>
      <c r="T128" s="267">
        <v>25</v>
      </c>
      <c r="U128" s="266" t="s">
        <v>573</v>
      </c>
      <c r="V128" s="268">
        <v>3.0609999999999999</v>
      </c>
      <c r="W128" s="268">
        <v>0.14000000000000001</v>
      </c>
      <c r="X128" s="268">
        <v>0.46900000000000003</v>
      </c>
      <c r="Y128" s="178">
        <v>0.11</v>
      </c>
      <c r="Z128" s="178">
        <v>2.8000000000000001E-2</v>
      </c>
      <c r="AA128" s="178">
        <v>7.3999999999999996E-2</v>
      </c>
      <c r="AB128" s="178">
        <v>6.0999999999999999E-2</v>
      </c>
      <c r="AC128" s="178">
        <v>0.157</v>
      </c>
      <c r="AD128" s="178">
        <v>2.1000000000000001E-2</v>
      </c>
      <c r="AE128" s="178">
        <v>1.1639999999999999</v>
      </c>
      <c r="AF128" s="178">
        <v>0.129</v>
      </c>
      <c r="AG128" s="178">
        <v>8.0000000000000002E-3</v>
      </c>
      <c r="AH128" s="178">
        <v>3.0350000000000001</v>
      </c>
      <c r="AI128" s="178">
        <v>-8888</v>
      </c>
      <c r="AJ128" s="178">
        <v>2.5999999999999999E-2</v>
      </c>
      <c r="AK128" s="178">
        <v>0.14000000000000001</v>
      </c>
      <c r="AL128" s="178">
        <v>-8888</v>
      </c>
      <c r="AM128" s="178">
        <v>0.39600000000000002</v>
      </c>
      <c r="AN128" s="178">
        <v>7.2999999999999995E-2</v>
      </c>
      <c r="AO128" s="178">
        <v>6.0000000000000001E-3</v>
      </c>
      <c r="AP128" s="178">
        <v>1.6E-2</v>
      </c>
      <c r="AQ128" s="178">
        <v>2.1999999999999999E-2</v>
      </c>
      <c r="AR128" s="178">
        <v>0.03</v>
      </c>
      <c r="AS128" s="178">
        <v>2.3E-2</v>
      </c>
      <c r="AT128" s="178">
        <v>3.5999999999999997E-2</v>
      </c>
      <c r="AU128" s="178">
        <v>-8888</v>
      </c>
      <c r="AV128" s="178">
        <v>3.67</v>
      </c>
      <c r="AW128" s="178">
        <v>0.35699999999999998</v>
      </c>
      <c r="AX128" s="178">
        <v>1.395</v>
      </c>
      <c r="AY128" s="178">
        <v>5.0649999999999995</v>
      </c>
      <c r="AZ128" s="178">
        <v>1.752</v>
      </c>
      <c r="BA128" s="178">
        <v>2.3609999999999998</v>
      </c>
      <c r="BB128" s="178">
        <v>5.4219999999999997</v>
      </c>
      <c r="BC128" s="178">
        <v>1.6040000000000001</v>
      </c>
      <c r="BD128" s="179">
        <v>0.77</v>
      </c>
      <c r="BE128" s="179">
        <v>0.8</v>
      </c>
      <c r="BF128" s="179">
        <v>0.2</v>
      </c>
      <c r="BG128" s="179">
        <v>2.09</v>
      </c>
      <c r="BH128" s="179">
        <v>7.0000000000000007E-2</v>
      </c>
      <c r="BI128" s="179">
        <v>0.93</v>
      </c>
      <c r="BJ128" s="179">
        <v>0.56000000000000005</v>
      </c>
      <c r="BK128" s="174"/>
      <c r="BL128" s="190"/>
      <c r="BM128" s="190"/>
    </row>
    <row r="129" spans="1:65" s="140" customFormat="1" ht="14.1" customHeight="1">
      <c r="A129" s="175" t="s">
        <v>425</v>
      </c>
      <c r="B129" s="266" t="s">
        <v>435</v>
      </c>
      <c r="C129" s="266" t="s">
        <v>562</v>
      </c>
      <c r="D129" s="266" t="s">
        <v>539</v>
      </c>
      <c r="E129" s="267" t="s">
        <v>269</v>
      </c>
      <c r="F129" s="267">
        <v>548</v>
      </c>
      <c r="G129" s="267">
        <v>24</v>
      </c>
      <c r="H129" s="267">
        <v>9</v>
      </c>
      <c r="I129" s="267">
        <v>4.9000000000000004</v>
      </c>
      <c r="J129" s="267">
        <v>442</v>
      </c>
      <c r="K129" s="266" t="s">
        <v>570</v>
      </c>
      <c r="L129" s="267">
        <v>2019</v>
      </c>
      <c r="M129" s="267" t="s">
        <v>270</v>
      </c>
      <c r="N129" s="267">
        <v>4</v>
      </c>
      <c r="O129" s="267">
        <v>35</v>
      </c>
      <c r="P129" s="282" t="s">
        <v>640</v>
      </c>
      <c r="Q129" s="267">
        <v>-70.882999999999996</v>
      </c>
      <c r="R129" s="267">
        <v>39.94</v>
      </c>
      <c r="S129" s="267" t="s">
        <v>271</v>
      </c>
      <c r="T129" s="267">
        <v>25</v>
      </c>
      <c r="U129" s="266" t="s">
        <v>573</v>
      </c>
      <c r="V129" s="268">
        <v>2.7570000000000001</v>
      </c>
      <c r="W129" s="268">
        <v>0.13500000000000001</v>
      </c>
      <c r="X129" s="268">
        <v>0.42799999999999999</v>
      </c>
      <c r="Y129" s="178">
        <v>0.1</v>
      </c>
      <c r="Z129" s="178">
        <v>2.8000000000000001E-2</v>
      </c>
      <c r="AA129" s="178">
        <v>7.2999999999999995E-2</v>
      </c>
      <c r="AB129" s="178">
        <v>0.06</v>
      </c>
      <c r="AC129" s="178">
        <v>0.14599999999999999</v>
      </c>
      <c r="AD129" s="178">
        <v>0.02</v>
      </c>
      <c r="AE129" s="178">
        <v>1</v>
      </c>
      <c r="AF129" s="178">
        <v>0.14799999999999999</v>
      </c>
      <c r="AG129" s="178">
        <v>8.0000000000000002E-3</v>
      </c>
      <c r="AH129" s="178">
        <v>2.74</v>
      </c>
      <c r="AI129" s="178">
        <v>-8888</v>
      </c>
      <c r="AJ129" s="178">
        <v>1.7000000000000001E-2</v>
      </c>
      <c r="AK129" s="178">
        <v>0.13500000000000001</v>
      </c>
      <c r="AL129" s="178">
        <v>-8888</v>
      </c>
      <c r="AM129" s="178">
        <v>0.35099999999999998</v>
      </c>
      <c r="AN129" s="178">
        <v>7.6999999999999999E-2</v>
      </c>
      <c r="AO129" s="178">
        <v>5.0000000000000001E-3</v>
      </c>
      <c r="AP129" s="178">
        <v>1.4999999999999999E-2</v>
      </c>
      <c r="AQ129" s="178">
        <v>1.9E-2</v>
      </c>
      <c r="AR129" s="178">
        <v>2.7E-2</v>
      </c>
      <c r="AS129" s="178">
        <v>2.4E-2</v>
      </c>
      <c r="AT129" s="178">
        <v>3.5000000000000003E-2</v>
      </c>
      <c r="AU129" s="178">
        <v>-8888</v>
      </c>
      <c r="AV129" s="178">
        <v>3.3200000000000003</v>
      </c>
      <c r="AW129" s="178">
        <v>0.33399999999999996</v>
      </c>
      <c r="AX129" s="178">
        <v>1.2489999999999999</v>
      </c>
      <c r="AY129" s="178">
        <v>4.569</v>
      </c>
      <c r="AZ129" s="178">
        <v>1.5829999999999997</v>
      </c>
      <c r="BA129" s="178">
        <v>2.1459999999999999</v>
      </c>
      <c r="BB129" s="178">
        <v>4.9030000000000005</v>
      </c>
      <c r="BC129" s="178">
        <v>1.452</v>
      </c>
      <c r="BD129" s="179">
        <v>0.78</v>
      </c>
      <c r="BE129" s="179">
        <v>0.79</v>
      </c>
      <c r="BF129" s="179">
        <v>0.21</v>
      </c>
      <c r="BG129" s="179">
        <v>2.1</v>
      </c>
      <c r="BH129" s="179">
        <v>7.0000000000000007E-2</v>
      </c>
      <c r="BI129" s="179">
        <v>0.93</v>
      </c>
      <c r="BJ129" s="179">
        <v>0.56000000000000005</v>
      </c>
      <c r="BK129" s="174"/>
      <c r="BL129" s="190"/>
      <c r="BM129" s="190"/>
    </row>
    <row r="130" spans="1:65" s="140" customFormat="1" ht="14.1" customHeight="1">
      <c r="A130" s="175" t="s">
        <v>426</v>
      </c>
      <c r="B130" s="266" t="s">
        <v>435</v>
      </c>
      <c r="C130" s="266" t="s">
        <v>563</v>
      </c>
      <c r="D130" s="266" t="s">
        <v>539</v>
      </c>
      <c r="E130" s="267" t="s">
        <v>269</v>
      </c>
      <c r="F130" s="267">
        <v>539</v>
      </c>
      <c r="G130" s="267">
        <v>26</v>
      </c>
      <c r="H130" s="267">
        <v>7</v>
      </c>
      <c r="I130" s="267">
        <v>30</v>
      </c>
      <c r="J130" s="267">
        <v>500</v>
      </c>
      <c r="K130" s="266" t="s">
        <v>570</v>
      </c>
      <c r="L130" s="267">
        <v>2019</v>
      </c>
      <c r="M130" s="267" t="s">
        <v>270</v>
      </c>
      <c r="N130" s="267">
        <v>4</v>
      </c>
      <c r="O130" s="267">
        <v>35</v>
      </c>
      <c r="P130" s="282" t="s">
        <v>641</v>
      </c>
      <c r="Q130" s="267">
        <v>-70.882999999999996</v>
      </c>
      <c r="R130" s="267">
        <v>39.774999999999999</v>
      </c>
      <c r="S130" s="267" t="s">
        <v>271</v>
      </c>
      <c r="T130" s="267">
        <v>25</v>
      </c>
      <c r="U130" s="266" t="s">
        <v>573</v>
      </c>
      <c r="V130" s="268">
        <v>3.044</v>
      </c>
      <c r="W130" s="268">
        <v>0.16400000000000001</v>
      </c>
      <c r="X130" s="268">
        <v>0.48</v>
      </c>
      <c r="Y130" s="178">
        <v>0.11600000000000001</v>
      </c>
      <c r="Z130" s="178">
        <v>3.2000000000000001E-2</v>
      </c>
      <c r="AA130" s="178">
        <v>9.2999999999999999E-2</v>
      </c>
      <c r="AB130" s="178">
        <v>7.0999999999999994E-2</v>
      </c>
      <c r="AC130" s="178">
        <v>0.13900000000000001</v>
      </c>
      <c r="AD130" s="178">
        <v>0.01</v>
      </c>
      <c r="AE130" s="178">
        <v>1.1200000000000001</v>
      </c>
      <c r="AF130" s="178">
        <v>0.16600000000000001</v>
      </c>
      <c r="AG130" s="178">
        <v>8.0000000000000002E-3</v>
      </c>
      <c r="AH130" s="178">
        <v>3.0129999999999999</v>
      </c>
      <c r="AI130" s="178">
        <v>-8888</v>
      </c>
      <c r="AJ130" s="178">
        <v>3.1E-2</v>
      </c>
      <c r="AK130" s="178">
        <v>0.16400000000000001</v>
      </c>
      <c r="AL130" s="178">
        <v>-8888</v>
      </c>
      <c r="AM130" s="178">
        <v>0.38300000000000001</v>
      </c>
      <c r="AN130" s="178">
        <v>9.7000000000000003E-2</v>
      </c>
      <c r="AO130" s="178">
        <v>6.0000000000000001E-3</v>
      </c>
      <c r="AP130" s="178">
        <v>1.7000000000000001E-2</v>
      </c>
      <c r="AQ130" s="178">
        <v>2.4E-2</v>
      </c>
      <c r="AR130" s="178">
        <v>2.5000000000000001E-2</v>
      </c>
      <c r="AS130" s="178">
        <v>0.02</v>
      </c>
      <c r="AT130" s="178">
        <v>4.1000000000000002E-2</v>
      </c>
      <c r="AU130" s="178">
        <v>-8888</v>
      </c>
      <c r="AV130" s="178">
        <v>3.6880000000000002</v>
      </c>
      <c r="AW130" s="178">
        <v>0.34400000000000003</v>
      </c>
      <c r="AX130" s="178">
        <v>1.411</v>
      </c>
      <c r="AY130" s="178">
        <v>5.0990000000000002</v>
      </c>
      <c r="AZ130" s="178">
        <v>1.7550000000000001</v>
      </c>
      <c r="BA130" s="178">
        <v>2.399</v>
      </c>
      <c r="BB130" s="178">
        <v>5.4429999999999996</v>
      </c>
      <c r="BC130" s="178">
        <v>1.6539999999999999</v>
      </c>
      <c r="BD130" s="179">
        <v>0.79</v>
      </c>
      <c r="BE130" s="179">
        <v>0.8</v>
      </c>
      <c r="BF130" s="179">
        <v>0.2</v>
      </c>
      <c r="BG130" s="179">
        <v>2.1</v>
      </c>
      <c r="BH130" s="179">
        <v>0.06</v>
      </c>
      <c r="BI130" s="179">
        <v>0.94</v>
      </c>
      <c r="BJ130" s="179">
        <v>0.56000000000000005</v>
      </c>
      <c r="BK130" s="174"/>
      <c r="BL130" s="190"/>
      <c r="BM130" s="190"/>
    </row>
    <row r="131" spans="1:65" s="140" customFormat="1" ht="14.1" customHeight="1">
      <c r="A131" s="175" t="s">
        <v>427</v>
      </c>
      <c r="B131" s="266" t="s">
        <v>435</v>
      </c>
      <c r="C131" s="266" t="s">
        <v>564</v>
      </c>
      <c r="D131" s="266" t="s">
        <v>539</v>
      </c>
      <c r="E131" s="267" t="s">
        <v>269</v>
      </c>
      <c r="F131" s="267">
        <v>548</v>
      </c>
      <c r="G131" s="267">
        <v>26</v>
      </c>
      <c r="H131" s="267">
        <v>11</v>
      </c>
      <c r="I131" s="267">
        <v>5.0999999999999996</v>
      </c>
      <c r="J131" s="267">
        <v>500</v>
      </c>
      <c r="K131" s="266" t="s">
        <v>570</v>
      </c>
      <c r="L131" s="267">
        <v>2019</v>
      </c>
      <c r="M131" s="267" t="s">
        <v>270</v>
      </c>
      <c r="N131" s="267">
        <v>4</v>
      </c>
      <c r="O131" s="267">
        <v>35</v>
      </c>
      <c r="P131" s="282" t="s">
        <v>641</v>
      </c>
      <c r="Q131" s="267">
        <v>-70.882999999999996</v>
      </c>
      <c r="R131" s="267">
        <v>39.774999999999999</v>
      </c>
      <c r="S131" s="267" t="s">
        <v>271</v>
      </c>
      <c r="T131" s="267">
        <v>25</v>
      </c>
      <c r="U131" s="266" t="s">
        <v>573</v>
      </c>
      <c r="V131" s="268">
        <v>4.7110000000000003</v>
      </c>
      <c r="W131" s="268">
        <v>0.182</v>
      </c>
      <c r="X131" s="268">
        <v>0.70399999999999996</v>
      </c>
      <c r="Y131" s="178">
        <v>0.14599999999999999</v>
      </c>
      <c r="Z131" s="178">
        <v>3.3000000000000002E-2</v>
      </c>
      <c r="AA131" s="178">
        <v>0.08</v>
      </c>
      <c r="AB131" s="178">
        <v>6.7000000000000004E-2</v>
      </c>
      <c r="AC131" s="178">
        <v>0.224</v>
      </c>
      <c r="AD131" s="178">
        <v>1.4E-2</v>
      </c>
      <c r="AE131" s="178">
        <v>2.09</v>
      </c>
      <c r="AF131" s="178">
        <v>0.17699999999999999</v>
      </c>
      <c r="AG131" s="178">
        <v>6.0000000000000001E-3</v>
      </c>
      <c r="AH131" s="178">
        <v>4.67</v>
      </c>
      <c r="AI131" s="178">
        <v>-8888</v>
      </c>
      <c r="AJ131" s="178">
        <v>4.1000000000000002E-2</v>
      </c>
      <c r="AK131" s="178">
        <v>0.182</v>
      </c>
      <c r="AL131" s="178">
        <v>-8888</v>
      </c>
      <c r="AM131" s="178">
        <v>0.60499999999999998</v>
      </c>
      <c r="AN131" s="178">
        <v>9.9000000000000005E-2</v>
      </c>
      <c r="AO131" s="178">
        <v>5.0000000000000001E-3</v>
      </c>
      <c r="AP131" s="178">
        <v>1.7999999999999999E-2</v>
      </c>
      <c r="AQ131" s="178">
        <v>2.4E-2</v>
      </c>
      <c r="AR131" s="178">
        <v>5.5E-2</v>
      </c>
      <c r="AS131" s="178">
        <v>3.1E-2</v>
      </c>
      <c r="AT131" s="178">
        <v>4.4999999999999998E-2</v>
      </c>
      <c r="AU131" s="178">
        <v>-8888</v>
      </c>
      <c r="AV131" s="178">
        <v>5.5970000000000004</v>
      </c>
      <c r="AW131" s="178">
        <v>0.45700000000000007</v>
      </c>
      <c r="AX131" s="178">
        <v>2.38</v>
      </c>
      <c r="AY131" s="178">
        <v>7.9770000000000003</v>
      </c>
      <c r="AZ131" s="178">
        <v>2.8369999999999997</v>
      </c>
      <c r="BA131" s="178">
        <v>3.7229999999999999</v>
      </c>
      <c r="BB131" s="178">
        <v>8.4340000000000011</v>
      </c>
      <c r="BC131" s="178">
        <v>2.6349999999999998</v>
      </c>
      <c r="BD131" s="179">
        <v>0.79</v>
      </c>
      <c r="BE131" s="179">
        <v>0.84</v>
      </c>
      <c r="BF131" s="179">
        <v>0.16</v>
      </c>
      <c r="BG131" s="179">
        <v>1.97</v>
      </c>
      <c r="BH131" s="179">
        <v>0.05</v>
      </c>
      <c r="BI131" s="179">
        <v>0.95</v>
      </c>
      <c r="BJ131" s="179">
        <v>0.56000000000000005</v>
      </c>
      <c r="BK131" s="174"/>
      <c r="BL131" s="190"/>
      <c r="BM131" s="190"/>
    </row>
    <row r="132" spans="1:65" s="140" customFormat="1" ht="14.1" customHeight="1">
      <c r="A132" s="175" t="s">
        <v>428</v>
      </c>
      <c r="B132" s="266" t="s">
        <v>435</v>
      </c>
      <c r="C132" s="266" t="s">
        <v>565</v>
      </c>
      <c r="D132" s="266" t="s">
        <v>539</v>
      </c>
      <c r="E132" s="267" t="s">
        <v>269</v>
      </c>
      <c r="F132" s="267">
        <v>539</v>
      </c>
      <c r="G132" s="267">
        <v>29</v>
      </c>
      <c r="H132" s="267">
        <v>6</v>
      </c>
      <c r="I132" s="267">
        <v>70.2</v>
      </c>
      <c r="J132" s="267">
        <v>1680</v>
      </c>
      <c r="K132" s="266" t="s">
        <v>570</v>
      </c>
      <c r="L132" s="267">
        <v>2019</v>
      </c>
      <c r="M132" s="267" t="s">
        <v>270</v>
      </c>
      <c r="N132" s="267">
        <v>5</v>
      </c>
      <c r="O132" s="267">
        <v>36</v>
      </c>
      <c r="P132" s="282" t="s">
        <v>642</v>
      </c>
      <c r="Q132" s="267">
        <v>-70.522000000000006</v>
      </c>
      <c r="R132" s="267">
        <v>39.774999999999999</v>
      </c>
      <c r="S132" s="267" t="s">
        <v>271</v>
      </c>
      <c r="T132" s="267">
        <v>25</v>
      </c>
      <c r="U132" s="266" t="s">
        <v>573</v>
      </c>
      <c r="V132" s="268">
        <v>0.83799999999999997</v>
      </c>
      <c r="W132" s="268">
        <v>5.6000000000000001E-2</v>
      </c>
      <c r="X132" s="268">
        <v>0.14299999999999999</v>
      </c>
      <c r="Y132" s="178">
        <v>3.1E-2</v>
      </c>
      <c r="Z132" s="178">
        <v>2.5999999999999999E-2</v>
      </c>
      <c r="AA132" s="178">
        <v>4.2999999999999997E-2</v>
      </c>
      <c r="AB132" s="178">
        <v>0.01</v>
      </c>
      <c r="AC132" s="178">
        <v>0.03</v>
      </c>
      <c r="AD132" s="178">
        <v>2E-3</v>
      </c>
      <c r="AE132" s="178">
        <v>0.34200000000000003</v>
      </c>
      <c r="AF132" s="178">
        <v>1.4999999999999999E-2</v>
      </c>
      <c r="AG132" s="178">
        <v>3.0000000000000001E-3</v>
      </c>
      <c r="AH132" s="178">
        <v>0.83299999999999996</v>
      </c>
      <c r="AI132" s="178">
        <v>-8888</v>
      </c>
      <c r="AJ132" s="178">
        <v>5.0000000000000001E-3</v>
      </c>
      <c r="AK132" s="178">
        <v>5.6000000000000001E-2</v>
      </c>
      <c r="AL132" s="178">
        <v>-8888</v>
      </c>
      <c r="AM132" s="178">
        <v>0.10299999999999999</v>
      </c>
      <c r="AN132" s="178">
        <v>0.04</v>
      </c>
      <c r="AO132" s="178">
        <v>-8888</v>
      </c>
      <c r="AP132" s="178">
        <v>6.0000000000000001E-3</v>
      </c>
      <c r="AQ132" s="178">
        <v>4.0000000000000001E-3</v>
      </c>
      <c r="AR132" s="178">
        <v>1.2E-2</v>
      </c>
      <c r="AS132" s="178">
        <v>2.9000000000000001E-2</v>
      </c>
      <c r="AT132" s="178">
        <v>1.4E-2</v>
      </c>
      <c r="AU132" s="178">
        <v>-8888</v>
      </c>
      <c r="AV132" s="178">
        <v>1.0369999999999999</v>
      </c>
      <c r="AW132" s="178">
        <v>7.6000000000000012E-2</v>
      </c>
      <c r="AX132" s="178">
        <v>0.42600000000000005</v>
      </c>
      <c r="AY132" s="178">
        <v>1.4630000000000001</v>
      </c>
      <c r="AZ132" s="178">
        <v>0.502</v>
      </c>
      <c r="BA132" s="178">
        <v>0.70100000000000007</v>
      </c>
      <c r="BB132" s="178">
        <v>1.5390000000000001</v>
      </c>
      <c r="BC132" s="178">
        <v>0.49500000000000005</v>
      </c>
      <c r="BD132" s="179">
        <v>0.84</v>
      </c>
      <c r="BE132" s="179">
        <v>0.85</v>
      </c>
      <c r="BF132" s="179">
        <v>0.15</v>
      </c>
      <c r="BG132" s="179">
        <v>2.0699999999999998</v>
      </c>
      <c r="BH132" s="179">
        <v>0.05</v>
      </c>
      <c r="BI132" s="179">
        <v>0.95</v>
      </c>
      <c r="BJ132" s="179">
        <v>0.54</v>
      </c>
      <c r="BK132" s="174"/>
      <c r="BL132" s="190"/>
      <c r="BM132" s="190"/>
    </row>
    <row r="133" spans="1:65" s="140" customFormat="1" ht="14.1" customHeight="1">
      <c r="A133" s="175" t="s">
        <v>429</v>
      </c>
      <c r="B133" s="266" t="s">
        <v>435</v>
      </c>
      <c r="C133" s="266" t="s">
        <v>566</v>
      </c>
      <c r="D133" s="266" t="s">
        <v>539</v>
      </c>
      <c r="E133" s="267" t="s">
        <v>269</v>
      </c>
      <c r="F133" s="267">
        <v>547</v>
      </c>
      <c r="G133" s="267">
        <v>29</v>
      </c>
      <c r="H133" s="267">
        <v>10</v>
      </c>
      <c r="I133" s="267">
        <v>1.8</v>
      </c>
      <c r="J133" s="267">
        <v>1680</v>
      </c>
      <c r="K133" s="266" t="s">
        <v>570</v>
      </c>
      <c r="L133" s="267">
        <v>2019</v>
      </c>
      <c r="M133" s="267" t="s">
        <v>270</v>
      </c>
      <c r="N133" s="267">
        <v>5</v>
      </c>
      <c r="O133" s="267">
        <v>36</v>
      </c>
      <c r="P133" s="282" t="s">
        <v>642</v>
      </c>
      <c r="Q133" s="267">
        <v>-70.522000000000006</v>
      </c>
      <c r="R133" s="267">
        <v>39.774999999999999</v>
      </c>
      <c r="S133" s="267" t="s">
        <v>271</v>
      </c>
      <c r="T133" s="267">
        <v>25</v>
      </c>
      <c r="U133" s="266" t="s">
        <v>573</v>
      </c>
      <c r="V133" s="268">
        <v>0.41100000000000003</v>
      </c>
      <c r="W133" s="268">
        <v>6.6000000000000003E-2</v>
      </c>
      <c r="X133" s="268">
        <v>9.2999999999999999E-2</v>
      </c>
      <c r="Y133" s="178">
        <v>1.7000000000000001E-2</v>
      </c>
      <c r="Z133" s="178">
        <v>3.7999999999999999E-2</v>
      </c>
      <c r="AA133" s="178">
        <v>5.8000000000000003E-2</v>
      </c>
      <c r="AB133" s="178">
        <v>8.9999999999999993E-3</v>
      </c>
      <c r="AC133" s="178">
        <v>1.2E-2</v>
      </c>
      <c r="AD133" s="178">
        <v>2E-3</v>
      </c>
      <c r="AE133" s="178">
        <v>0.1</v>
      </c>
      <c r="AF133" s="178">
        <v>4.0000000000000001E-3</v>
      </c>
      <c r="AG133" s="178">
        <v>3.0000000000000001E-3</v>
      </c>
      <c r="AH133" s="178">
        <v>0.40600000000000003</v>
      </c>
      <c r="AI133" s="178">
        <v>-8888</v>
      </c>
      <c r="AJ133" s="178">
        <v>5.0000000000000001E-3</v>
      </c>
      <c r="AK133" s="178">
        <v>6.6000000000000003E-2</v>
      </c>
      <c r="AL133" s="178">
        <v>-8888</v>
      </c>
      <c r="AM133" s="178">
        <v>4.7E-2</v>
      </c>
      <c r="AN133" s="178">
        <v>4.5999999999999999E-2</v>
      </c>
      <c r="AO133" s="178">
        <v>-8888</v>
      </c>
      <c r="AP133" s="178">
        <v>7.0000000000000001E-3</v>
      </c>
      <c r="AQ133" s="178">
        <v>4.0000000000000001E-3</v>
      </c>
      <c r="AR133" s="178">
        <v>7.0000000000000001E-3</v>
      </c>
      <c r="AS133" s="178">
        <v>0.02</v>
      </c>
      <c r="AT133" s="178">
        <v>1.7000000000000001E-2</v>
      </c>
      <c r="AU133" s="178">
        <v>-8888</v>
      </c>
      <c r="AV133" s="178">
        <v>0.57000000000000006</v>
      </c>
      <c r="AW133" s="178">
        <v>4.2999999999999997E-2</v>
      </c>
      <c r="AX133" s="178">
        <v>0.2</v>
      </c>
      <c r="AY133" s="178">
        <v>0.77</v>
      </c>
      <c r="AZ133" s="178">
        <v>0.24299999999999999</v>
      </c>
      <c r="BA133" s="178">
        <v>0.40200000000000002</v>
      </c>
      <c r="BB133" s="178">
        <v>0.81300000000000006</v>
      </c>
      <c r="BC133" s="178">
        <v>0.27800000000000002</v>
      </c>
      <c r="BD133" s="179">
        <v>0.98</v>
      </c>
      <c r="BE133" s="179">
        <v>0.82</v>
      </c>
      <c r="BF133" s="179">
        <v>0.18</v>
      </c>
      <c r="BG133" s="179">
        <v>2.35</v>
      </c>
      <c r="BH133" s="179">
        <v>0.05</v>
      </c>
      <c r="BI133" s="179">
        <v>0.95</v>
      </c>
      <c r="BJ133" s="179">
        <v>0.51</v>
      </c>
      <c r="BK133" s="174"/>
      <c r="BL133" s="190"/>
      <c r="BM133" s="190"/>
    </row>
    <row r="134" spans="1:65" s="140" customFormat="1" ht="14.1" customHeight="1">
      <c r="A134" s="175" t="s">
        <v>430</v>
      </c>
      <c r="B134" s="266" t="s">
        <v>435</v>
      </c>
      <c r="C134" s="266" t="s">
        <v>567</v>
      </c>
      <c r="D134" s="266" t="s">
        <v>539</v>
      </c>
      <c r="E134" s="267" t="s">
        <v>269</v>
      </c>
      <c r="F134" s="267">
        <v>532</v>
      </c>
      <c r="G134" s="267">
        <v>45</v>
      </c>
      <c r="H134" s="267">
        <v>1</v>
      </c>
      <c r="I134" s="267">
        <v>14.6</v>
      </c>
      <c r="J134" s="267">
        <v>17</v>
      </c>
      <c r="K134" s="266" t="s">
        <v>570</v>
      </c>
      <c r="L134" s="267">
        <v>2019</v>
      </c>
      <c r="M134" s="267" t="s">
        <v>270</v>
      </c>
      <c r="N134" s="267">
        <v>6</v>
      </c>
      <c r="O134" s="267">
        <v>37</v>
      </c>
      <c r="P134" s="282" t="s">
        <v>644</v>
      </c>
      <c r="Q134" s="267">
        <v>-70.572000000000003</v>
      </c>
      <c r="R134" s="267">
        <v>41.32</v>
      </c>
      <c r="S134" s="267" t="s">
        <v>271</v>
      </c>
      <c r="T134" s="267">
        <v>25</v>
      </c>
      <c r="U134" s="266" t="s">
        <v>573</v>
      </c>
      <c r="V134" s="268">
        <v>3.778</v>
      </c>
      <c r="W134" s="268">
        <v>7.6999999999999999E-2</v>
      </c>
      <c r="X134" s="268">
        <v>0.433</v>
      </c>
      <c r="Y134" s="178">
        <v>0.122</v>
      </c>
      <c r="Z134" s="178">
        <v>-8888</v>
      </c>
      <c r="AA134" s="178">
        <v>-8888</v>
      </c>
      <c r="AB134" s="178">
        <v>8.7999999999999995E-2</v>
      </c>
      <c r="AC134" s="178">
        <v>0.23300000000000001</v>
      </c>
      <c r="AD134" s="178">
        <v>0.04</v>
      </c>
      <c r="AE134" s="178">
        <v>1.57</v>
      </c>
      <c r="AF134" s="178">
        <v>2.5999999999999999E-2</v>
      </c>
      <c r="AG134" s="178">
        <v>7.0000000000000001E-3</v>
      </c>
      <c r="AH134" s="178">
        <v>3.7130000000000001</v>
      </c>
      <c r="AI134" s="178">
        <v>-8888</v>
      </c>
      <c r="AJ134" s="178">
        <v>6.5000000000000002E-2</v>
      </c>
      <c r="AK134" s="178">
        <v>7.6999999999999999E-2</v>
      </c>
      <c r="AL134" s="178">
        <v>-8888</v>
      </c>
      <c r="AM134" s="178">
        <v>0.41399999999999998</v>
      </c>
      <c r="AN134" s="178">
        <v>1.9E-2</v>
      </c>
      <c r="AO134" s="178">
        <v>4.0000000000000001E-3</v>
      </c>
      <c r="AP134" s="178">
        <v>0.01</v>
      </c>
      <c r="AQ134" s="178">
        <v>1.4999999999999999E-2</v>
      </c>
      <c r="AR134" s="178">
        <v>7.0999999999999994E-2</v>
      </c>
      <c r="AS134" s="178">
        <v>0.26900000000000002</v>
      </c>
      <c r="AT134" s="178">
        <v>1.9E-2</v>
      </c>
      <c r="AU134" s="178">
        <v>-8888</v>
      </c>
      <c r="AV134" s="178">
        <v>4.2880000000000003</v>
      </c>
      <c r="AW134" s="178">
        <v>0.49</v>
      </c>
      <c r="AX134" s="178">
        <v>1.5960000000000001</v>
      </c>
      <c r="AY134" s="178">
        <v>5.8840000000000003</v>
      </c>
      <c r="AZ134" s="178">
        <v>2.0860000000000003</v>
      </c>
      <c r="BA134" s="178">
        <v>2.5960000000000001</v>
      </c>
      <c r="BB134" s="178">
        <v>6.3740000000000006</v>
      </c>
      <c r="BC134" s="178">
        <v>1.768</v>
      </c>
      <c r="BD134" s="179">
        <v>0.69</v>
      </c>
      <c r="BE134" s="179">
        <v>0.77</v>
      </c>
      <c r="BF134" s="179">
        <v>0.23</v>
      </c>
      <c r="BG134" s="179">
        <v>2.06</v>
      </c>
      <c r="BH134" s="179">
        <v>0.08</v>
      </c>
      <c r="BI134" s="179">
        <v>0.92</v>
      </c>
      <c r="BJ134" s="179">
        <v>0.59</v>
      </c>
      <c r="BK134" s="174"/>
      <c r="BL134" s="190"/>
      <c r="BM134" s="190"/>
    </row>
    <row r="135" spans="1:65" s="140" customFormat="1" ht="14.1" customHeight="1">
      <c r="A135" s="175" t="s">
        <v>431</v>
      </c>
      <c r="B135" s="266" t="s">
        <v>435</v>
      </c>
      <c r="C135" s="266" t="s">
        <v>568</v>
      </c>
      <c r="D135" s="266" t="s">
        <v>539</v>
      </c>
      <c r="E135" s="267" t="s">
        <v>269</v>
      </c>
      <c r="F135" s="267">
        <v>539</v>
      </c>
      <c r="G135" s="267">
        <v>45</v>
      </c>
      <c r="H135" s="267">
        <v>5</v>
      </c>
      <c r="I135" s="267">
        <v>8.6999999999999993</v>
      </c>
      <c r="J135" s="267">
        <v>17</v>
      </c>
      <c r="K135" s="266" t="s">
        <v>570</v>
      </c>
      <c r="L135" s="267">
        <v>2019</v>
      </c>
      <c r="M135" s="267" t="s">
        <v>270</v>
      </c>
      <c r="N135" s="267">
        <v>6</v>
      </c>
      <c r="O135" s="267">
        <v>37</v>
      </c>
      <c r="P135" s="282" t="s">
        <v>644</v>
      </c>
      <c r="Q135" s="267">
        <v>-70.572000000000003</v>
      </c>
      <c r="R135" s="267">
        <v>41.32</v>
      </c>
      <c r="S135" s="267" t="s">
        <v>271</v>
      </c>
      <c r="T135" s="267">
        <v>25</v>
      </c>
      <c r="U135" s="266" t="s">
        <v>573</v>
      </c>
      <c r="V135" s="268">
        <v>2.7069999999999999</v>
      </c>
      <c r="W135" s="268">
        <v>7.0000000000000007E-2</v>
      </c>
      <c r="X135" s="268">
        <v>0.316</v>
      </c>
      <c r="Y135" s="178">
        <v>8.4000000000000005E-2</v>
      </c>
      <c r="Z135" s="178">
        <v>-8888</v>
      </c>
      <c r="AA135" s="178">
        <v>-8888</v>
      </c>
      <c r="AB135" s="178">
        <v>6.8000000000000005E-2</v>
      </c>
      <c r="AC135" s="178">
        <v>0.15</v>
      </c>
      <c r="AD135" s="178">
        <v>2.7E-2</v>
      </c>
      <c r="AE135" s="178">
        <v>1.0569999999999999</v>
      </c>
      <c r="AF135" s="178">
        <v>1.9E-2</v>
      </c>
      <c r="AG135" s="178">
        <v>5.0000000000000001E-3</v>
      </c>
      <c r="AH135" s="178">
        <v>2.6539999999999999</v>
      </c>
      <c r="AI135" s="178">
        <v>-8888</v>
      </c>
      <c r="AJ135" s="178">
        <v>5.2999999999999999E-2</v>
      </c>
      <c r="AK135" s="178">
        <v>7.0000000000000007E-2</v>
      </c>
      <c r="AL135" s="178">
        <v>-8888</v>
      </c>
      <c r="AM135" s="178">
        <v>0.29899999999999999</v>
      </c>
      <c r="AN135" s="178">
        <v>1.7000000000000001E-2</v>
      </c>
      <c r="AO135" s="178">
        <v>3.0000000000000001E-3</v>
      </c>
      <c r="AP135" s="178">
        <v>8.9999999999999993E-3</v>
      </c>
      <c r="AQ135" s="178">
        <v>1.2E-2</v>
      </c>
      <c r="AR135" s="178">
        <v>4.4999999999999998E-2</v>
      </c>
      <c r="AS135" s="178">
        <v>0.17499999999999999</v>
      </c>
      <c r="AT135" s="178">
        <v>1.7999999999999999E-2</v>
      </c>
      <c r="AU135" s="178">
        <v>-8888</v>
      </c>
      <c r="AV135" s="178">
        <v>3.0929999999999995</v>
      </c>
      <c r="AW135" s="178">
        <v>0.33400000000000002</v>
      </c>
      <c r="AX135" s="178">
        <v>1.0759999999999998</v>
      </c>
      <c r="AY135" s="178">
        <v>4.1689999999999996</v>
      </c>
      <c r="AZ135" s="178">
        <v>1.41</v>
      </c>
      <c r="BA135" s="178">
        <v>1.796</v>
      </c>
      <c r="BB135" s="178">
        <v>4.5030000000000001</v>
      </c>
      <c r="BC135" s="178">
        <v>1.2189999999999999</v>
      </c>
      <c r="BD135" s="179">
        <v>0.66</v>
      </c>
      <c r="BE135" s="179">
        <v>0.76</v>
      </c>
      <c r="BF135" s="179">
        <v>0.24</v>
      </c>
      <c r="BG135" s="179">
        <v>2.19</v>
      </c>
      <c r="BH135" s="179">
        <v>7.0000000000000007E-2</v>
      </c>
      <c r="BI135" s="179">
        <v>0.93</v>
      </c>
      <c r="BJ135" s="179">
        <v>0.6</v>
      </c>
      <c r="BK135" s="174"/>
      <c r="BL135" s="190"/>
      <c r="BM135" s="190"/>
    </row>
    <row r="136" spans="1:65" s="140" customFormat="1" ht="14.1" customHeight="1">
      <c r="A136" s="175" t="s">
        <v>432</v>
      </c>
      <c r="B136" s="266" t="s">
        <v>435</v>
      </c>
      <c r="C136" s="266" t="s">
        <v>569</v>
      </c>
      <c r="D136" s="266" t="s">
        <v>539</v>
      </c>
      <c r="E136" s="267" t="s">
        <v>269</v>
      </c>
      <c r="F136" s="267">
        <v>548</v>
      </c>
      <c r="G136" s="267">
        <v>45</v>
      </c>
      <c r="H136" s="267">
        <v>9</v>
      </c>
      <c r="I136" s="267">
        <v>2</v>
      </c>
      <c r="J136" s="267">
        <v>17</v>
      </c>
      <c r="K136" s="266" t="s">
        <v>570</v>
      </c>
      <c r="L136" s="267">
        <v>2019</v>
      </c>
      <c r="M136" s="267" t="s">
        <v>270</v>
      </c>
      <c r="N136" s="267">
        <v>6</v>
      </c>
      <c r="O136" s="267">
        <v>37</v>
      </c>
      <c r="P136" s="282" t="s">
        <v>644</v>
      </c>
      <c r="Q136" s="267">
        <v>-70.572000000000003</v>
      </c>
      <c r="R136" s="267">
        <v>41.32</v>
      </c>
      <c r="S136" s="267" t="s">
        <v>271</v>
      </c>
      <c r="T136" s="267">
        <v>25</v>
      </c>
      <c r="U136" s="266" t="s">
        <v>573</v>
      </c>
      <c r="V136" s="268">
        <v>2.218</v>
      </c>
      <c r="W136" s="268">
        <v>6.4000000000000001E-2</v>
      </c>
      <c r="X136" s="268">
        <v>0.26200000000000001</v>
      </c>
      <c r="Y136" s="178">
        <v>7.4999999999999997E-2</v>
      </c>
      <c r="Z136" s="178">
        <v>-8888</v>
      </c>
      <c r="AA136" s="178">
        <v>-8888</v>
      </c>
      <c r="AB136" s="178">
        <v>6.3E-2</v>
      </c>
      <c r="AC136" s="178">
        <v>0.13300000000000001</v>
      </c>
      <c r="AD136" s="178">
        <v>2.1000000000000001E-2</v>
      </c>
      <c r="AE136" s="178">
        <v>0.86199999999999999</v>
      </c>
      <c r="AF136" s="178">
        <v>1.7000000000000001E-2</v>
      </c>
      <c r="AG136" s="178">
        <v>5.0000000000000001E-3</v>
      </c>
      <c r="AH136" s="178">
        <v>2.173</v>
      </c>
      <c r="AI136" s="178">
        <v>-8888</v>
      </c>
      <c r="AJ136" s="178">
        <v>4.4999999999999998E-2</v>
      </c>
      <c r="AK136" s="178">
        <v>6.4000000000000001E-2</v>
      </c>
      <c r="AL136" s="178">
        <v>-8888</v>
      </c>
      <c r="AM136" s="178">
        <v>0.246</v>
      </c>
      <c r="AN136" s="178">
        <v>1.6E-2</v>
      </c>
      <c r="AO136" s="178">
        <v>2E-3</v>
      </c>
      <c r="AP136" s="178">
        <v>8.0000000000000002E-3</v>
      </c>
      <c r="AQ136" s="178">
        <v>1.2999999999999999E-2</v>
      </c>
      <c r="AR136" s="178">
        <v>3.5000000000000003E-2</v>
      </c>
      <c r="AS136" s="178">
        <v>0.127</v>
      </c>
      <c r="AT136" s="178">
        <v>1.7999999999999999E-2</v>
      </c>
      <c r="AU136" s="178">
        <v>-8888</v>
      </c>
      <c r="AV136" s="178">
        <v>2.544</v>
      </c>
      <c r="AW136" s="178">
        <v>0.29699999999999999</v>
      </c>
      <c r="AX136" s="178">
        <v>0.879</v>
      </c>
      <c r="AY136" s="178">
        <v>3.423</v>
      </c>
      <c r="AZ136" s="178">
        <v>1.1759999999999999</v>
      </c>
      <c r="BA136" s="178">
        <v>1.502</v>
      </c>
      <c r="BB136" s="178">
        <v>3.7199999999999998</v>
      </c>
      <c r="BC136" s="178">
        <v>1.0110000000000001</v>
      </c>
      <c r="BD136" s="179">
        <v>0.68</v>
      </c>
      <c r="BE136" s="179">
        <v>0.75</v>
      </c>
      <c r="BF136" s="179">
        <v>0.25</v>
      </c>
      <c r="BG136" s="179">
        <v>2.16</v>
      </c>
      <c r="BH136" s="179">
        <v>0.08</v>
      </c>
      <c r="BI136" s="179">
        <v>0.92</v>
      </c>
      <c r="BJ136" s="179">
        <v>0.6</v>
      </c>
      <c r="BK136" s="174"/>
      <c r="BL136" s="190"/>
      <c r="BM136" s="190"/>
    </row>
    <row r="137" spans="1:65" s="140" customFormat="1" ht="14.1" customHeight="1">
      <c r="A137" s="175" t="s">
        <v>433</v>
      </c>
      <c r="B137" s="272" t="s">
        <v>435</v>
      </c>
      <c r="C137" s="272" t="s">
        <v>492</v>
      </c>
      <c r="D137" s="272" t="s">
        <v>472</v>
      </c>
      <c r="E137" s="273" t="s">
        <v>269</v>
      </c>
      <c r="F137" s="273">
        <v>1060</v>
      </c>
      <c r="G137" s="273">
        <v>37</v>
      </c>
      <c r="H137" s="273">
        <v>13</v>
      </c>
      <c r="I137" s="273">
        <v>17.100000000000001</v>
      </c>
      <c r="J137" s="273">
        <v>135</v>
      </c>
      <c r="K137" s="272" t="s">
        <v>570</v>
      </c>
      <c r="L137" s="273">
        <v>2018</v>
      </c>
      <c r="M137" s="273" t="s">
        <v>597</v>
      </c>
      <c r="N137" s="273">
        <v>12</v>
      </c>
      <c r="O137" s="273">
        <v>102</v>
      </c>
      <c r="P137" s="284" t="s">
        <v>611</v>
      </c>
      <c r="Q137" s="273">
        <v>-70.775000000000006</v>
      </c>
      <c r="R137" s="273">
        <v>40.137</v>
      </c>
      <c r="S137" s="273" t="s">
        <v>271</v>
      </c>
      <c r="T137" s="273">
        <v>25</v>
      </c>
      <c r="U137" s="272" t="s">
        <v>573</v>
      </c>
      <c r="V137" s="268">
        <v>0.71899999999999997</v>
      </c>
      <c r="W137" s="268">
        <v>2.3E-2</v>
      </c>
      <c r="X137" s="268">
        <v>0.221</v>
      </c>
      <c r="Y137" s="178">
        <v>2.7E-2</v>
      </c>
      <c r="Z137" s="178">
        <v>2.1000000000000001E-2</v>
      </c>
      <c r="AA137" s="178">
        <v>0.22500000000000001</v>
      </c>
      <c r="AB137" s="178">
        <v>8.9999999999999993E-3</v>
      </c>
      <c r="AC137" s="178">
        <v>4.9000000000000002E-2</v>
      </c>
      <c r="AD137" s="178">
        <v>4.0000000000000001E-3</v>
      </c>
      <c r="AE137" s="178">
        <v>0.247</v>
      </c>
      <c r="AF137" s="178">
        <v>2.3E-2</v>
      </c>
      <c r="AG137" s="178">
        <v>1E-3</v>
      </c>
      <c r="AH137" s="178">
        <v>0.70899999999999996</v>
      </c>
      <c r="AI137" s="178">
        <v>-8888</v>
      </c>
      <c r="AJ137" s="178">
        <v>0.01</v>
      </c>
      <c r="AK137" s="178">
        <v>2.3E-2</v>
      </c>
      <c r="AL137" s="178">
        <v>-8888</v>
      </c>
      <c r="AM137" s="178">
        <v>0.105</v>
      </c>
      <c r="AN137" s="178">
        <v>0.11600000000000001</v>
      </c>
      <c r="AO137" s="178">
        <v>-8888</v>
      </c>
      <c r="AP137" s="178">
        <v>2E-3</v>
      </c>
      <c r="AQ137" s="178">
        <v>4.0000000000000001E-3</v>
      </c>
      <c r="AR137" s="178">
        <v>5.0000000000000001E-3</v>
      </c>
      <c r="AS137" s="178">
        <v>1.4999999999999999E-2</v>
      </c>
      <c r="AT137" s="178">
        <v>-8888</v>
      </c>
      <c r="AU137" s="178">
        <v>-8888</v>
      </c>
      <c r="AV137" s="178">
        <v>0.96299999999999997</v>
      </c>
      <c r="AW137" s="178">
        <v>0.09</v>
      </c>
      <c r="AX137" s="178">
        <v>0.51600000000000001</v>
      </c>
      <c r="AY137" s="178">
        <v>1.4790000000000001</v>
      </c>
      <c r="AZ137" s="178">
        <v>0.60599999999999998</v>
      </c>
      <c r="BA137" s="178">
        <v>0.85</v>
      </c>
      <c r="BB137" s="178">
        <v>1.569</v>
      </c>
      <c r="BC137" s="178">
        <v>0.54900000000000004</v>
      </c>
      <c r="BD137" s="179">
        <v>1.18</v>
      </c>
      <c r="BE137" s="179">
        <v>0.85</v>
      </c>
      <c r="BF137" s="179">
        <v>0.15</v>
      </c>
      <c r="BG137" s="179">
        <v>1.59</v>
      </c>
      <c r="BH137" s="179">
        <v>0.06</v>
      </c>
      <c r="BI137" s="179">
        <v>0.94</v>
      </c>
      <c r="BJ137" s="179">
        <v>0.46</v>
      </c>
      <c r="BK137" s="174"/>
      <c r="BL137" s="190" t="s">
        <v>612</v>
      </c>
    </row>
    <row r="138" spans="1:65" s="140" customFormat="1" ht="14.1" customHeight="1">
      <c r="A138" s="175" t="s">
        <v>434</v>
      </c>
      <c r="B138" s="272" t="s">
        <v>435</v>
      </c>
      <c r="C138" s="272" t="s">
        <v>493</v>
      </c>
      <c r="D138" s="272" t="s">
        <v>472</v>
      </c>
      <c r="E138" s="273" t="s">
        <v>269</v>
      </c>
      <c r="F138" s="273">
        <v>1057</v>
      </c>
      <c r="G138" s="273">
        <v>37</v>
      </c>
      <c r="H138" s="273">
        <v>14</v>
      </c>
      <c r="I138" s="273">
        <v>5.5</v>
      </c>
      <c r="J138" s="273">
        <v>135</v>
      </c>
      <c r="K138" s="272" t="s">
        <v>570</v>
      </c>
      <c r="L138" s="273">
        <v>2018</v>
      </c>
      <c r="M138" s="273" t="s">
        <v>597</v>
      </c>
      <c r="N138" s="273">
        <v>12</v>
      </c>
      <c r="O138" s="273">
        <v>102</v>
      </c>
      <c r="P138" s="284" t="s">
        <v>611</v>
      </c>
      <c r="Q138" s="273">
        <v>-70.775000000000006</v>
      </c>
      <c r="R138" s="273">
        <v>40.137</v>
      </c>
      <c r="S138" s="273" t="s">
        <v>271</v>
      </c>
      <c r="T138" s="273">
        <v>25</v>
      </c>
      <c r="U138" s="272" t="s">
        <v>573</v>
      </c>
      <c r="V138" s="268">
        <v>0.90500000000000003</v>
      </c>
      <c r="W138" s="268">
        <v>2.3E-2</v>
      </c>
      <c r="X138" s="268">
        <v>0.26200000000000001</v>
      </c>
      <c r="Y138" s="178">
        <v>3.5999999999999997E-2</v>
      </c>
      <c r="Z138" s="178">
        <v>3.9E-2</v>
      </c>
      <c r="AA138" s="178">
        <v>0.3</v>
      </c>
      <c r="AB138" s="178">
        <v>2.3E-2</v>
      </c>
      <c r="AC138" s="178">
        <v>9.8000000000000004E-2</v>
      </c>
      <c r="AD138" s="178">
        <v>8.0000000000000002E-3</v>
      </c>
      <c r="AE138" s="178">
        <v>0.23599999999999999</v>
      </c>
      <c r="AF138" s="178">
        <v>2.4E-2</v>
      </c>
      <c r="AG138" s="178">
        <v>1E-3</v>
      </c>
      <c r="AH138" s="178">
        <v>0.89300000000000002</v>
      </c>
      <c r="AI138" s="178">
        <v>-8888</v>
      </c>
      <c r="AJ138" s="178">
        <v>1.2E-2</v>
      </c>
      <c r="AK138" s="178">
        <v>2.3E-2</v>
      </c>
      <c r="AL138" s="178">
        <v>-8888</v>
      </c>
      <c r="AM138" s="178">
        <v>0.13</v>
      </c>
      <c r="AN138" s="178">
        <v>0.13200000000000001</v>
      </c>
      <c r="AO138" s="178">
        <v>-8888</v>
      </c>
      <c r="AP138" s="178">
        <v>3.0000000000000001E-3</v>
      </c>
      <c r="AQ138" s="178">
        <v>6.0000000000000001E-3</v>
      </c>
      <c r="AR138" s="178">
        <v>8.0000000000000002E-3</v>
      </c>
      <c r="AS138" s="178">
        <v>0.01</v>
      </c>
      <c r="AT138" s="178">
        <v>-8888</v>
      </c>
      <c r="AU138" s="178">
        <v>-8888</v>
      </c>
      <c r="AV138" s="178">
        <v>1.19</v>
      </c>
      <c r="AW138" s="178">
        <v>0.16600000000000001</v>
      </c>
      <c r="AX138" s="178">
        <v>0.59899999999999998</v>
      </c>
      <c r="AY138" s="178">
        <v>1.7889999999999999</v>
      </c>
      <c r="AZ138" s="178">
        <v>0.76500000000000001</v>
      </c>
      <c r="BA138" s="178">
        <v>1.05</v>
      </c>
      <c r="BB138" s="178">
        <v>1.9550000000000001</v>
      </c>
      <c r="BC138" s="178">
        <v>0.64600000000000002</v>
      </c>
      <c r="BD138" s="179">
        <v>1.1599999999999999</v>
      </c>
      <c r="BE138" s="179">
        <v>0.78</v>
      </c>
      <c r="BF138" s="179">
        <v>0.22</v>
      </c>
      <c r="BG138" s="179">
        <v>1.56</v>
      </c>
      <c r="BH138" s="179">
        <v>0.08</v>
      </c>
      <c r="BI138" s="179">
        <v>0.92</v>
      </c>
      <c r="BJ138" s="179">
        <v>0.46</v>
      </c>
      <c r="BK138" s="174"/>
      <c r="BL138" s="190" t="s">
        <v>613</v>
      </c>
    </row>
    <row r="139" spans="1:65" ht="12.75" customHeight="1">
      <c r="R139" s="141"/>
    </row>
    <row r="140" spans="1:65" ht="12.75" customHeight="1">
      <c r="R140" s="141"/>
    </row>
    <row r="141" spans="1:65" ht="12.75" customHeight="1">
      <c r="R141" s="141"/>
    </row>
    <row r="142" spans="1:65" ht="12.75" customHeight="1">
      <c r="R142" s="141"/>
    </row>
    <row r="143" spans="1:65" ht="12.75" customHeight="1">
      <c r="R143" s="141"/>
    </row>
    <row r="144" spans="1:65" ht="12.75" customHeight="1">
      <c r="R144" s="141"/>
    </row>
    <row r="145" spans="17:18" ht="12.75" customHeight="1">
      <c r="R145" s="141"/>
    </row>
    <row r="146" spans="17:18" ht="12.75" customHeight="1">
      <c r="R146" s="141"/>
    </row>
    <row r="147" spans="17:18" ht="12.75" customHeight="1">
      <c r="R147" s="141"/>
    </row>
    <row r="148" spans="17:18" ht="12.75" customHeight="1">
      <c r="R148" s="141"/>
    </row>
    <row r="149" spans="17:18" ht="12.75" customHeight="1">
      <c r="R149" s="141"/>
    </row>
    <row r="150" spans="17:18" ht="12.75" customHeight="1">
      <c r="R150" s="141"/>
    </row>
    <row r="151" spans="17:18" ht="12.75" customHeight="1">
      <c r="Q151" s="285"/>
      <c r="R151" s="141"/>
    </row>
    <row r="152" spans="17:18" ht="12.75" customHeight="1">
      <c r="R152" s="141"/>
    </row>
    <row r="153" spans="17:18" ht="12.75" customHeight="1">
      <c r="R153" s="141"/>
    </row>
    <row r="154" spans="17:18" ht="12.75" customHeight="1">
      <c r="R154" s="141"/>
    </row>
    <row r="155" spans="17:18" ht="12.75" customHeight="1">
      <c r="R155" s="141"/>
    </row>
    <row r="156" spans="17:18" ht="12.75" customHeight="1">
      <c r="R156" s="141"/>
    </row>
    <row r="157" spans="17:18" ht="12.75" customHeight="1">
      <c r="R157" s="141"/>
    </row>
    <row r="158" spans="17:18" ht="12.75" customHeight="1">
      <c r="R158" s="141"/>
    </row>
    <row r="159" spans="17:18" ht="12.75" customHeight="1">
      <c r="R159" s="141"/>
    </row>
    <row r="160" spans="17:18" ht="12.75" customHeight="1">
      <c r="R160" s="141"/>
    </row>
    <row r="161" spans="18:18" ht="12.75" customHeight="1">
      <c r="R161" s="141"/>
    </row>
    <row r="162" spans="18:18" ht="12.75" customHeight="1">
      <c r="R162" s="141"/>
    </row>
    <row r="163" spans="18:18" ht="12.75" customHeight="1">
      <c r="R163" s="141"/>
    </row>
    <row r="164" spans="18:18" ht="12.75" customHeight="1">
      <c r="R164" s="141"/>
    </row>
    <row r="165" spans="18:18" ht="12.75" customHeight="1">
      <c r="R165" s="141"/>
    </row>
    <row r="166" spans="18:18" ht="12.75" customHeight="1">
      <c r="R166" s="141"/>
    </row>
    <row r="167" spans="18:18" ht="12.75" customHeight="1">
      <c r="R167" s="141"/>
    </row>
    <row r="168" spans="18:18" ht="12.75" customHeight="1">
      <c r="R168" s="141"/>
    </row>
    <row r="169" spans="18:18" ht="12.75" customHeight="1">
      <c r="R169" s="141"/>
    </row>
    <row r="170" spans="18:18" ht="12.75" customHeight="1">
      <c r="R170" s="141"/>
    </row>
    <row r="171" spans="18:18" ht="12.75" customHeight="1">
      <c r="R171" s="141"/>
    </row>
    <row r="172" spans="18:18" ht="12.75" customHeight="1">
      <c r="R172" s="141"/>
    </row>
    <row r="173" spans="18:18" ht="12.75" customHeight="1">
      <c r="R173" s="141"/>
    </row>
    <row r="174" spans="18:18" ht="12.75" customHeight="1">
      <c r="R174" s="141"/>
    </row>
    <row r="175" spans="18:18" ht="12.75" customHeight="1">
      <c r="R175" s="141"/>
    </row>
    <row r="176" spans="18:18" ht="12.75" customHeight="1">
      <c r="R176" s="141"/>
    </row>
    <row r="177" spans="18:18" ht="12.75" customHeight="1">
      <c r="R177" s="141"/>
    </row>
    <row r="178" spans="18:18" ht="12.75" customHeight="1">
      <c r="R178" s="141"/>
    </row>
    <row r="179" spans="18:18" ht="12.75" customHeight="1">
      <c r="R179" s="141"/>
    </row>
    <row r="180" spans="18:18" ht="12.75" customHeight="1">
      <c r="R180" s="141"/>
    </row>
    <row r="181" spans="18:18" ht="12.75" customHeight="1">
      <c r="R181" s="141"/>
    </row>
    <row r="182" spans="18:18" ht="12.75" customHeight="1">
      <c r="R182" s="141"/>
    </row>
    <row r="183" spans="18:18" ht="12.75" customHeight="1">
      <c r="R183" s="141"/>
    </row>
    <row r="184" spans="18:18" ht="12.75" customHeight="1">
      <c r="R184" s="141"/>
    </row>
    <row r="185" spans="18:18" ht="12.75" customHeight="1">
      <c r="R185" s="141"/>
    </row>
    <row r="186" spans="18:18" ht="12.75" customHeight="1">
      <c r="R186" s="141"/>
    </row>
    <row r="187" spans="18:18" ht="12.75" customHeight="1">
      <c r="R187" s="141"/>
    </row>
    <row r="188" spans="18:18" ht="12.75" customHeight="1">
      <c r="R188" s="141"/>
    </row>
    <row r="189" spans="18:18" ht="12.75" customHeight="1">
      <c r="R189" s="141"/>
    </row>
    <row r="190" spans="18:18" ht="12.75" customHeight="1">
      <c r="R190" s="141"/>
    </row>
    <row r="191" spans="18:18" ht="12.75" customHeight="1">
      <c r="R191" s="141"/>
    </row>
    <row r="192" spans="18:18" ht="12.75" customHeight="1">
      <c r="R192" s="141"/>
    </row>
    <row r="193" spans="18:18" ht="12.75" customHeight="1">
      <c r="R193" s="141"/>
    </row>
    <row r="194" spans="18:18" ht="12.75" customHeight="1">
      <c r="R194" s="141"/>
    </row>
    <row r="195" spans="18:18" ht="12.75" customHeight="1">
      <c r="R195" s="141"/>
    </row>
    <row r="196" spans="18:18" ht="12.75" customHeight="1">
      <c r="R196" s="141"/>
    </row>
    <row r="197" spans="18:18" ht="12.75" customHeight="1">
      <c r="R197" s="141"/>
    </row>
    <row r="198" spans="18:18" ht="12.75" customHeight="1">
      <c r="R198" s="141"/>
    </row>
    <row r="199" spans="18:18" ht="12.75" customHeight="1">
      <c r="R199" s="141"/>
    </row>
    <row r="200" spans="18:18" ht="12.75" customHeight="1">
      <c r="R200" s="141"/>
    </row>
    <row r="201" spans="18:18" ht="12.75" customHeight="1">
      <c r="R201" s="141"/>
    </row>
    <row r="202" spans="18:18" ht="12.75" customHeight="1">
      <c r="R202" s="141"/>
    </row>
    <row r="203" spans="18:18" ht="12.75" customHeight="1">
      <c r="R203" s="141"/>
    </row>
    <row r="204" spans="18:18" ht="12.75" customHeight="1">
      <c r="R204" s="141"/>
    </row>
    <row r="205" spans="18:18" ht="12.75" customHeight="1">
      <c r="R205" s="141"/>
    </row>
    <row r="206" spans="18:18" ht="12.75" customHeight="1">
      <c r="R206" s="141"/>
    </row>
    <row r="207" spans="18:18" ht="12.75" customHeight="1">
      <c r="R207" s="141"/>
    </row>
    <row r="208" spans="18:18" ht="12.75" customHeight="1">
      <c r="R208" s="141"/>
    </row>
    <row r="209" spans="18:18" ht="12.75" customHeight="1">
      <c r="R209" s="141"/>
    </row>
    <row r="210" spans="18:18" ht="12.75" customHeight="1">
      <c r="R210" s="141"/>
    </row>
    <row r="211" spans="18:18" ht="12.75" customHeight="1">
      <c r="R211" s="141"/>
    </row>
    <row r="212" spans="18:18" ht="12.75" customHeight="1">
      <c r="R212" s="141"/>
    </row>
    <row r="213" spans="18:18" ht="12.75" customHeight="1">
      <c r="R213" s="141"/>
    </row>
    <row r="214" spans="18:18" ht="12.75" customHeight="1">
      <c r="R214" s="141"/>
    </row>
    <row r="215" spans="18:18" ht="12.75" customHeight="1">
      <c r="R215" s="141"/>
    </row>
    <row r="216" spans="18:18" ht="12.75" customHeight="1">
      <c r="R216" s="141"/>
    </row>
    <row r="217" spans="18:18" ht="12.75" customHeight="1">
      <c r="R217" s="141"/>
    </row>
    <row r="218" spans="18:18" ht="12.75" customHeight="1">
      <c r="R218" s="141"/>
    </row>
    <row r="219" spans="18:18" ht="12.75" customHeight="1">
      <c r="R219" s="141"/>
    </row>
    <row r="220" spans="18:18" ht="12.75" customHeight="1">
      <c r="R220" s="141"/>
    </row>
    <row r="221" spans="18:18" ht="12.75" customHeight="1">
      <c r="R221" s="141"/>
    </row>
    <row r="222" spans="18:18" ht="12.75" customHeight="1">
      <c r="R222" s="141"/>
    </row>
    <row r="223" spans="18:18" ht="12.75" customHeight="1">
      <c r="R223" s="141"/>
    </row>
    <row r="224" spans="18:18" ht="12.75" customHeight="1">
      <c r="R224" s="141"/>
    </row>
    <row r="225" spans="18:18" ht="12.75" customHeight="1">
      <c r="R225" s="141"/>
    </row>
    <row r="226" spans="18:18" ht="12.75" customHeight="1">
      <c r="R226" s="141"/>
    </row>
    <row r="227" spans="18:18" ht="12.75" customHeight="1">
      <c r="R227" s="141"/>
    </row>
    <row r="228" spans="18:18" ht="12.75" customHeight="1">
      <c r="R228" s="141"/>
    </row>
    <row r="229" spans="18:18" ht="12.75" customHeight="1">
      <c r="R229" s="141"/>
    </row>
    <row r="230" spans="18:18" ht="12.75" customHeight="1">
      <c r="R230" s="141"/>
    </row>
    <row r="231" spans="18:18" ht="12.75" customHeight="1">
      <c r="R231" s="141"/>
    </row>
    <row r="232" spans="18:18" ht="12.75" customHeight="1">
      <c r="R232" s="141"/>
    </row>
    <row r="233" spans="18:18" ht="12.75" customHeight="1">
      <c r="R233" s="141"/>
    </row>
    <row r="234" spans="18:18" ht="12.75" customHeight="1">
      <c r="R234" s="141"/>
    </row>
    <row r="235" spans="18:18" ht="12.75" customHeight="1">
      <c r="R235" s="141"/>
    </row>
    <row r="236" spans="18:18" ht="12.75" customHeight="1">
      <c r="R236" s="141"/>
    </row>
    <row r="237" spans="18:18" ht="12.75" customHeight="1">
      <c r="R237" s="141"/>
    </row>
    <row r="238" spans="18:18" ht="12.75" customHeight="1">
      <c r="R238" s="141"/>
    </row>
    <row r="239" spans="18:18" ht="12.75" customHeight="1">
      <c r="R239" s="141"/>
    </row>
    <row r="240" spans="18:18" ht="12.75" customHeight="1">
      <c r="R240" s="141"/>
    </row>
    <row r="241" spans="18:18" ht="12.75" customHeight="1">
      <c r="R241" s="141"/>
    </row>
    <row r="242" spans="18:18" ht="12.75" customHeight="1">
      <c r="R242" s="141"/>
    </row>
    <row r="243" spans="18:18" ht="12.75" customHeight="1">
      <c r="R243" s="141"/>
    </row>
    <row r="244" spans="18:18" ht="12.75" customHeight="1">
      <c r="R244" s="141"/>
    </row>
    <row r="245" spans="18:18" ht="12.75" customHeight="1">
      <c r="R245" s="141"/>
    </row>
    <row r="246" spans="18:18" ht="12.75" customHeight="1">
      <c r="R246" s="141"/>
    </row>
    <row r="247" spans="18:18" ht="12.75" customHeight="1">
      <c r="R247" s="141"/>
    </row>
    <row r="248" spans="18:18" ht="12.75" customHeight="1">
      <c r="R248" s="141"/>
    </row>
    <row r="249" spans="18:18" ht="12.75" customHeight="1">
      <c r="R249" s="141"/>
    </row>
    <row r="250" spans="18:18" ht="12.75" customHeight="1">
      <c r="R250" s="141"/>
    </row>
    <row r="251" spans="18:18" ht="12.75" customHeight="1">
      <c r="R251" s="141"/>
    </row>
    <row r="252" spans="18:18" ht="12.75" customHeight="1">
      <c r="R252" s="141"/>
    </row>
    <row r="253" spans="18:18" ht="12.75" customHeight="1">
      <c r="R253" s="141"/>
    </row>
    <row r="254" spans="18:18" ht="12.75" customHeight="1">
      <c r="R254" s="141"/>
    </row>
    <row r="255" spans="18:18" ht="12.75" customHeight="1">
      <c r="R255" s="141"/>
    </row>
    <row r="256" spans="18:18" ht="12.75" customHeight="1">
      <c r="R256" s="141"/>
    </row>
    <row r="257" spans="18:18" ht="12.75" customHeight="1">
      <c r="R257" s="141"/>
    </row>
    <row r="258" spans="18:18" ht="12.75" customHeight="1">
      <c r="R258" s="141"/>
    </row>
    <row r="259" spans="18:18" ht="12.75" customHeight="1">
      <c r="R259" s="141"/>
    </row>
    <row r="260" spans="18:18" ht="12.75" customHeight="1">
      <c r="R260" s="141"/>
    </row>
    <row r="261" spans="18:18" ht="12.75" customHeight="1">
      <c r="R261" s="141"/>
    </row>
    <row r="262" spans="18:18" ht="12.75" customHeight="1">
      <c r="R262" s="141"/>
    </row>
    <row r="263" spans="18:18" ht="12.75" customHeight="1">
      <c r="R263" s="141"/>
    </row>
    <row r="264" spans="18:18" ht="12.75" customHeight="1">
      <c r="R264" s="141"/>
    </row>
    <row r="265" spans="18:18" ht="12.75" customHeight="1">
      <c r="R265" s="141"/>
    </row>
    <row r="266" spans="18:18" ht="12.75" customHeight="1">
      <c r="R266" s="141"/>
    </row>
    <row r="267" spans="18:18" ht="12.75" customHeight="1">
      <c r="R267" s="141"/>
    </row>
    <row r="268" spans="18:18" ht="12.75" customHeight="1">
      <c r="R268" s="141"/>
    </row>
    <row r="269" spans="18:18" ht="12.75" customHeight="1">
      <c r="R269" s="141"/>
    </row>
    <row r="270" spans="18:18" ht="12.75" customHeight="1">
      <c r="R270" s="141"/>
    </row>
    <row r="271" spans="18:18" ht="12.75" customHeight="1">
      <c r="R271" s="141"/>
    </row>
    <row r="272" spans="18:18" ht="12.75" customHeight="1">
      <c r="R272" s="141"/>
    </row>
    <row r="273" spans="18:18" ht="12.75" customHeight="1">
      <c r="R273" s="141"/>
    </row>
    <row r="274" spans="18:18" ht="12.75" customHeight="1">
      <c r="R274" s="141"/>
    </row>
    <row r="275" spans="18:18" ht="12.75" customHeight="1">
      <c r="R275" s="141"/>
    </row>
    <row r="276" spans="18:18" ht="12.75" customHeight="1">
      <c r="R276" s="141"/>
    </row>
    <row r="277" spans="18:18" ht="12.75" customHeight="1">
      <c r="R277" s="141"/>
    </row>
    <row r="278" spans="18:18" ht="12.75" customHeight="1">
      <c r="R278" s="141"/>
    </row>
    <row r="279" spans="18:18" ht="12.75" customHeight="1">
      <c r="R279" s="141"/>
    </row>
    <row r="280" spans="18:18" ht="12.75" customHeight="1">
      <c r="R280" s="141"/>
    </row>
    <row r="281" spans="18:18" ht="12.75" customHeight="1">
      <c r="R281" s="141"/>
    </row>
    <row r="282" spans="18:18" ht="12.75" customHeight="1">
      <c r="R282" s="141"/>
    </row>
    <row r="283" spans="18:18" ht="12.75" customHeight="1">
      <c r="R283" s="141"/>
    </row>
    <row r="284" spans="18:18" ht="12.75" customHeight="1">
      <c r="R284" s="141"/>
    </row>
    <row r="285" spans="18:18" ht="12.75" customHeight="1">
      <c r="R285" s="141"/>
    </row>
    <row r="286" spans="18:18" ht="12.75" customHeight="1">
      <c r="R286" s="141"/>
    </row>
    <row r="287" spans="18:18" ht="12.75" customHeight="1">
      <c r="R287" s="141"/>
    </row>
    <row r="288" spans="18:18" ht="12.75" customHeight="1">
      <c r="R288" s="141"/>
    </row>
    <row r="289" spans="18:18" ht="12.75" customHeight="1">
      <c r="R289" s="141"/>
    </row>
    <row r="290" spans="18:18" ht="12.75" customHeight="1">
      <c r="R290" s="141"/>
    </row>
    <row r="291" spans="18:18" ht="12.75" customHeight="1">
      <c r="R291" s="141"/>
    </row>
    <row r="292" spans="18:18" ht="12.75" customHeight="1">
      <c r="R292" s="141"/>
    </row>
    <row r="293" spans="18:18" ht="12.75" customHeight="1">
      <c r="R293" s="141"/>
    </row>
    <row r="294" spans="18:18" ht="12.75" customHeight="1">
      <c r="R294" s="141"/>
    </row>
    <row r="295" spans="18:18" ht="12.75" customHeight="1">
      <c r="R295" s="141"/>
    </row>
    <row r="296" spans="18:18" ht="12.75" customHeight="1">
      <c r="R296" s="141"/>
    </row>
    <row r="297" spans="18:18" ht="12.75" customHeight="1">
      <c r="R297" s="141"/>
    </row>
    <row r="298" spans="18:18" ht="12.75" customHeight="1">
      <c r="R298" s="141"/>
    </row>
    <row r="299" spans="18:18" ht="12.75" customHeight="1">
      <c r="R299" s="141"/>
    </row>
    <row r="300" spans="18:18" ht="12.75" customHeight="1">
      <c r="R300" s="141"/>
    </row>
    <row r="301" spans="18:18" ht="12.75" customHeight="1">
      <c r="R301" s="141"/>
    </row>
    <row r="302" spans="18:18" ht="12.75" customHeight="1">
      <c r="R302" s="141"/>
    </row>
    <row r="303" spans="18:18" ht="12.75" customHeight="1">
      <c r="R303" s="141"/>
    </row>
    <row r="304" spans="18:18" ht="12.75" customHeight="1">
      <c r="R304" s="141"/>
    </row>
    <row r="305" spans="18:18" ht="12.75" customHeight="1">
      <c r="R305" s="141"/>
    </row>
    <row r="306" spans="18:18" ht="12.75" customHeight="1">
      <c r="R306" s="141"/>
    </row>
    <row r="307" spans="18:18" ht="12.75" customHeight="1">
      <c r="R307" s="141"/>
    </row>
    <row r="308" spans="18:18" ht="12.75" customHeight="1">
      <c r="R308" s="141"/>
    </row>
    <row r="309" spans="18:18" ht="12.75" customHeight="1">
      <c r="R309" s="141"/>
    </row>
    <row r="310" spans="18:18" ht="12.75" customHeight="1">
      <c r="R310" s="141"/>
    </row>
    <row r="311" spans="18:18" ht="12.75" customHeight="1">
      <c r="R311" s="141"/>
    </row>
    <row r="312" spans="18:18" ht="12.75" customHeight="1">
      <c r="R312" s="141"/>
    </row>
    <row r="313" spans="18:18" ht="12.75" customHeight="1">
      <c r="R313" s="141"/>
    </row>
    <row r="314" spans="18:18" ht="12.75" customHeight="1">
      <c r="R314" s="141"/>
    </row>
    <row r="315" spans="18:18" ht="12.75" customHeight="1">
      <c r="R315" s="141"/>
    </row>
    <row r="316" spans="18:18" ht="12.75" customHeight="1">
      <c r="R316" s="141"/>
    </row>
    <row r="317" spans="18:18" ht="12.75" customHeight="1">
      <c r="R317" s="141"/>
    </row>
    <row r="318" spans="18:18" ht="12.75" customHeight="1">
      <c r="R318" s="141"/>
    </row>
    <row r="319" spans="18:18" ht="12.75" customHeight="1">
      <c r="R319" s="141"/>
    </row>
    <row r="320" spans="18:18" ht="12.75" customHeight="1">
      <c r="R320" s="141"/>
    </row>
    <row r="321" spans="18:18" ht="12.75" customHeight="1">
      <c r="R321" s="141"/>
    </row>
    <row r="322" spans="18:18" ht="12.75" customHeight="1">
      <c r="R322" s="141"/>
    </row>
    <row r="323" spans="18:18" ht="12.75" customHeight="1">
      <c r="R323" s="141"/>
    </row>
    <row r="324" spans="18:18" ht="12.75" customHeight="1">
      <c r="R324" s="141"/>
    </row>
    <row r="325" spans="18:18" ht="12.75" customHeight="1">
      <c r="R325" s="141"/>
    </row>
    <row r="326" spans="18:18" ht="12.75" customHeight="1">
      <c r="R326" s="141"/>
    </row>
    <row r="327" spans="18:18" ht="12.75" customHeight="1">
      <c r="R327" s="141"/>
    </row>
    <row r="328" spans="18:18" ht="12.75" customHeight="1">
      <c r="R328" s="141"/>
    </row>
    <row r="329" spans="18:18" ht="12.75" customHeight="1">
      <c r="R329" s="141"/>
    </row>
    <row r="330" spans="18:18" ht="12.75" customHeight="1">
      <c r="R330" s="141"/>
    </row>
    <row r="331" spans="18:18" ht="12.75" customHeight="1">
      <c r="R331" s="141"/>
    </row>
    <row r="332" spans="18:18" ht="12.75" customHeight="1">
      <c r="R332" s="141"/>
    </row>
    <row r="333" spans="18:18" ht="12.75" customHeight="1">
      <c r="R333" s="141"/>
    </row>
    <row r="334" spans="18:18" ht="12.75" customHeight="1">
      <c r="R334" s="141"/>
    </row>
    <row r="335" spans="18:18" ht="12.75" customHeight="1">
      <c r="R335" s="141"/>
    </row>
    <row r="336" spans="18:18" ht="12.75" customHeight="1">
      <c r="R336" s="141"/>
    </row>
    <row r="337" spans="18:18" ht="12.75" customHeight="1">
      <c r="R337" s="141"/>
    </row>
    <row r="338" spans="18:18" ht="12.75" customHeight="1">
      <c r="R338" s="141"/>
    </row>
    <row r="339" spans="18:18" ht="12.75" customHeight="1">
      <c r="R339" s="141"/>
    </row>
    <row r="340" spans="18:18" ht="12.75" customHeight="1">
      <c r="R340" s="141"/>
    </row>
    <row r="341" spans="18:18" ht="12.75" customHeight="1">
      <c r="R341" s="141"/>
    </row>
    <row r="342" spans="18:18" ht="12.75" customHeight="1">
      <c r="R342" s="141"/>
    </row>
    <row r="343" spans="18:18" ht="12.75" customHeight="1">
      <c r="R343" s="141"/>
    </row>
    <row r="344" spans="18:18" ht="12.75" customHeight="1">
      <c r="R344" s="141"/>
    </row>
    <row r="345" spans="18:18" ht="12.75" customHeight="1">
      <c r="R345" s="141"/>
    </row>
    <row r="346" spans="18:18" ht="12.75" customHeight="1">
      <c r="R346" s="141"/>
    </row>
    <row r="347" spans="18:18" ht="12.75" customHeight="1">
      <c r="R347" s="141"/>
    </row>
    <row r="348" spans="18:18" ht="12.75" customHeight="1">
      <c r="R348" s="141"/>
    </row>
    <row r="349" spans="18:18" ht="12.75" customHeight="1">
      <c r="R349" s="141"/>
    </row>
    <row r="350" spans="18:18" ht="12.75" customHeight="1">
      <c r="R350" s="141"/>
    </row>
    <row r="351" spans="18:18" ht="12.75" customHeight="1">
      <c r="R351" s="141"/>
    </row>
    <row r="352" spans="18:18" ht="12.75" customHeight="1">
      <c r="R352" s="141"/>
    </row>
    <row r="353" spans="18:18" ht="12.75" customHeight="1">
      <c r="R353" s="141"/>
    </row>
    <row r="354" spans="18:18" ht="12.75" customHeight="1">
      <c r="R354" s="141"/>
    </row>
    <row r="355" spans="18:18" ht="12.75" customHeight="1">
      <c r="R355" s="141"/>
    </row>
    <row r="356" spans="18:18" ht="12.75" customHeight="1">
      <c r="R356" s="141"/>
    </row>
    <row r="357" spans="18:18" ht="12.75" customHeight="1">
      <c r="R357" s="141"/>
    </row>
    <row r="358" spans="18:18" ht="12.75" customHeight="1">
      <c r="R358" s="141"/>
    </row>
    <row r="359" spans="18:18" ht="12.75" customHeight="1">
      <c r="R359" s="141"/>
    </row>
    <row r="360" spans="18:18" ht="12.75" customHeight="1">
      <c r="R360" s="141"/>
    </row>
    <row r="361" spans="18:18" ht="12.75" customHeight="1">
      <c r="R361" s="141"/>
    </row>
    <row r="362" spans="18:18" ht="12.75" customHeight="1">
      <c r="R362" s="141"/>
    </row>
    <row r="363" spans="18:18" ht="12.75" customHeight="1">
      <c r="R363" s="141"/>
    </row>
    <row r="364" spans="18:18" ht="12.75" customHeight="1">
      <c r="R364" s="141"/>
    </row>
    <row r="365" spans="18:18" ht="12.75" customHeight="1">
      <c r="R365" s="141"/>
    </row>
    <row r="366" spans="18:18" ht="12.75" customHeight="1">
      <c r="R366" s="141"/>
    </row>
    <row r="367" spans="18:18" ht="12.75" customHeight="1">
      <c r="R367" s="141"/>
    </row>
    <row r="368" spans="18:18" ht="12.75" customHeight="1">
      <c r="R368" s="141"/>
    </row>
    <row r="369" spans="18:18" ht="12.75" customHeight="1">
      <c r="R369" s="141"/>
    </row>
    <row r="370" spans="18:18" ht="12.75" customHeight="1">
      <c r="R370" s="141"/>
    </row>
    <row r="371" spans="18:18" ht="12.75" customHeight="1">
      <c r="R371" s="141"/>
    </row>
    <row r="372" spans="18:18" ht="12.75" customHeight="1">
      <c r="R372" s="141"/>
    </row>
    <row r="373" spans="18:18" ht="12.75" customHeight="1">
      <c r="R373" s="141"/>
    </row>
    <row r="374" spans="18:18" ht="12.75" customHeight="1">
      <c r="R374" s="141"/>
    </row>
    <row r="375" spans="18:18" ht="12.75" customHeight="1">
      <c r="R375" s="141"/>
    </row>
    <row r="376" spans="18:18" ht="12.75" customHeight="1">
      <c r="R376" s="141"/>
    </row>
    <row r="377" spans="18:18" ht="12.75" customHeight="1">
      <c r="R377" s="141"/>
    </row>
    <row r="378" spans="18:18" ht="12.75" customHeight="1">
      <c r="R378" s="141"/>
    </row>
    <row r="379" spans="18:18" ht="12.75" customHeight="1">
      <c r="R379" s="141"/>
    </row>
    <row r="380" spans="18:18" ht="12.75" customHeight="1">
      <c r="R380" s="141"/>
    </row>
    <row r="381" spans="18:18" ht="12.75" customHeight="1">
      <c r="R381" s="141"/>
    </row>
    <row r="382" spans="18:18" ht="12.75" customHeight="1">
      <c r="R382" s="141"/>
    </row>
    <row r="383" spans="18:18" ht="12.75" customHeight="1">
      <c r="R383" s="141"/>
    </row>
    <row r="384" spans="18:18" ht="12.75" customHeight="1">
      <c r="R384" s="141"/>
    </row>
    <row r="385" spans="18:18" ht="12.75" customHeight="1">
      <c r="R385" s="141"/>
    </row>
    <row r="386" spans="18:18" ht="12.75" customHeight="1">
      <c r="R386" s="141"/>
    </row>
    <row r="387" spans="18:18" ht="12.75" customHeight="1">
      <c r="R387" s="141"/>
    </row>
    <row r="388" spans="18:18" ht="12.75" customHeight="1">
      <c r="R388" s="141"/>
    </row>
    <row r="389" spans="18:18" ht="12.75" customHeight="1">
      <c r="R389" s="141"/>
    </row>
    <row r="390" spans="18:18" ht="12.75" customHeight="1">
      <c r="R390" s="141"/>
    </row>
    <row r="391" spans="18:18" ht="12.75" customHeight="1">
      <c r="R391" s="141"/>
    </row>
    <row r="392" spans="18:18" ht="12.75" customHeight="1">
      <c r="R392" s="141"/>
    </row>
    <row r="393" spans="18:18" ht="12.75" customHeight="1">
      <c r="R393" s="141"/>
    </row>
    <row r="394" spans="18:18" ht="12.75" customHeight="1">
      <c r="R394" s="141"/>
    </row>
    <row r="395" spans="18:18" ht="12.75" customHeight="1">
      <c r="R395" s="141"/>
    </row>
    <row r="396" spans="18:18" ht="12.75" customHeight="1">
      <c r="R396" s="141"/>
    </row>
    <row r="397" spans="18:18" ht="12.75" customHeight="1">
      <c r="R397" s="141"/>
    </row>
    <row r="398" spans="18:18" ht="12.75" customHeight="1">
      <c r="R398" s="141"/>
    </row>
    <row r="399" spans="18:18" ht="12.75" customHeight="1">
      <c r="R399" s="141"/>
    </row>
    <row r="400" spans="18:18" ht="12.75" customHeight="1">
      <c r="R400" s="141"/>
    </row>
    <row r="401" spans="18:18" ht="12.75" customHeight="1">
      <c r="R401" s="141"/>
    </row>
    <row r="402" spans="18:18" ht="12.75" customHeight="1">
      <c r="R402" s="141"/>
    </row>
    <row r="403" spans="18:18" ht="12.75" customHeight="1">
      <c r="R403" s="141"/>
    </row>
    <row r="404" spans="18:18" ht="12.75" customHeight="1">
      <c r="R404" s="141"/>
    </row>
    <row r="405" spans="18:18" ht="12.75" customHeight="1">
      <c r="R405" s="141"/>
    </row>
    <row r="406" spans="18:18" ht="12.75" customHeight="1">
      <c r="R406" s="141"/>
    </row>
    <row r="407" spans="18:18" ht="12.75" customHeight="1">
      <c r="R407" s="141"/>
    </row>
    <row r="408" spans="18:18" ht="12.75" customHeight="1">
      <c r="R408" s="141"/>
    </row>
    <row r="409" spans="18:18" ht="12.75" customHeight="1">
      <c r="R409" s="141"/>
    </row>
    <row r="410" spans="18:18" ht="12.75" customHeight="1">
      <c r="R410" s="141"/>
    </row>
    <row r="411" spans="18:18" ht="12.75" customHeight="1">
      <c r="R411" s="141"/>
    </row>
    <row r="412" spans="18:18" ht="12.75" customHeight="1">
      <c r="R412" s="141"/>
    </row>
    <row r="413" spans="18:18" ht="12.75" customHeight="1">
      <c r="R413" s="141"/>
    </row>
    <row r="414" spans="18:18" ht="12.75" customHeight="1">
      <c r="R414" s="141"/>
    </row>
    <row r="415" spans="18:18" ht="12.75" customHeight="1">
      <c r="R415" s="141"/>
    </row>
    <row r="416" spans="18:18" ht="12.75" customHeight="1">
      <c r="R416" s="141"/>
    </row>
    <row r="417" spans="18:18" ht="12.75" customHeight="1">
      <c r="R417" s="141"/>
    </row>
    <row r="418" spans="18:18" ht="12.75" customHeight="1">
      <c r="R418" s="141"/>
    </row>
    <row r="419" spans="18:18" ht="12.75" customHeight="1">
      <c r="R419" s="141"/>
    </row>
    <row r="420" spans="18:18" ht="12.75" customHeight="1">
      <c r="R420" s="141"/>
    </row>
    <row r="421" spans="18:18" ht="12.75" customHeight="1">
      <c r="R421" s="141"/>
    </row>
    <row r="422" spans="18:18" ht="12.75" customHeight="1">
      <c r="R422" s="141"/>
    </row>
    <row r="423" spans="18:18" ht="12.75" customHeight="1">
      <c r="R423" s="141"/>
    </row>
    <row r="424" spans="18:18" ht="12.75" customHeight="1">
      <c r="R424" s="141"/>
    </row>
    <row r="425" spans="18:18" ht="12.75" customHeight="1">
      <c r="R425" s="141"/>
    </row>
    <row r="426" spans="18:18" ht="12.75" customHeight="1">
      <c r="R426" s="141"/>
    </row>
    <row r="427" spans="18:18" ht="12.75" customHeight="1">
      <c r="R427" s="141"/>
    </row>
    <row r="428" spans="18:18" ht="12.75" customHeight="1">
      <c r="R428" s="141"/>
    </row>
    <row r="429" spans="18:18" ht="12.75" customHeight="1">
      <c r="R429" s="141"/>
    </row>
    <row r="430" spans="18:18" ht="12.75" customHeight="1">
      <c r="R430" s="141"/>
    </row>
    <row r="431" spans="18:18" ht="12.75" customHeight="1">
      <c r="R431" s="141"/>
    </row>
    <row r="432" spans="18:18" ht="12.75" customHeight="1">
      <c r="R432" s="141"/>
    </row>
    <row r="433" spans="18:18" ht="12.75" customHeight="1">
      <c r="R433" s="141"/>
    </row>
    <row r="434" spans="18:18" ht="12.75" customHeight="1">
      <c r="R434" s="141"/>
    </row>
    <row r="435" spans="18:18" ht="12.75" customHeight="1">
      <c r="R435" s="141"/>
    </row>
    <row r="436" spans="18:18" ht="12.75" customHeight="1">
      <c r="R436" s="141"/>
    </row>
    <row r="437" spans="18:18" ht="12.75" customHeight="1">
      <c r="R437" s="141"/>
    </row>
    <row r="438" spans="18:18" ht="12.75" customHeight="1">
      <c r="R438" s="141"/>
    </row>
    <row r="439" spans="18:18" ht="12.75" customHeight="1">
      <c r="R439" s="141"/>
    </row>
    <row r="440" spans="18:18" ht="12.75" customHeight="1">
      <c r="R440" s="141"/>
    </row>
    <row r="441" spans="18:18" ht="12.75" customHeight="1">
      <c r="R441" s="141"/>
    </row>
    <row r="442" spans="18:18" ht="12.75" customHeight="1">
      <c r="R442" s="141"/>
    </row>
    <row r="443" spans="18:18" ht="12.75" customHeight="1">
      <c r="R443" s="141"/>
    </row>
    <row r="444" spans="18:18" ht="12.75" customHeight="1">
      <c r="R444" s="141"/>
    </row>
    <row r="445" spans="18:18" ht="12.75" customHeight="1">
      <c r="R445" s="141"/>
    </row>
    <row r="446" spans="18:18" ht="12.75" customHeight="1">
      <c r="R446" s="141"/>
    </row>
    <row r="447" spans="18:18" ht="12.75" customHeight="1">
      <c r="R447" s="141"/>
    </row>
    <row r="448" spans="18:18" ht="12.75" customHeight="1">
      <c r="R448" s="141"/>
    </row>
    <row r="449" spans="18:18" ht="12.75" customHeight="1">
      <c r="R449" s="141"/>
    </row>
    <row r="450" spans="18:18" ht="12.75" customHeight="1">
      <c r="R450" s="141"/>
    </row>
    <row r="451" spans="18:18" ht="12.75" customHeight="1">
      <c r="R451" s="141"/>
    </row>
    <row r="452" spans="18:18" ht="12.75" customHeight="1">
      <c r="R452" s="141"/>
    </row>
    <row r="453" spans="18:18" ht="12.75" customHeight="1">
      <c r="R453" s="141"/>
    </row>
    <row r="454" spans="18:18" ht="12.75" customHeight="1">
      <c r="R454" s="141"/>
    </row>
    <row r="455" spans="18:18" ht="12.75" customHeight="1">
      <c r="R455" s="141"/>
    </row>
    <row r="456" spans="18:18" ht="12.75" customHeight="1">
      <c r="R456" s="141"/>
    </row>
    <row r="457" spans="18:18" ht="12.75" customHeight="1">
      <c r="R457" s="141"/>
    </row>
    <row r="458" spans="18:18" ht="12.75" customHeight="1">
      <c r="R458" s="141"/>
    </row>
    <row r="459" spans="18:18" ht="12.75" customHeight="1">
      <c r="R459" s="141"/>
    </row>
    <row r="460" spans="18:18" ht="12.75" customHeight="1">
      <c r="R460" s="141"/>
    </row>
    <row r="461" spans="18:18" ht="12.75" customHeight="1">
      <c r="R461" s="141"/>
    </row>
    <row r="462" spans="18:18" ht="12.75" customHeight="1">
      <c r="R462" s="141"/>
    </row>
    <row r="463" spans="18:18" ht="12.75" customHeight="1">
      <c r="R463" s="141"/>
    </row>
    <row r="464" spans="18:18" ht="12.75" customHeight="1">
      <c r="R464" s="141"/>
    </row>
    <row r="465" spans="18:18" ht="12.75" customHeight="1">
      <c r="R465" s="141"/>
    </row>
    <row r="466" spans="18:18" ht="12.75" customHeight="1">
      <c r="R466" s="141"/>
    </row>
    <row r="467" spans="18:18" ht="12.75" customHeight="1">
      <c r="R467" s="141"/>
    </row>
    <row r="468" spans="18:18" ht="12.75" customHeight="1">
      <c r="R468" s="141"/>
    </row>
    <row r="469" spans="18:18" ht="12.75" customHeight="1">
      <c r="R469" s="141"/>
    </row>
    <row r="470" spans="18:18" ht="12.75" customHeight="1">
      <c r="R470" s="141"/>
    </row>
    <row r="471" spans="18:18" ht="12.75" customHeight="1">
      <c r="R471" s="141"/>
    </row>
    <row r="472" spans="18:18" ht="12.75" customHeight="1">
      <c r="R472" s="141"/>
    </row>
    <row r="473" spans="18:18" ht="12.75" customHeight="1">
      <c r="R473" s="141"/>
    </row>
    <row r="474" spans="18:18" ht="12.75" customHeight="1">
      <c r="R474" s="141"/>
    </row>
    <row r="475" spans="18:18" ht="12.75" customHeight="1">
      <c r="R475" s="141"/>
    </row>
    <row r="476" spans="18:18" ht="12.75" customHeight="1">
      <c r="R476" s="141"/>
    </row>
    <row r="477" spans="18:18" ht="12.75" customHeight="1">
      <c r="R477" s="141"/>
    </row>
    <row r="478" spans="18:18" ht="12.75" customHeight="1">
      <c r="R478" s="141"/>
    </row>
    <row r="479" spans="18:18" ht="12.75" customHeight="1">
      <c r="R479" s="141"/>
    </row>
    <row r="480" spans="18:18" ht="12.75" customHeight="1">
      <c r="R480" s="141"/>
    </row>
    <row r="481" spans="18:18" ht="12.75" customHeight="1">
      <c r="R481" s="141"/>
    </row>
    <row r="482" spans="18:18" ht="12.75" customHeight="1">
      <c r="R482" s="141"/>
    </row>
    <row r="483" spans="18:18" ht="12.75" customHeight="1">
      <c r="R483" s="141"/>
    </row>
    <row r="484" spans="18:18" ht="12.75" customHeight="1">
      <c r="R484" s="141"/>
    </row>
    <row r="485" spans="18:18" ht="12.75" customHeight="1">
      <c r="R485" s="141"/>
    </row>
    <row r="486" spans="18:18" ht="12.75" customHeight="1">
      <c r="R486" s="141"/>
    </row>
    <row r="487" spans="18:18" ht="12.75" customHeight="1">
      <c r="R487" s="141"/>
    </row>
    <row r="488" spans="18:18" ht="12.75" customHeight="1">
      <c r="R488" s="141"/>
    </row>
    <row r="489" spans="18:18" ht="12.75" customHeight="1">
      <c r="R489" s="141"/>
    </row>
    <row r="490" spans="18:18" ht="12.75" customHeight="1">
      <c r="R490" s="141"/>
    </row>
    <row r="491" spans="18:18" ht="12.75" customHeight="1">
      <c r="R491" s="141"/>
    </row>
    <row r="492" spans="18:18" ht="12.75" customHeight="1">
      <c r="R492" s="141"/>
    </row>
    <row r="493" spans="18:18" ht="12.75" customHeight="1">
      <c r="R493" s="141"/>
    </row>
    <row r="494" spans="18:18" ht="12.75" customHeight="1">
      <c r="R494" s="141"/>
    </row>
    <row r="495" spans="18:18" ht="12.75" customHeight="1">
      <c r="R495" s="141"/>
    </row>
    <row r="496" spans="18:18" ht="12.75" customHeight="1">
      <c r="R496" s="141"/>
    </row>
    <row r="497" spans="18:18" ht="12.75" customHeight="1">
      <c r="R497" s="141"/>
    </row>
    <row r="498" spans="18:18" ht="12.75" customHeight="1">
      <c r="R498" s="141"/>
    </row>
    <row r="499" spans="18:18" ht="12.75" customHeight="1">
      <c r="R499" s="141"/>
    </row>
    <row r="500" spans="18:18" ht="12.75" customHeight="1">
      <c r="R500" s="141"/>
    </row>
    <row r="501" spans="18:18" ht="12.75" customHeight="1">
      <c r="R501" s="141"/>
    </row>
    <row r="502" spans="18:18" ht="12.75" customHeight="1">
      <c r="R502" s="141"/>
    </row>
    <row r="503" spans="18:18" ht="12.75" customHeight="1">
      <c r="R503" s="141"/>
    </row>
    <row r="504" spans="18:18" ht="12.75" customHeight="1">
      <c r="R504" s="141"/>
    </row>
    <row r="505" spans="18:18" ht="12.75" customHeight="1">
      <c r="R505" s="141"/>
    </row>
    <row r="506" spans="18:18" ht="12.75" customHeight="1">
      <c r="R506" s="141"/>
    </row>
    <row r="507" spans="18:18" ht="12.75" customHeight="1">
      <c r="R507" s="141"/>
    </row>
    <row r="508" spans="18:18" ht="12.75" customHeight="1">
      <c r="R508" s="141"/>
    </row>
    <row r="509" spans="18:18" ht="12.75" customHeight="1">
      <c r="R509" s="141"/>
    </row>
    <row r="510" spans="18:18" ht="12.75" customHeight="1">
      <c r="R510" s="141"/>
    </row>
    <row r="511" spans="18:18" ht="12.75" customHeight="1">
      <c r="R511" s="141"/>
    </row>
    <row r="512" spans="18:18" ht="12.75" customHeight="1">
      <c r="R512" s="141"/>
    </row>
    <row r="513" spans="18:18" ht="12.75" customHeight="1">
      <c r="R513" s="141"/>
    </row>
    <row r="514" spans="18:18" ht="12.75" customHeight="1">
      <c r="R514" s="141"/>
    </row>
    <row r="515" spans="18:18" ht="12.75" customHeight="1">
      <c r="R515" s="141"/>
    </row>
    <row r="516" spans="18:18" ht="12.75" customHeight="1">
      <c r="R516" s="141"/>
    </row>
    <row r="517" spans="18:18" ht="12.75" customHeight="1">
      <c r="R517" s="141"/>
    </row>
    <row r="518" spans="18:18" ht="12.75" customHeight="1">
      <c r="R518" s="141"/>
    </row>
    <row r="519" spans="18:18" ht="12.75" customHeight="1">
      <c r="R519" s="141"/>
    </row>
    <row r="520" spans="18:18" ht="12.75" customHeight="1">
      <c r="R520" s="141"/>
    </row>
    <row r="521" spans="18:18" ht="12.75" customHeight="1">
      <c r="R521" s="141"/>
    </row>
    <row r="522" spans="18:18" ht="12.75" customHeight="1">
      <c r="R522" s="141"/>
    </row>
    <row r="523" spans="18:18" ht="12.75" customHeight="1">
      <c r="R523" s="141"/>
    </row>
    <row r="524" spans="18:18" ht="12.75" customHeight="1">
      <c r="R524" s="141"/>
    </row>
    <row r="525" spans="18:18" ht="12.75" customHeight="1">
      <c r="R525" s="141"/>
    </row>
    <row r="526" spans="18:18" ht="12.75" customHeight="1">
      <c r="R526" s="141"/>
    </row>
    <row r="527" spans="18:18" ht="12.75" customHeight="1">
      <c r="R527" s="141"/>
    </row>
    <row r="528" spans="18:18" ht="12.75" customHeight="1">
      <c r="R528" s="141"/>
    </row>
    <row r="529" spans="18:18" ht="12.75" customHeight="1">
      <c r="R529" s="141"/>
    </row>
    <row r="530" spans="18:18" ht="12.75" customHeight="1">
      <c r="R530" s="141"/>
    </row>
    <row r="531" spans="18:18" ht="12.75" customHeight="1">
      <c r="R531" s="141"/>
    </row>
    <row r="532" spans="18:18" ht="12.75" customHeight="1">
      <c r="R532" s="141"/>
    </row>
    <row r="533" spans="18:18" ht="12.75" customHeight="1">
      <c r="R533" s="141"/>
    </row>
    <row r="534" spans="18:18" ht="12.75" customHeight="1">
      <c r="R534" s="141"/>
    </row>
    <row r="535" spans="18:18" ht="12.75" customHeight="1">
      <c r="R535" s="141"/>
    </row>
    <row r="536" spans="18:18" ht="12.75" customHeight="1">
      <c r="R536" s="141"/>
    </row>
    <row r="537" spans="18:18" ht="12.75" customHeight="1">
      <c r="R537" s="141"/>
    </row>
    <row r="538" spans="18:18" ht="12.75" customHeight="1">
      <c r="R538" s="141"/>
    </row>
    <row r="539" spans="18:18" ht="12.75" customHeight="1">
      <c r="R539" s="141"/>
    </row>
    <row r="540" spans="18:18" ht="12.75" customHeight="1">
      <c r="R540" s="141"/>
    </row>
    <row r="541" spans="18:18" ht="12.75" customHeight="1">
      <c r="R541" s="141"/>
    </row>
    <row r="542" spans="18:18" ht="12.75" customHeight="1">
      <c r="R542" s="141"/>
    </row>
    <row r="543" spans="18:18" ht="12.75" customHeight="1">
      <c r="R543" s="141"/>
    </row>
    <row r="544" spans="18:18" ht="12.75" customHeight="1">
      <c r="R544" s="141"/>
    </row>
    <row r="545" spans="18:18" ht="12.75" customHeight="1">
      <c r="R545" s="141"/>
    </row>
    <row r="546" spans="18:18" ht="12.75" customHeight="1">
      <c r="R546" s="141"/>
    </row>
    <row r="547" spans="18:18" ht="12.75" customHeight="1">
      <c r="R547" s="141"/>
    </row>
    <row r="548" spans="18:18" ht="12.75" customHeight="1">
      <c r="R548" s="141"/>
    </row>
    <row r="549" spans="18:18" ht="12.75" customHeight="1">
      <c r="R549" s="141"/>
    </row>
    <row r="550" spans="18:18" ht="12.75" customHeight="1">
      <c r="R550" s="141"/>
    </row>
    <row r="551" spans="18:18" ht="12.75" customHeight="1">
      <c r="R551" s="141"/>
    </row>
    <row r="552" spans="18:18" ht="12.75" customHeight="1">
      <c r="R552" s="141"/>
    </row>
    <row r="553" spans="18:18" ht="12.75" customHeight="1">
      <c r="R553" s="141"/>
    </row>
    <row r="554" spans="18:18" ht="12.75" customHeight="1">
      <c r="R554" s="141"/>
    </row>
    <row r="555" spans="18:18" ht="12.75" customHeight="1">
      <c r="R555" s="141"/>
    </row>
    <row r="556" spans="18:18" ht="12.75" customHeight="1">
      <c r="R556" s="141"/>
    </row>
    <row r="557" spans="18:18" ht="12.75" customHeight="1">
      <c r="R557" s="141"/>
    </row>
    <row r="558" spans="18:18" ht="12.75" customHeight="1">
      <c r="R558" s="141"/>
    </row>
    <row r="559" spans="18:18" ht="12.75" customHeight="1">
      <c r="R559" s="141"/>
    </row>
    <row r="560" spans="18:18" ht="12.75" customHeight="1">
      <c r="R560" s="141"/>
    </row>
    <row r="561" spans="18:18" ht="12.75" customHeight="1">
      <c r="R561" s="141"/>
    </row>
    <row r="562" spans="18:18" ht="12.75" customHeight="1">
      <c r="R562" s="141"/>
    </row>
    <row r="563" spans="18:18" ht="12.75" customHeight="1">
      <c r="R563" s="141"/>
    </row>
    <row r="564" spans="18:18" ht="12.75" customHeight="1">
      <c r="R564" s="141"/>
    </row>
    <row r="565" spans="18:18" ht="12.75" customHeight="1">
      <c r="R565" s="141"/>
    </row>
    <row r="566" spans="18:18" ht="12.75" customHeight="1">
      <c r="R566" s="141"/>
    </row>
    <row r="567" spans="18:18" ht="12.75" customHeight="1">
      <c r="R567" s="141"/>
    </row>
    <row r="568" spans="18:18" ht="12.75" customHeight="1">
      <c r="R568" s="141"/>
    </row>
    <row r="569" spans="18:18" ht="12.75" customHeight="1">
      <c r="R569" s="141"/>
    </row>
    <row r="570" spans="18:18" ht="12.75" customHeight="1">
      <c r="R570" s="141"/>
    </row>
    <row r="571" spans="18:18" ht="12.75" customHeight="1">
      <c r="R571" s="141"/>
    </row>
    <row r="572" spans="18:18" ht="12.75" customHeight="1">
      <c r="R572" s="141"/>
    </row>
    <row r="573" spans="18:18" ht="12.75" customHeight="1">
      <c r="R573" s="141"/>
    </row>
    <row r="574" spans="18:18" ht="12.75" customHeight="1">
      <c r="R574" s="141"/>
    </row>
    <row r="575" spans="18:18" ht="12.75" customHeight="1">
      <c r="R575" s="141"/>
    </row>
    <row r="576" spans="18:18" ht="12.75" customHeight="1">
      <c r="R576" s="141"/>
    </row>
    <row r="577" spans="18:18" ht="12.75" customHeight="1">
      <c r="R577" s="141"/>
    </row>
    <row r="578" spans="18:18" ht="12.75" customHeight="1">
      <c r="R578" s="141"/>
    </row>
    <row r="579" spans="18:18" ht="12.75" customHeight="1">
      <c r="R579" s="141"/>
    </row>
    <row r="580" spans="18:18" ht="12.75" customHeight="1">
      <c r="R580" s="141"/>
    </row>
    <row r="581" spans="18:18" ht="12.75" customHeight="1">
      <c r="R581" s="141"/>
    </row>
    <row r="582" spans="18:18" ht="12.75" customHeight="1">
      <c r="R582" s="141"/>
    </row>
    <row r="583" spans="18:18" ht="12.75" customHeight="1">
      <c r="R583" s="141"/>
    </row>
    <row r="584" spans="18:18" ht="12.75" customHeight="1">
      <c r="R584" s="141"/>
    </row>
    <row r="585" spans="18:18" ht="12.75" customHeight="1">
      <c r="R585" s="141"/>
    </row>
    <row r="586" spans="18:18" ht="12.75" customHeight="1">
      <c r="R586" s="141"/>
    </row>
    <row r="587" spans="18:18" ht="12.75" customHeight="1">
      <c r="R587" s="141"/>
    </row>
    <row r="588" spans="18:18" ht="12.75" customHeight="1">
      <c r="R588" s="141"/>
    </row>
    <row r="589" spans="18:18" ht="12.75" customHeight="1">
      <c r="R589" s="141"/>
    </row>
    <row r="590" spans="18:18" ht="12.75" customHeight="1">
      <c r="R590" s="141"/>
    </row>
    <row r="591" spans="18:18" ht="12.75" customHeight="1">
      <c r="R591" s="141"/>
    </row>
    <row r="592" spans="18:18" ht="12.75" customHeight="1">
      <c r="R592" s="141"/>
    </row>
    <row r="593" spans="18:18" ht="12.75" customHeight="1">
      <c r="R593" s="141"/>
    </row>
    <row r="594" spans="18:18" ht="12.75" customHeight="1">
      <c r="R594" s="141"/>
    </row>
    <row r="595" spans="18:18" ht="12.75" customHeight="1">
      <c r="R595" s="141"/>
    </row>
    <row r="596" spans="18:18" ht="12.75" customHeight="1">
      <c r="R596" s="141"/>
    </row>
    <row r="597" spans="18:18" ht="12.75" customHeight="1">
      <c r="R597" s="141"/>
    </row>
    <row r="598" spans="18:18" ht="12.75" customHeight="1">
      <c r="R598" s="141"/>
    </row>
    <row r="599" spans="18:18" ht="12.75" customHeight="1">
      <c r="R599" s="141"/>
    </row>
    <row r="600" spans="18:18" ht="12.75" customHeight="1">
      <c r="R600" s="141"/>
    </row>
    <row r="601" spans="18:18" ht="12.75" customHeight="1">
      <c r="R601" s="141"/>
    </row>
    <row r="602" spans="18:18" ht="12.75" customHeight="1">
      <c r="R602" s="141"/>
    </row>
    <row r="603" spans="18:18" ht="12.75" customHeight="1">
      <c r="R603" s="141"/>
    </row>
    <row r="604" spans="18:18" ht="12.75" customHeight="1">
      <c r="R604" s="141"/>
    </row>
    <row r="605" spans="18:18" ht="12.75" customHeight="1">
      <c r="R605" s="141"/>
    </row>
    <row r="606" spans="18:18" ht="12.75" customHeight="1">
      <c r="R606" s="141"/>
    </row>
    <row r="607" spans="18:18" ht="12.75" customHeight="1">
      <c r="R607" s="141"/>
    </row>
    <row r="608" spans="18:18" ht="12.75" customHeight="1">
      <c r="R608" s="141"/>
    </row>
    <row r="609" spans="18:18" ht="12.75" customHeight="1">
      <c r="R609" s="141"/>
    </row>
    <row r="610" spans="18:18" ht="12.75" customHeight="1">
      <c r="R610" s="141"/>
    </row>
    <row r="611" spans="18:18" ht="12.75" customHeight="1">
      <c r="R611" s="141"/>
    </row>
    <row r="612" spans="18:18" ht="12.75" customHeight="1">
      <c r="R612" s="141"/>
    </row>
    <row r="613" spans="18:18" ht="12.75" customHeight="1">
      <c r="R613" s="141"/>
    </row>
    <row r="614" spans="18:18" ht="12.75" customHeight="1">
      <c r="R614" s="141"/>
    </row>
    <row r="615" spans="18:18" ht="12.75" customHeight="1">
      <c r="R615" s="141"/>
    </row>
    <row r="616" spans="18:18" ht="12.75" customHeight="1">
      <c r="R616" s="141"/>
    </row>
    <row r="617" spans="18:18" ht="12.75" customHeight="1">
      <c r="R617" s="141"/>
    </row>
    <row r="618" spans="18:18" ht="12.75" customHeight="1">
      <c r="R618" s="141"/>
    </row>
    <row r="619" spans="18:18" ht="12.75" customHeight="1">
      <c r="R619" s="141"/>
    </row>
    <row r="620" spans="18:18" ht="12.75" customHeight="1">
      <c r="R620" s="141"/>
    </row>
    <row r="621" spans="18:18" ht="12.75" customHeight="1">
      <c r="R621" s="141"/>
    </row>
    <row r="622" spans="18:18" ht="12.75" customHeight="1">
      <c r="R622" s="141"/>
    </row>
    <row r="623" spans="18:18" ht="12.75" customHeight="1">
      <c r="R623" s="141"/>
    </row>
    <row r="624" spans="18:18" ht="12.75" customHeight="1">
      <c r="R624" s="141"/>
    </row>
    <row r="625" spans="18:18" ht="12.75" customHeight="1">
      <c r="R625" s="141"/>
    </row>
    <row r="626" spans="18:18" ht="12.75" customHeight="1">
      <c r="R626" s="141"/>
    </row>
    <row r="627" spans="18:18" ht="12.75" customHeight="1">
      <c r="R627" s="141"/>
    </row>
    <row r="628" spans="18:18" ht="12.75" customHeight="1">
      <c r="R628" s="141"/>
    </row>
    <row r="629" spans="18:18" ht="12.75" customHeight="1">
      <c r="R629" s="141"/>
    </row>
    <row r="630" spans="18:18" ht="12.75" customHeight="1">
      <c r="R630" s="141"/>
    </row>
    <row r="631" spans="18:18" ht="12.75" customHeight="1">
      <c r="R631" s="141"/>
    </row>
    <row r="632" spans="18:18" ht="12.75" customHeight="1">
      <c r="R632" s="141"/>
    </row>
    <row r="633" spans="18:18" ht="12.75" customHeight="1">
      <c r="R633" s="141"/>
    </row>
    <row r="634" spans="18:18" ht="12.75" customHeight="1">
      <c r="R634" s="141"/>
    </row>
    <row r="635" spans="18:18" ht="12.75" customHeight="1">
      <c r="R635" s="141"/>
    </row>
    <row r="636" spans="18:18" ht="12.75" customHeight="1">
      <c r="R636" s="141"/>
    </row>
    <row r="637" spans="18:18" ht="12.75" customHeight="1">
      <c r="R637" s="141"/>
    </row>
    <row r="638" spans="18:18" ht="12.75" customHeight="1">
      <c r="R638" s="141"/>
    </row>
    <row r="639" spans="18:18" ht="12.75" customHeight="1">
      <c r="R639" s="141"/>
    </row>
    <row r="640" spans="18:18" ht="12.75" customHeight="1">
      <c r="R640" s="141"/>
    </row>
    <row r="641" spans="18:18" ht="12.75" customHeight="1">
      <c r="R641" s="141"/>
    </row>
    <row r="642" spans="18:18" ht="12.75" customHeight="1">
      <c r="R642" s="141"/>
    </row>
    <row r="643" spans="18:18" ht="12.75" customHeight="1">
      <c r="R643" s="141"/>
    </row>
    <row r="644" spans="18:18" ht="12.75" customHeight="1">
      <c r="R644" s="141"/>
    </row>
    <row r="645" spans="18:18" ht="12.75" customHeight="1">
      <c r="R645" s="141"/>
    </row>
    <row r="646" spans="18:18" ht="12.75" customHeight="1">
      <c r="R646" s="141"/>
    </row>
    <row r="647" spans="18:18" ht="12.75" customHeight="1">
      <c r="R647" s="141"/>
    </row>
    <row r="648" spans="18:18" ht="12.75" customHeight="1">
      <c r="R648" s="141"/>
    </row>
    <row r="649" spans="18:18" ht="12.75" customHeight="1">
      <c r="R649" s="141"/>
    </row>
    <row r="650" spans="18:18" ht="12.75" customHeight="1">
      <c r="R650" s="141"/>
    </row>
    <row r="651" spans="18:18" ht="12.75" customHeight="1">
      <c r="R651" s="141"/>
    </row>
    <row r="652" spans="18:18" ht="12.75" customHeight="1">
      <c r="R652" s="141"/>
    </row>
    <row r="653" spans="18:18" ht="12.75" customHeight="1">
      <c r="R653" s="141"/>
    </row>
    <row r="654" spans="18:18" ht="12.75" customHeight="1">
      <c r="R654" s="141"/>
    </row>
    <row r="655" spans="18:18" ht="12.75" customHeight="1">
      <c r="R655" s="141"/>
    </row>
    <row r="656" spans="18:18" ht="12.75" customHeight="1">
      <c r="R656" s="141"/>
    </row>
    <row r="657" spans="18:18" ht="12.75" customHeight="1">
      <c r="R657" s="141"/>
    </row>
    <row r="658" spans="18:18" ht="12.75" customHeight="1">
      <c r="R658" s="141"/>
    </row>
    <row r="659" spans="18:18" ht="12.75" customHeight="1">
      <c r="R659" s="141"/>
    </row>
    <row r="660" spans="18:18" ht="12.75" customHeight="1">
      <c r="R660" s="141"/>
    </row>
    <row r="661" spans="18:18" ht="12.75" customHeight="1">
      <c r="R661" s="141"/>
    </row>
    <row r="662" spans="18:18" ht="12.75" customHeight="1">
      <c r="R662" s="141"/>
    </row>
    <row r="663" spans="18:18" ht="12.75" customHeight="1">
      <c r="R663" s="141"/>
    </row>
    <row r="664" spans="18:18" ht="12.75" customHeight="1">
      <c r="R664" s="141"/>
    </row>
    <row r="665" spans="18:18" ht="12.75" customHeight="1">
      <c r="R665" s="141"/>
    </row>
    <row r="666" spans="18:18" ht="12.75" customHeight="1">
      <c r="R666" s="141"/>
    </row>
    <row r="667" spans="18:18" ht="12.75" customHeight="1">
      <c r="R667" s="141"/>
    </row>
    <row r="668" spans="18:18" ht="12.75" customHeight="1">
      <c r="R668" s="141"/>
    </row>
    <row r="669" spans="18:18" ht="12.75" customHeight="1">
      <c r="R669" s="141"/>
    </row>
    <row r="670" spans="18:18" ht="12.75" customHeight="1">
      <c r="R670" s="141"/>
    </row>
    <row r="671" spans="18:18" ht="12.75" customHeight="1">
      <c r="R671" s="141"/>
    </row>
    <row r="672" spans="18:18" ht="12.75" customHeight="1">
      <c r="R672" s="141"/>
    </row>
    <row r="673" spans="18:18" ht="12.75" customHeight="1">
      <c r="R673" s="141"/>
    </row>
    <row r="674" spans="18:18" ht="12.75" customHeight="1">
      <c r="R674" s="141"/>
    </row>
    <row r="675" spans="18:18" ht="12.75" customHeight="1">
      <c r="R675" s="141"/>
    </row>
    <row r="676" spans="18:18" ht="12.75" customHeight="1">
      <c r="R676" s="141"/>
    </row>
    <row r="677" spans="18:18" ht="12.75" customHeight="1">
      <c r="R677" s="141"/>
    </row>
    <row r="678" spans="18:18" ht="12.75" customHeight="1">
      <c r="R678" s="141"/>
    </row>
    <row r="679" spans="18:18" ht="12.75" customHeight="1">
      <c r="R679" s="141"/>
    </row>
    <row r="680" spans="18:18" ht="12.75" customHeight="1">
      <c r="R680" s="141"/>
    </row>
    <row r="681" spans="18:18" ht="12.75" customHeight="1">
      <c r="R681" s="141"/>
    </row>
    <row r="682" spans="18:18" ht="12.75" customHeight="1">
      <c r="R682" s="141"/>
    </row>
    <row r="683" spans="18:18" ht="12.75" customHeight="1">
      <c r="R683" s="141"/>
    </row>
    <row r="684" spans="18:18" ht="12.75" customHeight="1">
      <c r="R684" s="141"/>
    </row>
    <row r="685" spans="18:18" ht="12.75" customHeight="1">
      <c r="R685" s="141"/>
    </row>
    <row r="686" spans="18:18" ht="12.75" customHeight="1">
      <c r="R686" s="141"/>
    </row>
    <row r="687" spans="18:18" ht="12.75" customHeight="1">
      <c r="R687" s="141"/>
    </row>
    <row r="688" spans="18:18" ht="12.75" customHeight="1">
      <c r="R688" s="141"/>
    </row>
    <row r="689" spans="18:18" ht="12.75" customHeight="1">
      <c r="R689" s="141"/>
    </row>
    <row r="690" spans="18:18" ht="12.75" customHeight="1">
      <c r="R690" s="141"/>
    </row>
    <row r="691" spans="18:18" ht="12.75" customHeight="1">
      <c r="R691" s="141"/>
    </row>
    <row r="692" spans="18:18" ht="12.75" customHeight="1">
      <c r="R692" s="141"/>
    </row>
    <row r="693" spans="18:18" ht="12.75" customHeight="1">
      <c r="R693" s="141"/>
    </row>
    <row r="694" spans="18:18" ht="12.75" customHeight="1">
      <c r="R694" s="141"/>
    </row>
    <row r="695" spans="18:18" ht="12.75" customHeight="1">
      <c r="R695" s="141"/>
    </row>
    <row r="696" spans="18:18" ht="12.75" customHeight="1">
      <c r="R696" s="141"/>
    </row>
    <row r="697" spans="18:18" ht="12.75" customHeight="1">
      <c r="R697" s="141"/>
    </row>
    <row r="698" spans="18:18" ht="12.75" customHeight="1">
      <c r="R698" s="141"/>
    </row>
    <row r="699" spans="18:18" ht="12.75" customHeight="1">
      <c r="R699" s="141"/>
    </row>
    <row r="700" spans="18:18" ht="12.75" customHeight="1">
      <c r="R700" s="141"/>
    </row>
    <row r="701" spans="18:18" ht="12.75" customHeight="1">
      <c r="R701" s="141"/>
    </row>
    <row r="702" spans="18:18" ht="12.75" customHeight="1">
      <c r="R702" s="141"/>
    </row>
    <row r="703" spans="18:18" ht="12.75" customHeight="1">
      <c r="R703" s="141"/>
    </row>
    <row r="704" spans="18:18" ht="12.75" customHeight="1">
      <c r="R704" s="141"/>
    </row>
    <row r="705" spans="18:18" ht="12.75" customHeight="1">
      <c r="R705" s="141"/>
    </row>
    <row r="706" spans="18:18" ht="12.75" customHeight="1">
      <c r="R706" s="141"/>
    </row>
    <row r="707" spans="18:18" ht="12.75" customHeight="1">
      <c r="R707" s="141"/>
    </row>
    <row r="708" spans="18:18" ht="12.75" customHeight="1">
      <c r="R708" s="141"/>
    </row>
    <row r="709" spans="18:18" ht="12.75" customHeight="1">
      <c r="R709" s="141"/>
    </row>
    <row r="710" spans="18:18" ht="12.75" customHeight="1">
      <c r="R710" s="141"/>
    </row>
    <row r="711" spans="18:18" ht="12.75" customHeight="1">
      <c r="R711" s="141"/>
    </row>
    <row r="712" spans="18:18" ht="12.75" customHeight="1">
      <c r="R712" s="141"/>
    </row>
    <row r="713" spans="18:18" ht="12.75" customHeight="1">
      <c r="R713" s="141"/>
    </row>
    <row r="714" spans="18:18" ht="12.75" customHeight="1">
      <c r="R714" s="141"/>
    </row>
    <row r="715" spans="18:18" ht="12.75" customHeight="1">
      <c r="R715" s="141"/>
    </row>
    <row r="716" spans="18:18" ht="12.75" customHeight="1">
      <c r="R716" s="141"/>
    </row>
    <row r="717" spans="18:18" ht="12.75" customHeight="1">
      <c r="R717" s="141"/>
    </row>
    <row r="718" spans="18:18" ht="12.75" customHeight="1">
      <c r="R718" s="141"/>
    </row>
    <row r="719" spans="18:18" ht="12.75" customHeight="1">
      <c r="R719" s="141"/>
    </row>
    <row r="720" spans="18:18" ht="12.75" customHeight="1">
      <c r="R720" s="141"/>
    </row>
    <row r="721" spans="18:18" ht="12.75" customHeight="1">
      <c r="R721" s="141"/>
    </row>
    <row r="722" spans="18:18" ht="12.75" customHeight="1">
      <c r="R722" s="141"/>
    </row>
    <row r="723" spans="18:18" ht="12.75" customHeight="1">
      <c r="R723" s="141"/>
    </row>
    <row r="724" spans="18:18" ht="12.75" customHeight="1">
      <c r="R724" s="141"/>
    </row>
    <row r="725" spans="18:18" ht="12.75" customHeight="1">
      <c r="R725" s="141"/>
    </row>
    <row r="726" spans="18:18" ht="12.75" customHeight="1">
      <c r="R726" s="141"/>
    </row>
    <row r="727" spans="18:18" ht="12.75" customHeight="1">
      <c r="R727" s="141"/>
    </row>
    <row r="728" spans="18:18" ht="12.75" customHeight="1">
      <c r="R728" s="141"/>
    </row>
    <row r="729" spans="18:18" ht="12.75" customHeight="1">
      <c r="R729" s="141"/>
    </row>
    <row r="730" spans="18:18" ht="12.75" customHeight="1">
      <c r="R730" s="141"/>
    </row>
    <row r="731" spans="18:18" ht="12.75" customHeight="1">
      <c r="R731" s="141"/>
    </row>
    <row r="732" spans="18:18" ht="12.75" customHeight="1">
      <c r="R732" s="141"/>
    </row>
    <row r="733" spans="18:18" ht="12.75" customHeight="1">
      <c r="R733" s="141"/>
    </row>
    <row r="734" spans="18:18" ht="12.75" customHeight="1">
      <c r="R734" s="141"/>
    </row>
    <row r="735" spans="18:18" ht="12.75" customHeight="1">
      <c r="R735" s="141"/>
    </row>
    <row r="736" spans="18:18" ht="12.75" customHeight="1">
      <c r="R736" s="141"/>
    </row>
    <row r="737" spans="18:18" ht="12.75" customHeight="1">
      <c r="R737" s="141"/>
    </row>
    <row r="738" spans="18:18" ht="12.75" customHeight="1">
      <c r="R738" s="141"/>
    </row>
    <row r="739" spans="18:18" ht="12.75" customHeight="1">
      <c r="R739" s="141"/>
    </row>
    <row r="740" spans="18:18" ht="12.75" customHeight="1">
      <c r="R740" s="141"/>
    </row>
    <row r="741" spans="18:18" ht="12.75" customHeight="1">
      <c r="R741" s="141"/>
    </row>
    <row r="742" spans="18:18" ht="12.75" customHeight="1">
      <c r="R742" s="141"/>
    </row>
    <row r="743" spans="18:18" ht="12.75" customHeight="1">
      <c r="R743" s="141"/>
    </row>
    <row r="744" spans="18:18" ht="12.75" customHeight="1">
      <c r="R744" s="141"/>
    </row>
    <row r="745" spans="18:18" ht="12.75" customHeight="1">
      <c r="R745" s="141"/>
    </row>
    <row r="746" spans="18:18" ht="12.75" customHeight="1">
      <c r="R746" s="141"/>
    </row>
    <row r="747" spans="18:18" ht="12.75" customHeight="1">
      <c r="R747" s="141"/>
    </row>
    <row r="748" spans="18:18" ht="12.75" customHeight="1">
      <c r="R748" s="141"/>
    </row>
    <row r="749" spans="18:18" ht="12.75" customHeight="1">
      <c r="R749" s="141"/>
    </row>
    <row r="750" spans="18:18" ht="12.75" customHeight="1">
      <c r="R750" s="141"/>
    </row>
    <row r="751" spans="18:18" ht="12.75" customHeight="1">
      <c r="R751" s="141"/>
    </row>
    <row r="752" spans="18:18" ht="12.75" customHeight="1">
      <c r="R752" s="141"/>
    </row>
    <row r="753" spans="18:18" ht="12.75" customHeight="1">
      <c r="R753" s="141"/>
    </row>
    <row r="754" spans="18:18" ht="12.75" customHeight="1">
      <c r="R754" s="141"/>
    </row>
    <row r="755" spans="18:18" ht="12.75" customHeight="1">
      <c r="R755" s="141"/>
    </row>
    <row r="756" spans="18:18" ht="12.75" customHeight="1">
      <c r="R756" s="141"/>
    </row>
    <row r="757" spans="18:18" ht="12.75" customHeight="1">
      <c r="R757" s="141"/>
    </row>
    <row r="758" spans="18:18" ht="12.75" customHeight="1">
      <c r="R758" s="141"/>
    </row>
    <row r="759" spans="18:18" ht="12.75" customHeight="1">
      <c r="R759" s="141"/>
    </row>
    <row r="760" spans="18:18" ht="12.75" customHeight="1">
      <c r="R760" s="141"/>
    </row>
    <row r="761" spans="18:18" ht="12.75" customHeight="1">
      <c r="R761" s="141"/>
    </row>
    <row r="762" spans="18:18" ht="12.75" customHeight="1">
      <c r="R762" s="141"/>
    </row>
    <row r="763" spans="18:18" ht="12.75" customHeight="1">
      <c r="R763" s="141"/>
    </row>
    <row r="764" spans="18:18" ht="12.75" customHeight="1">
      <c r="R764" s="141"/>
    </row>
    <row r="765" spans="18:18" ht="12.75" customHeight="1">
      <c r="R765" s="141"/>
    </row>
    <row r="766" spans="18:18" ht="12.75" customHeight="1">
      <c r="R766" s="141"/>
    </row>
    <row r="767" spans="18:18" ht="12.75" customHeight="1">
      <c r="R767" s="141"/>
    </row>
    <row r="768" spans="18:18" ht="12.75" customHeight="1">
      <c r="R768" s="141"/>
    </row>
    <row r="769" spans="18:18" ht="12.75" customHeight="1">
      <c r="R769" s="141"/>
    </row>
    <row r="770" spans="18:18" ht="12.75" customHeight="1">
      <c r="R770" s="141"/>
    </row>
    <row r="771" spans="18:18" ht="12.75" customHeight="1">
      <c r="R771" s="141"/>
    </row>
    <row r="772" spans="18:18" ht="12.75" customHeight="1">
      <c r="R772" s="141"/>
    </row>
    <row r="773" spans="18:18" ht="12.75" customHeight="1">
      <c r="R773" s="141"/>
    </row>
    <row r="774" spans="18:18" ht="12.75" customHeight="1">
      <c r="R774" s="141"/>
    </row>
    <row r="775" spans="18:18" ht="12.75" customHeight="1">
      <c r="R775" s="141"/>
    </row>
    <row r="776" spans="18:18" ht="12.75" customHeight="1">
      <c r="R776" s="141"/>
    </row>
    <row r="777" spans="18:18" ht="12.75" customHeight="1">
      <c r="R777" s="141"/>
    </row>
    <row r="778" spans="18:18" ht="12.75" customHeight="1">
      <c r="R778" s="141"/>
    </row>
    <row r="779" spans="18:18" ht="12.75" customHeight="1">
      <c r="R779" s="141"/>
    </row>
    <row r="780" spans="18:18" ht="12.75" customHeight="1">
      <c r="R780" s="141"/>
    </row>
    <row r="781" spans="18:18" ht="12.75" customHeight="1">
      <c r="R781" s="141"/>
    </row>
    <row r="782" spans="18:18" ht="12.75" customHeight="1">
      <c r="R782" s="141"/>
    </row>
    <row r="783" spans="18:18" ht="12.75" customHeight="1">
      <c r="R783" s="141"/>
    </row>
    <row r="784" spans="18:18" ht="12.75" customHeight="1">
      <c r="R784" s="141"/>
    </row>
    <row r="785" spans="18:18" ht="12.75" customHeight="1">
      <c r="R785" s="141"/>
    </row>
    <row r="786" spans="18:18" ht="12.75" customHeight="1">
      <c r="R786" s="141"/>
    </row>
    <row r="787" spans="18:18" ht="12.75" customHeight="1">
      <c r="R787" s="141"/>
    </row>
    <row r="788" spans="18:18" ht="12.75" customHeight="1">
      <c r="R788" s="141"/>
    </row>
    <row r="789" spans="18:18" ht="12.75" customHeight="1">
      <c r="R789" s="141"/>
    </row>
    <row r="790" spans="18:18" ht="12.75" customHeight="1">
      <c r="R790" s="141"/>
    </row>
    <row r="791" spans="18:18" ht="12.75" customHeight="1">
      <c r="R791" s="141"/>
    </row>
    <row r="792" spans="18:18" ht="12.75" customHeight="1">
      <c r="R792" s="141"/>
    </row>
    <row r="793" spans="18:18" ht="12.75" customHeight="1">
      <c r="R793" s="141"/>
    </row>
    <row r="794" spans="18:18" ht="12.75" customHeight="1">
      <c r="R794" s="141"/>
    </row>
    <row r="795" spans="18:18" ht="12.75" customHeight="1">
      <c r="R795" s="141"/>
    </row>
    <row r="796" spans="18:18" ht="12.75" customHeight="1">
      <c r="R796" s="141"/>
    </row>
    <row r="797" spans="18:18" ht="12.75" customHeight="1">
      <c r="R797" s="141"/>
    </row>
    <row r="798" spans="18:18" ht="12.75" customHeight="1">
      <c r="R798" s="141"/>
    </row>
    <row r="799" spans="18:18" ht="12.75" customHeight="1">
      <c r="R799" s="141"/>
    </row>
    <row r="800" spans="18:18" ht="12.75" customHeight="1">
      <c r="R800" s="141"/>
    </row>
    <row r="801" spans="18:18" ht="12.75" customHeight="1">
      <c r="R801" s="141"/>
    </row>
    <row r="802" spans="18:18" ht="12.75" customHeight="1">
      <c r="R802" s="141"/>
    </row>
    <row r="803" spans="18:18" ht="12.75" customHeight="1">
      <c r="R803" s="141"/>
    </row>
    <row r="804" spans="18:18" ht="12.75" customHeight="1">
      <c r="R804" s="141"/>
    </row>
    <row r="805" spans="18:18" ht="12.75" customHeight="1">
      <c r="R805" s="141"/>
    </row>
    <row r="806" spans="18:18" ht="12.75" customHeight="1">
      <c r="R806" s="141"/>
    </row>
    <row r="807" spans="18:18" ht="12.75" customHeight="1">
      <c r="R807" s="141"/>
    </row>
    <row r="808" spans="18:18" ht="12.75" customHeight="1">
      <c r="R808" s="141"/>
    </row>
    <row r="809" spans="18:18" ht="12.75" customHeight="1">
      <c r="R809" s="141"/>
    </row>
    <row r="810" spans="18:18" ht="12.75" customHeight="1">
      <c r="R810" s="141"/>
    </row>
    <row r="811" spans="18:18" ht="12.75" customHeight="1">
      <c r="R811" s="141"/>
    </row>
    <row r="812" spans="18:18" ht="12.75" customHeight="1">
      <c r="R812" s="141"/>
    </row>
    <row r="813" spans="18:18" ht="12.75" customHeight="1">
      <c r="R813" s="141"/>
    </row>
    <row r="814" spans="18:18" ht="12.75" customHeight="1">
      <c r="R814" s="141"/>
    </row>
    <row r="815" spans="18:18" ht="12.75" customHeight="1">
      <c r="R815" s="141"/>
    </row>
    <row r="816" spans="18:18" ht="12.75" customHeight="1">
      <c r="R816" s="141"/>
    </row>
    <row r="817" spans="18:18" ht="12.75" customHeight="1">
      <c r="R817" s="141"/>
    </row>
    <row r="818" spans="18:18" ht="12.75" customHeight="1">
      <c r="R818" s="141"/>
    </row>
    <row r="819" spans="18:18" ht="12.75" customHeight="1">
      <c r="R819" s="141"/>
    </row>
    <row r="820" spans="18:18" ht="12.75" customHeight="1">
      <c r="R820" s="141"/>
    </row>
    <row r="821" spans="18:18" ht="12.75" customHeight="1">
      <c r="R821" s="141"/>
    </row>
    <row r="822" spans="18:18" ht="12.75" customHeight="1">
      <c r="R822" s="141"/>
    </row>
    <row r="823" spans="18:18" ht="12.75" customHeight="1">
      <c r="R823" s="141"/>
    </row>
    <row r="824" spans="18:18" ht="12.75" customHeight="1">
      <c r="R824" s="141"/>
    </row>
    <row r="825" spans="18:18" ht="12.75" customHeight="1">
      <c r="R825" s="141"/>
    </row>
    <row r="826" spans="18:18" ht="12.75" customHeight="1">
      <c r="R826" s="141"/>
    </row>
    <row r="827" spans="18:18" ht="12.75" customHeight="1">
      <c r="R827" s="141"/>
    </row>
    <row r="828" spans="18:18" ht="12.75" customHeight="1">
      <c r="R828" s="141"/>
    </row>
    <row r="829" spans="18:18" ht="12.75" customHeight="1">
      <c r="R829" s="141"/>
    </row>
    <row r="830" spans="18:18" ht="12.75" customHeight="1">
      <c r="R830" s="141"/>
    </row>
    <row r="831" spans="18:18" ht="12.75" customHeight="1">
      <c r="R831" s="141"/>
    </row>
    <row r="832" spans="18:18" ht="12.75" customHeight="1">
      <c r="R832" s="141"/>
    </row>
    <row r="833" spans="18:18" ht="12.75" customHeight="1">
      <c r="R833" s="141"/>
    </row>
    <row r="834" spans="18:18" ht="12.75" customHeight="1">
      <c r="R834" s="141"/>
    </row>
    <row r="835" spans="18:18" ht="12.75" customHeight="1">
      <c r="R835" s="141"/>
    </row>
    <row r="836" spans="18:18" ht="12.75" customHeight="1">
      <c r="R836" s="141"/>
    </row>
    <row r="837" spans="18:18" ht="12.75" customHeight="1">
      <c r="R837" s="141"/>
    </row>
    <row r="838" spans="18:18" ht="12.75" customHeight="1">
      <c r="R838" s="141"/>
    </row>
    <row r="839" spans="18:18" ht="12.75" customHeight="1">
      <c r="R839" s="141"/>
    </row>
    <row r="840" spans="18:18" ht="12.75" customHeight="1">
      <c r="R840" s="141"/>
    </row>
    <row r="841" spans="18:18" ht="12.75" customHeight="1">
      <c r="R841" s="141"/>
    </row>
    <row r="842" spans="18:18" ht="12.75" customHeight="1">
      <c r="R842" s="141"/>
    </row>
    <row r="843" spans="18:18" ht="12.75" customHeight="1">
      <c r="R843" s="141"/>
    </row>
    <row r="844" spans="18:18" ht="12.75" customHeight="1">
      <c r="R844" s="141"/>
    </row>
    <row r="845" spans="18:18" ht="12.75" customHeight="1">
      <c r="R845" s="141"/>
    </row>
    <row r="846" spans="18:18" ht="12.75" customHeight="1">
      <c r="R846" s="141"/>
    </row>
    <row r="847" spans="18:18" ht="12.75" customHeight="1">
      <c r="R847" s="141"/>
    </row>
    <row r="848" spans="18:18" ht="12.75" customHeight="1">
      <c r="R848" s="141"/>
    </row>
    <row r="849" spans="18:18" ht="12.75" customHeight="1">
      <c r="R849" s="141"/>
    </row>
    <row r="850" spans="18:18" ht="12.75" customHeight="1">
      <c r="R850" s="141"/>
    </row>
    <row r="851" spans="18:18" ht="12.75" customHeight="1">
      <c r="R851" s="141"/>
    </row>
    <row r="852" spans="18:18" ht="12.75" customHeight="1">
      <c r="R852" s="141"/>
    </row>
    <row r="853" spans="18:18" ht="12.75" customHeight="1">
      <c r="R853" s="141"/>
    </row>
    <row r="854" spans="18:18" ht="12.75" customHeight="1">
      <c r="R854" s="141"/>
    </row>
    <row r="855" spans="18:18" ht="12.75" customHeight="1">
      <c r="R855" s="141"/>
    </row>
    <row r="856" spans="18:18" ht="12.75" customHeight="1">
      <c r="R856" s="141"/>
    </row>
    <row r="857" spans="18:18" ht="12.75" customHeight="1">
      <c r="R857" s="141"/>
    </row>
    <row r="858" spans="18:18" ht="12.75" customHeight="1">
      <c r="R858" s="141"/>
    </row>
    <row r="859" spans="18:18" ht="12.75" customHeight="1">
      <c r="R859" s="141"/>
    </row>
    <row r="860" spans="18:18" ht="12.75" customHeight="1">
      <c r="R860" s="141"/>
    </row>
    <row r="861" spans="18:18" ht="12.75" customHeight="1">
      <c r="R861" s="141"/>
    </row>
    <row r="862" spans="18:18" ht="12.75" customHeight="1">
      <c r="R862" s="141"/>
    </row>
    <row r="863" spans="18:18" ht="12.75" customHeight="1">
      <c r="R863" s="141"/>
    </row>
    <row r="864" spans="18:18" ht="12.75" customHeight="1">
      <c r="R864" s="141"/>
    </row>
    <row r="865" spans="18:18" ht="12.75" customHeight="1">
      <c r="R865" s="141"/>
    </row>
    <row r="866" spans="18:18" ht="12.75" customHeight="1">
      <c r="R866" s="141"/>
    </row>
    <row r="867" spans="18:18" ht="12.75" customHeight="1">
      <c r="R867" s="141"/>
    </row>
    <row r="868" spans="18:18" ht="12.75" customHeight="1">
      <c r="R868" s="141"/>
    </row>
    <row r="869" spans="18:18" ht="12.75" customHeight="1">
      <c r="R869" s="141"/>
    </row>
    <row r="870" spans="18:18" ht="12.75" customHeight="1">
      <c r="R870" s="141"/>
    </row>
    <row r="871" spans="18:18" ht="12.75" customHeight="1">
      <c r="R871" s="141"/>
    </row>
    <row r="872" spans="18:18" ht="12.75" customHeight="1">
      <c r="R872" s="141"/>
    </row>
    <row r="873" spans="18:18" ht="12.75" customHeight="1">
      <c r="R873" s="141"/>
    </row>
    <row r="874" spans="18:18" ht="12.75" customHeight="1">
      <c r="R874" s="141"/>
    </row>
    <row r="875" spans="18:18" ht="12.75" customHeight="1">
      <c r="R875" s="141"/>
    </row>
    <row r="876" spans="18:18" ht="12.75" customHeight="1">
      <c r="R876" s="141"/>
    </row>
    <row r="877" spans="18:18" ht="12.75" customHeight="1">
      <c r="R877" s="141"/>
    </row>
    <row r="878" spans="18:18" ht="12.75" customHeight="1">
      <c r="R878" s="141"/>
    </row>
    <row r="879" spans="18:18" ht="12.75" customHeight="1">
      <c r="R879" s="141"/>
    </row>
    <row r="880" spans="18:18" ht="12.75" customHeight="1">
      <c r="R880" s="141"/>
    </row>
    <row r="881" spans="18:18" ht="12.75" customHeight="1">
      <c r="R881" s="141"/>
    </row>
    <row r="882" spans="18:18" ht="12.75" customHeight="1">
      <c r="R882" s="141"/>
    </row>
    <row r="883" spans="18:18" ht="12.75" customHeight="1">
      <c r="R883" s="141"/>
    </row>
    <row r="884" spans="18:18" ht="12.75" customHeight="1">
      <c r="R884" s="141"/>
    </row>
    <row r="885" spans="18:18" ht="12.75" customHeight="1">
      <c r="R885" s="141"/>
    </row>
    <row r="886" spans="18:18" ht="12.75" customHeight="1">
      <c r="R886" s="141"/>
    </row>
    <row r="887" spans="18:18" ht="12.75" customHeight="1">
      <c r="R887" s="141"/>
    </row>
    <row r="888" spans="18:18" ht="12.75" customHeight="1">
      <c r="R888" s="141"/>
    </row>
    <row r="889" spans="18:18" ht="12.75" customHeight="1">
      <c r="R889" s="141"/>
    </row>
    <row r="890" spans="18:18" ht="12.75" customHeight="1">
      <c r="R890" s="141"/>
    </row>
    <row r="891" spans="18:18" ht="12.75" customHeight="1">
      <c r="R891" s="141"/>
    </row>
    <row r="892" spans="18:18" ht="12.75" customHeight="1">
      <c r="R892" s="141"/>
    </row>
    <row r="893" spans="18:18" ht="12.75" customHeight="1">
      <c r="R893" s="141"/>
    </row>
    <row r="894" spans="18:18" ht="12.75" customHeight="1">
      <c r="R894" s="141"/>
    </row>
    <row r="895" spans="18:18" ht="12.75" customHeight="1">
      <c r="R895" s="141"/>
    </row>
    <row r="896" spans="18:18" ht="12.75" customHeight="1">
      <c r="R896" s="141"/>
    </row>
    <row r="897" spans="18:18" ht="12.75" customHeight="1">
      <c r="R897" s="141"/>
    </row>
    <row r="898" spans="18:18" ht="12.75" customHeight="1">
      <c r="R898" s="141"/>
    </row>
    <row r="899" spans="18:18" ht="12.75" customHeight="1">
      <c r="R899" s="141"/>
    </row>
    <row r="900" spans="18:18" ht="12.75" customHeight="1">
      <c r="R900" s="141"/>
    </row>
    <row r="901" spans="18:18" ht="12.75" customHeight="1">
      <c r="R901" s="141"/>
    </row>
    <row r="902" spans="18:18" ht="12.75" customHeight="1">
      <c r="R902" s="141"/>
    </row>
    <row r="903" spans="18:18" ht="12.75" customHeight="1">
      <c r="R903" s="141"/>
    </row>
    <row r="904" spans="18:18" ht="12.75" customHeight="1">
      <c r="R904" s="141"/>
    </row>
    <row r="905" spans="18:18" ht="12.75" customHeight="1">
      <c r="R905" s="141"/>
    </row>
    <row r="906" spans="18:18" ht="12.75" customHeight="1">
      <c r="R906" s="141"/>
    </row>
    <row r="907" spans="18:18" ht="12.75" customHeight="1">
      <c r="R907" s="141"/>
    </row>
    <row r="908" spans="18:18" ht="12.75" customHeight="1">
      <c r="R908" s="141"/>
    </row>
    <row r="909" spans="18:18" ht="12.75" customHeight="1">
      <c r="R909" s="141"/>
    </row>
    <row r="910" spans="18:18" ht="12.75" customHeight="1">
      <c r="R910" s="141"/>
    </row>
    <row r="911" spans="18:18" ht="12.75" customHeight="1">
      <c r="R911" s="141"/>
    </row>
    <row r="912" spans="18:18" ht="12.75" customHeight="1">
      <c r="R912" s="141"/>
    </row>
    <row r="913" spans="18:18" ht="12.75" customHeight="1">
      <c r="R913" s="141"/>
    </row>
    <row r="914" spans="18:18" ht="12.75" customHeight="1">
      <c r="R914" s="141"/>
    </row>
    <row r="915" spans="18:18" ht="12.75" customHeight="1">
      <c r="R915" s="141"/>
    </row>
    <row r="916" spans="18:18" ht="12.75" customHeight="1">
      <c r="R916" s="141"/>
    </row>
    <row r="917" spans="18:18" ht="12.75" customHeight="1">
      <c r="R917" s="141"/>
    </row>
    <row r="918" spans="18:18" ht="12.75" customHeight="1">
      <c r="R918" s="141"/>
    </row>
    <row r="919" spans="18:18" ht="12.75" customHeight="1">
      <c r="R919" s="141"/>
    </row>
    <row r="920" spans="18:18" ht="12.75" customHeight="1">
      <c r="R920" s="141"/>
    </row>
    <row r="921" spans="18:18" ht="12.75" customHeight="1">
      <c r="R921" s="141"/>
    </row>
    <row r="922" spans="18:18" ht="12.75" customHeight="1">
      <c r="R922" s="141"/>
    </row>
    <row r="923" spans="18:18" ht="12.75" customHeight="1">
      <c r="R923" s="141"/>
    </row>
    <row r="924" spans="18:18" ht="12.75" customHeight="1">
      <c r="R924" s="141"/>
    </row>
    <row r="925" spans="18:18" ht="12.75" customHeight="1">
      <c r="R925" s="141"/>
    </row>
    <row r="926" spans="18:18" ht="12.75" customHeight="1">
      <c r="R926" s="141"/>
    </row>
    <row r="927" spans="18:18" ht="12.75" customHeight="1">
      <c r="R927" s="141"/>
    </row>
    <row r="928" spans="18:18" ht="12.75" customHeight="1">
      <c r="R928" s="141"/>
    </row>
    <row r="929" spans="18:18" ht="12.75" customHeight="1">
      <c r="R929" s="141"/>
    </row>
    <row r="930" spans="18:18" ht="12.75" customHeight="1">
      <c r="R930" s="141"/>
    </row>
    <row r="931" spans="18:18" ht="12.75" customHeight="1">
      <c r="R931" s="141"/>
    </row>
    <row r="932" spans="18:18" ht="12.75" customHeight="1">
      <c r="R932" s="141"/>
    </row>
    <row r="933" spans="18:18" ht="12.75" customHeight="1">
      <c r="R933" s="141"/>
    </row>
    <row r="934" spans="18:18" ht="12.75" customHeight="1">
      <c r="R934" s="141"/>
    </row>
    <row r="935" spans="18:18" ht="12.75" customHeight="1">
      <c r="R935" s="141"/>
    </row>
    <row r="936" spans="18:18" ht="12.75" customHeight="1">
      <c r="R936" s="141"/>
    </row>
    <row r="937" spans="18:18" ht="12.75" customHeight="1">
      <c r="R937" s="141"/>
    </row>
    <row r="938" spans="18:18" ht="12.75" customHeight="1">
      <c r="R938" s="141"/>
    </row>
    <row r="939" spans="18:18" ht="12.75" customHeight="1">
      <c r="R939" s="141"/>
    </row>
    <row r="940" spans="18:18" ht="12.75" customHeight="1">
      <c r="R940" s="141"/>
    </row>
    <row r="941" spans="18:18" ht="12.75" customHeight="1">
      <c r="R941" s="141"/>
    </row>
  </sheetData>
  <sheetProtection formatCells="0" formatColumns="0" formatRows="0" insertColumns="0" insertRows="0" deleteColumns="0" deleteRows="0"/>
  <phoneticPr fontId="2" type="noConversion"/>
  <pageMargins left="0.75" right="0.75" top="1" bottom="1" header="0.5" footer="0.5"/>
  <pageSetup orientation="portrait"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7"/>
  <sheetViews>
    <sheetView workbookViewId="0"/>
  </sheetViews>
  <sheetFormatPr defaultRowHeight="13.2"/>
  <cols>
    <col min="2" max="2" width="12.44140625" customWidth="1"/>
    <col min="3" max="3" width="10.6640625" bestFit="1" customWidth="1"/>
    <col min="7" max="7" width="12" customWidth="1"/>
    <col min="8" max="8" width="15.5546875" customWidth="1"/>
    <col min="11" max="11" width="18.33203125" customWidth="1"/>
    <col min="21" max="21" width="13.5546875" customWidth="1"/>
  </cols>
  <sheetData>
    <row r="1" spans="1:66" s="44" customFormat="1" ht="17.399999999999999">
      <c r="A1" s="44" t="s">
        <v>649</v>
      </c>
      <c r="B1" s="256" t="s">
        <v>668</v>
      </c>
      <c r="C1" s="257">
        <f>AVERAGE(BK12:BK37)</f>
        <v>1.8500000000000003E-3</v>
      </c>
      <c r="P1" s="258"/>
      <c r="BN1" s="259"/>
    </row>
    <row r="2" spans="1:66" s="44" customFormat="1" ht="17.399999999999999">
      <c r="B2" s="256" t="s">
        <v>669</v>
      </c>
      <c r="C2" s="257">
        <f>AVERAGE(BL12:BL37)</f>
        <v>1.2269444444444444E-2</v>
      </c>
      <c r="P2" s="258"/>
      <c r="BN2" s="259"/>
    </row>
    <row r="3" spans="1:66" ht="17.399999999999999">
      <c r="B3" s="256" t="s">
        <v>670</v>
      </c>
      <c r="C3" s="258">
        <f>COUNT(BK12:BK37)</f>
        <v>6</v>
      </c>
      <c r="P3" s="260"/>
      <c r="BN3" s="1"/>
    </row>
    <row r="5" spans="1:66" ht="17.399999999999999">
      <c r="A5" s="191"/>
      <c r="B5" s="107"/>
      <c r="C5" s="107"/>
      <c r="D5" s="107"/>
      <c r="E5" s="107"/>
      <c r="F5" s="107"/>
      <c r="G5" s="107"/>
      <c r="H5" s="107"/>
      <c r="I5" s="107"/>
      <c r="J5" s="107"/>
      <c r="K5" s="107"/>
      <c r="L5" s="107"/>
      <c r="M5" s="107"/>
      <c r="N5" s="107"/>
      <c r="O5" s="107"/>
      <c r="P5" s="107"/>
      <c r="Q5" s="107"/>
      <c r="R5" s="107"/>
      <c r="S5" s="107"/>
      <c r="T5" s="107"/>
      <c r="U5" s="107"/>
      <c r="V5" s="192" t="s">
        <v>46</v>
      </c>
      <c r="W5" s="193"/>
      <c r="X5" s="193"/>
      <c r="Y5" s="193"/>
      <c r="Z5" s="193"/>
      <c r="AA5" s="193"/>
      <c r="AB5" s="193"/>
      <c r="AC5" s="193"/>
      <c r="AD5" s="193"/>
      <c r="AE5" s="193"/>
      <c r="AF5" s="193"/>
      <c r="AG5" s="193"/>
      <c r="AH5" s="194" t="s">
        <v>47</v>
      </c>
      <c r="AI5" s="193"/>
      <c r="AJ5" s="193"/>
      <c r="AK5" s="193"/>
      <c r="AL5" s="193"/>
      <c r="AM5" s="193"/>
      <c r="AN5" s="193"/>
      <c r="AO5" s="195" t="s">
        <v>48</v>
      </c>
      <c r="AP5" s="193"/>
      <c r="AQ5" s="193"/>
      <c r="AR5" s="193"/>
      <c r="AS5" s="193"/>
      <c r="AT5" s="193"/>
      <c r="AU5" s="196" t="s">
        <v>49</v>
      </c>
      <c r="AV5" s="197" t="s">
        <v>51</v>
      </c>
      <c r="AW5" s="198"/>
      <c r="AX5" s="198"/>
      <c r="AY5" s="198"/>
      <c r="AZ5" s="198"/>
      <c r="BA5" s="198"/>
      <c r="BB5" s="198"/>
      <c r="BC5" s="198"/>
      <c r="BD5" s="199" t="s">
        <v>50</v>
      </c>
      <c r="BE5" s="198"/>
      <c r="BF5" s="198"/>
      <c r="BG5" s="198"/>
      <c r="BH5" s="198"/>
      <c r="BI5" s="198"/>
      <c r="BJ5" s="198"/>
      <c r="BK5" s="200" t="s">
        <v>649</v>
      </c>
      <c r="BL5" s="200" t="s">
        <v>649</v>
      </c>
    </row>
    <row r="6" spans="1:66" ht="17.399999999999999">
      <c r="A6" s="123"/>
      <c r="B6" s="123"/>
      <c r="C6" s="123"/>
      <c r="D6" s="123"/>
      <c r="E6" s="123"/>
      <c r="F6" s="123"/>
      <c r="G6" s="123"/>
      <c r="H6" s="123"/>
      <c r="I6" s="123"/>
      <c r="J6" s="123"/>
      <c r="K6" s="123"/>
      <c r="L6" s="123"/>
      <c r="M6" s="123"/>
      <c r="N6" s="123"/>
      <c r="O6" s="123"/>
      <c r="P6" s="123"/>
      <c r="Q6" s="123"/>
      <c r="R6" s="123"/>
      <c r="S6" s="123"/>
      <c r="T6" s="123"/>
      <c r="U6" s="123"/>
      <c r="V6" s="201" t="s">
        <v>25</v>
      </c>
      <c r="W6" s="201" t="s">
        <v>25</v>
      </c>
      <c r="X6" s="201" t="s">
        <v>25</v>
      </c>
      <c r="Y6" s="201" t="s">
        <v>25</v>
      </c>
      <c r="Z6" s="201" t="s">
        <v>25</v>
      </c>
      <c r="AA6" s="201" t="s">
        <v>25</v>
      </c>
      <c r="AB6" s="201" t="s">
        <v>25</v>
      </c>
      <c r="AC6" s="201" t="s">
        <v>25</v>
      </c>
      <c r="AD6" s="201" t="s">
        <v>25</v>
      </c>
      <c r="AE6" s="201" t="s">
        <v>25</v>
      </c>
      <c r="AF6" s="201" t="s">
        <v>25</v>
      </c>
      <c r="AG6" s="201" t="s">
        <v>25</v>
      </c>
      <c r="AH6" s="202" t="s">
        <v>25</v>
      </c>
      <c r="AI6" s="202" t="s">
        <v>25</v>
      </c>
      <c r="AJ6" s="202" t="s">
        <v>25</v>
      </c>
      <c r="AK6" s="202" t="s">
        <v>25</v>
      </c>
      <c r="AL6" s="202" t="s">
        <v>25</v>
      </c>
      <c r="AM6" s="202" t="s">
        <v>25</v>
      </c>
      <c r="AN6" s="202" t="s">
        <v>25</v>
      </c>
      <c r="AO6" s="203" t="s">
        <v>25</v>
      </c>
      <c r="AP6" s="203" t="s">
        <v>25</v>
      </c>
      <c r="AQ6" s="203" t="s">
        <v>25</v>
      </c>
      <c r="AR6" s="203" t="s">
        <v>25</v>
      </c>
      <c r="AS6" s="203" t="s">
        <v>25</v>
      </c>
      <c r="AT6" s="203" t="s">
        <v>25</v>
      </c>
      <c r="AU6" s="204" t="s">
        <v>25</v>
      </c>
      <c r="AV6" s="205"/>
      <c r="AW6" s="206"/>
      <c r="AX6" s="206"/>
      <c r="AY6" s="206"/>
      <c r="AZ6" s="206"/>
      <c r="BA6" s="206"/>
      <c r="BB6" s="206"/>
      <c r="BC6" s="206"/>
      <c r="BD6" s="207"/>
      <c r="BE6" s="208"/>
      <c r="BF6" s="208"/>
      <c r="BG6" s="208"/>
      <c r="BH6" s="208"/>
      <c r="BI6" s="208"/>
      <c r="BJ6" s="208"/>
      <c r="BK6" s="209"/>
      <c r="BL6" s="209"/>
    </row>
    <row r="7" spans="1:66" ht="52.8">
      <c r="A7" s="131" t="s">
        <v>62</v>
      </c>
      <c r="B7" s="131" t="s">
        <v>248</v>
      </c>
      <c r="C7" s="131" t="s">
        <v>249</v>
      </c>
      <c r="D7" s="131" t="s">
        <v>250</v>
      </c>
      <c r="E7" s="131" t="s">
        <v>251</v>
      </c>
      <c r="F7" s="131" t="s">
        <v>252</v>
      </c>
      <c r="G7" s="131" t="s">
        <v>253</v>
      </c>
      <c r="H7" s="131" t="s">
        <v>254</v>
      </c>
      <c r="I7" s="131" t="s">
        <v>255</v>
      </c>
      <c r="J7" s="131" t="s">
        <v>256</v>
      </c>
      <c r="K7" s="131" t="s">
        <v>257</v>
      </c>
      <c r="L7" s="131" t="s">
        <v>258</v>
      </c>
      <c r="M7" s="131" t="s">
        <v>259</v>
      </c>
      <c r="N7" s="131" t="s">
        <v>260</v>
      </c>
      <c r="O7" s="131" t="s">
        <v>261</v>
      </c>
      <c r="P7" s="131" t="s">
        <v>262</v>
      </c>
      <c r="Q7" s="131" t="s">
        <v>263</v>
      </c>
      <c r="R7" s="131" t="s">
        <v>264</v>
      </c>
      <c r="S7" s="131" t="s">
        <v>265</v>
      </c>
      <c r="T7" s="131" t="s">
        <v>266</v>
      </c>
      <c r="U7" s="131" t="s">
        <v>267</v>
      </c>
      <c r="V7" s="132" t="s">
        <v>650</v>
      </c>
      <c r="W7" s="132" t="s">
        <v>651</v>
      </c>
      <c r="X7" s="132" t="s">
        <v>652</v>
      </c>
      <c r="Y7" s="132" t="s">
        <v>653</v>
      </c>
      <c r="Z7" s="132" t="s">
        <v>43</v>
      </c>
      <c r="AA7" s="132" t="s">
        <v>44</v>
      </c>
      <c r="AB7" s="132" t="s">
        <v>34</v>
      </c>
      <c r="AC7" s="132" t="s">
        <v>654</v>
      </c>
      <c r="AD7" s="132" t="s">
        <v>35</v>
      </c>
      <c r="AE7" s="132" t="s">
        <v>36</v>
      </c>
      <c r="AF7" s="132" t="s">
        <v>45</v>
      </c>
      <c r="AG7" s="132" t="s">
        <v>37</v>
      </c>
      <c r="AH7" s="133" t="s">
        <v>655</v>
      </c>
      <c r="AI7" s="133" t="s">
        <v>656</v>
      </c>
      <c r="AJ7" s="133" t="s">
        <v>657</v>
      </c>
      <c r="AK7" s="133" t="s">
        <v>658</v>
      </c>
      <c r="AL7" s="133" t="s">
        <v>659</v>
      </c>
      <c r="AM7" s="133" t="s">
        <v>660</v>
      </c>
      <c r="AN7" s="133" t="s">
        <v>661</v>
      </c>
      <c r="AO7" s="134" t="s">
        <v>38</v>
      </c>
      <c r="AP7" s="134" t="s">
        <v>39</v>
      </c>
      <c r="AQ7" s="134" t="s">
        <v>41</v>
      </c>
      <c r="AR7" s="134" t="s">
        <v>662</v>
      </c>
      <c r="AS7" s="134" t="s">
        <v>663</v>
      </c>
      <c r="AT7" s="134" t="s">
        <v>40</v>
      </c>
      <c r="AU7" s="135" t="s">
        <v>664</v>
      </c>
      <c r="AV7" s="210" t="s">
        <v>26</v>
      </c>
      <c r="AW7" s="210" t="s">
        <v>27</v>
      </c>
      <c r="AX7" s="210" t="s">
        <v>28</v>
      </c>
      <c r="AY7" s="210" t="s">
        <v>30</v>
      </c>
      <c r="AZ7" s="210" t="s">
        <v>276</v>
      </c>
      <c r="BA7" s="210" t="s">
        <v>31</v>
      </c>
      <c r="BB7" s="210" t="s">
        <v>161</v>
      </c>
      <c r="BC7" s="210" t="s">
        <v>42</v>
      </c>
      <c r="BD7" s="211" t="s">
        <v>29</v>
      </c>
      <c r="BE7" s="211" t="s">
        <v>167</v>
      </c>
      <c r="BF7" s="211" t="s">
        <v>277</v>
      </c>
      <c r="BG7" s="211" t="s">
        <v>278</v>
      </c>
      <c r="BH7" s="211" t="s">
        <v>163</v>
      </c>
      <c r="BI7" s="211" t="s">
        <v>162</v>
      </c>
      <c r="BJ7" s="211" t="s">
        <v>279</v>
      </c>
      <c r="BK7" s="212" t="s">
        <v>52</v>
      </c>
      <c r="BL7" s="200" t="s">
        <v>665</v>
      </c>
    </row>
    <row r="8" spans="1:66">
      <c r="A8" s="213" t="s">
        <v>301</v>
      </c>
      <c r="B8" s="213" t="s">
        <v>435</v>
      </c>
      <c r="C8" s="213" t="s">
        <v>436</v>
      </c>
      <c r="D8" s="213" t="s">
        <v>437</v>
      </c>
      <c r="E8" s="213" t="s">
        <v>272</v>
      </c>
      <c r="F8" s="213">
        <v>549</v>
      </c>
      <c r="G8" s="213">
        <v>1</v>
      </c>
      <c r="H8" s="213">
        <v>5</v>
      </c>
      <c r="I8" s="213">
        <v>11.6</v>
      </c>
      <c r="J8" s="213">
        <v>21</v>
      </c>
      <c r="K8" s="213" t="s">
        <v>570</v>
      </c>
      <c r="L8" s="213">
        <v>2018</v>
      </c>
      <c r="M8" s="213" t="s">
        <v>571</v>
      </c>
      <c r="N8" s="213">
        <v>31</v>
      </c>
      <c r="O8" s="213">
        <v>31</v>
      </c>
      <c r="P8" s="213" t="s">
        <v>572</v>
      </c>
      <c r="Q8" s="213">
        <v>-70.879000000000005</v>
      </c>
      <c r="R8" s="213">
        <v>41.197000000000003</v>
      </c>
      <c r="S8" s="213" t="s">
        <v>271</v>
      </c>
      <c r="T8" s="213">
        <v>25</v>
      </c>
      <c r="U8" s="213" t="s">
        <v>573</v>
      </c>
      <c r="V8" s="214">
        <v>4.8839999999999995</v>
      </c>
      <c r="W8" s="214">
        <v>5.3999999999999999E-2</v>
      </c>
      <c r="X8" s="214">
        <v>0.76400000000000001</v>
      </c>
      <c r="Y8" s="214">
        <v>0.14299999999999999</v>
      </c>
      <c r="Z8" s="214">
        <v>1.7000000000000001E-2</v>
      </c>
      <c r="AA8" s="214">
        <v>-8888</v>
      </c>
      <c r="AB8" s="214">
        <v>4.2000000000000003E-2</v>
      </c>
      <c r="AC8" s="214">
        <v>0.29299999999999998</v>
      </c>
      <c r="AD8" s="214">
        <v>3.4000000000000002E-2</v>
      </c>
      <c r="AE8" s="214">
        <v>1.8380000000000001</v>
      </c>
      <c r="AF8" s="214">
        <v>6.2E-2</v>
      </c>
      <c r="AG8" s="214">
        <v>6.0000000000000001E-3</v>
      </c>
      <c r="AH8" s="214">
        <v>4.4429999999999996</v>
      </c>
      <c r="AI8" s="214">
        <v>-8888</v>
      </c>
      <c r="AJ8" s="214">
        <v>0.441</v>
      </c>
      <c r="AK8" s="214">
        <v>5.3999999999999999E-2</v>
      </c>
      <c r="AL8" s="214">
        <v>-8888</v>
      </c>
      <c r="AM8" s="214">
        <v>0.71099999999999997</v>
      </c>
      <c r="AN8" s="214">
        <v>5.2999999999999999E-2</v>
      </c>
      <c r="AO8" s="214">
        <v>-8888</v>
      </c>
      <c r="AP8" s="214">
        <v>0.01</v>
      </c>
      <c r="AQ8" s="214">
        <v>1.4E-2</v>
      </c>
      <c r="AR8" s="214">
        <v>5.2999999999999999E-2</v>
      </c>
      <c r="AS8" s="214">
        <v>0.24199999999999999</v>
      </c>
      <c r="AT8" s="214">
        <v>1.2999999999999999E-2</v>
      </c>
      <c r="AU8" s="214">
        <v>-8888</v>
      </c>
      <c r="AV8" s="214">
        <v>5.702</v>
      </c>
      <c r="AW8" s="214">
        <v>0.51800000000000002</v>
      </c>
      <c r="AX8" s="214">
        <v>1.917</v>
      </c>
      <c r="AY8" s="214">
        <v>7.6189999999999998</v>
      </c>
      <c r="AZ8" s="214">
        <v>2.4350000000000001</v>
      </c>
      <c r="BA8" s="214">
        <v>3.2530000000000001</v>
      </c>
      <c r="BB8" s="214">
        <v>8.1370000000000005</v>
      </c>
      <c r="BC8" s="214">
        <v>2.0190000000000001</v>
      </c>
      <c r="BD8" s="214">
        <v>0.67</v>
      </c>
      <c r="BE8" s="214">
        <v>0.79</v>
      </c>
      <c r="BF8" s="214">
        <v>0.21</v>
      </c>
      <c r="BG8" s="214">
        <v>2.34</v>
      </c>
      <c r="BH8" s="214">
        <v>0.06</v>
      </c>
      <c r="BI8" s="214">
        <v>0.94</v>
      </c>
      <c r="BJ8" s="214">
        <v>0.6</v>
      </c>
      <c r="BK8" s="215"/>
      <c r="BL8" s="215"/>
    </row>
    <row r="9" spans="1:66">
      <c r="A9" s="213" t="s">
        <v>302</v>
      </c>
      <c r="B9" s="213" t="s">
        <v>435</v>
      </c>
      <c r="C9" s="213" t="s">
        <v>436</v>
      </c>
      <c r="D9" s="213" t="s">
        <v>437</v>
      </c>
      <c r="E9" s="213" t="s">
        <v>272</v>
      </c>
      <c r="F9" s="213">
        <v>549</v>
      </c>
      <c r="G9" s="213">
        <v>1</v>
      </c>
      <c r="H9" s="213">
        <v>5</v>
      </c>
      <c r="I9" s="213">
        <v>11.6</v>
      </c>
      <c r="J9" s="213">
        <v>21</v>
      </c>
      <c r="K9" s="213" t="s">
        <v>570</v>
      </c>
      <c r="L9" s="213">
        <v>2018</v>
      </c>
      <c r="M9" s="213" t="s">
        <v>571</v>
      </c>
      <c r="N9" s="213">
        <v>31</v>
      </c>
      <c r="O9" s="213">
        <v>31</v>
      </c>
      <c r="P9" s="213" t="s">
        <v>572</v>
      </c>
      <c r="Q9" s="213">
        <v>-70.879000000000005</v>
      </c>
      <c r="R9" s="213">
        <v>41.197000000000003</v>
      </c>
      <c r="S9" s="213" t="s">
        <v>271</v>
      </c>
      <c r="T9" s="213">
        <v>25</v>
      </c>
      <c r="U9" s="213" t="s">
        <v>573</v>
      </c>
      <c r="V9" s="214">
        <v>4.8650000000000002</v>
      </c>
      <c r="W9" s="214">
        <v>5.3999999999999999E-2</v>
      </c>
      <c r="X9" s="214">
        <v>0.75800000000000001</v>
      </c>
      <c r="Y9" s="214">
        <v>0.14399999999999999</v>
      </c>
      <c r="Z9" s="214">
        <v>1.6E-2</v>
      </c>
      <c r="AA9" s="214">
        <v>-8888</v>
      </c>
      <c r="AB9" s="214">
        <v>4.2999999999999997E-2</v>
      </c>
      <c r="AC9" s="214">
        <v>0.29399999999999998</v>
      </c>
      <c r="AD9" s="214">
        <v>3.4000000000000002E-2</v>
      </c>
      <c r="AE9" s="214">
        <v>1.831</v>
      </c>
      <c r="AF9" s="214">
        <v>0.06</v>
      </c>
      <c r="AG9" s="214">
        <v>6.0000000000000001E-3</v>
      </c>
      <c r="AH9" s="214">
        <v>4.4279999999999999</v>
      </c>
      <c r="AI9" s="214">
        <v>-8888</v>
      </c>
      <c r="AJ9" s="214">
        <v>0.437</v>
      </c>
      <c r="AK9" s="214">
        <v>5.3999999999999999E-2</v>
      </c>
      <c r="AL9" s="214">
        <v>-8888</v>
      </c>
      <c r="AM9" s="214">
        <v>0.70799999999999996</v>
      </c>
      <c r="AN9" s="214">
        <v>0.05</v>
      </c>
      <c r="AO9" s="214">
        <v>-8888</v>
      </c>
      <c r="AP9" s="214">
        <v>0.01</v>
      </c>
      <c r="AQ9" s="214">
        <v>1.4E-2</v>
      </c>
      <c r="AR9" s="214">
        <v>5.2999999999999999E-2</v>
      </c>
      <c r="AS9" s="214">
        <v>0.24399999999999999</v>
      </c>
      <c r="AT9" s="214">
        <v>1.2E-2</v>
      </c>
      <c r="AU9" s="214">
        <v>-8888</v>
      </c>
      <c r="AV9" s="214">
        <v>5.6770000000000005</v>
      </c>
      <c r="AW9" s="214">
        <v>0.52100000000000002</v>
      </c>
      <c r="AX9" s="214">
        <v>1.907</v>
      </c>
      <c r="AY9" s="214">
        <v>7.5840000000000005</v>
      </c>
      <c r="AZ9" s="214">
        <v>2.4279999999999999</v>
      </c>
      <c r="BA9" s="214">
        <v>3.2399999999999998</v>
      </c>
      <c r="BB9" s="214">
        <v>8.1050000000000004</v>
      </c>
      <c r="BC9" s="214">
        <v>2.0100000000000002</v>
      </c>
      <c r="BD9" s="214">
        <v>0.67</v>
      </c>
      <c r="BE9" s="214">
        <v>0.79</v>
      </c>
      <c r="BF9" s="214">
        <v>0.21</v>
      </c>
      <c r="BG9" s="214">
        <v>2.34</v>
      </c>
      <c r="BH9" s="214">
        <v>0.06</v>
      </c>
      <c r="BI9" s="214">
        <v>0.94</v>
      </c>
      <c r="BJ9" s="214">
        <v>0.6</v>
      </c>
      <c r="BK9" s="215"/>
      <c r="BL9" s="215"/>
    </row>
    <row r="10" spans="1:66">
      <c r="A10" s="216"/>
      <c r="B10" s="216"/>
      <c r="C10" s="216"/>
      <c r="D10" s="216"/>
      <c r="E10" s="216"/>
      <c r="F10" s="216"/>
      <c r="G10" s="216"/>
      <c r="H10" s="216"/>
      <c r="I10" s="216"/>
      <c r="J10" s="216"/>
      <c r="K10" s="216"/>
      <c r="L10" s="216"/>
      <c r="M10" s="216"/>
      <c r="N10" s="216"/>
      <c r="O10" s="216"/>
      <c r="P10" s="216"/>
      <c r="Q10" s="216"/>
      <c r="R10" s="216"/>
      <c r="S10" s="216"/>
      <c r="T10" s="216"/>
      <c r="U10" s="217" t="s">
        <v>666</v>
      </c>
      <c r="V10" s="218">
        <v>4.875</v>
      </c>
      <c r="W10" s="218">
        <v>5.3999999999999999E-2</v>
      </c>
      <c r="X10" s="218">
        <v>0.76100000000000001</v>
      </c>
      <c r="Y10" s="218">
        <v>0.14399999999999999</v>
      </c>
      <c r="Z10" s="218">
        <v>1.7000000000000001E-2</v>
      </c>
      <c r="AA10" s="218">
        <v>-8888</v>
      </c>
      <c r="AB10" s="218">
        <v>4.2999999999999997E-2</v>
      </c>
      <c r="AC10" s="218">
        <v>0.29399999999999998</v>
      </c>
      <c r="AD10" s="218">
        <v>3.4000000000000002E-2</v>
      </c>
      <c r="AE10" s="218">
        <v>1.835</v>
      </c>
      <c r="AF10" s="218">
        <v>6.0999999999999999E-2</v>
      </c>
      <c r="AG10" s="218">
        <v>6.0000000000000001E-3</v>
      </c>
      <c r="AH10" s="218">
        <v>4.4359999999999999</v>
      </c>
      <c r="AI10" s="218">
        <v>-8888</v>
      </c>
      <c r="AJ10" s="218">
        <v>0.439</v>
      </c>
      <c r="AK10" s="218">
        <v>5.3999999999999999E-2</v>
      </c>
      <c r="AL10" s="218">
        <v>-8888</v>
      </c>
      <c r="AM10" s="218">
        <v>0.71</v>
      </c>
      <c r="AN10" s="218">
        <v>5.1999999999999998E-2</v>
      </c>
      <c r="AO10" s="218">
        <v>-8888</v>
      </c>
      <c r="AP10" s="218">
        <v>0.01</v>
      </c>
      <c r="AQ10" s="218">
        <v>1.4E-2</v>
      </c>
      <c r="AR10" s="218">
        <v>5.2999999999999999E-2</v>
      </c>
      <c r="AS10" s="218">
        <v>0.24299999999999999</v>
      </c>
      <c r="AT10" s="218">
        <v>1.2999999999999999E-2</v>
      </c>
      <c r="AU10" s="218">
        <v>-8888</v>
      </c>
      <c r="AV10" s="218">
        <v>5.6895000000000007</v>
      </c>
      <c r="AW10" s="218">
        <v>0.51950000000000007</v>
      </c>
      <c r="AX10" s="218">
        <v>1.9119999999999999</v>
      </c>
      <c r="AY10" s="218">
        <v>7.6014999999999997</v>
      </c>
      <c r="AZ10" s="218">
        <v>2.4314999999999998</v>
      </c>
      <c r="BA10" s="218">
        <v>3.2465000000000002</v>
      </c>
      <c r="BB10" s="218">
        <v>8.1210000000000004</v>
      </c>
      <c r="BC10" s="218">
        <v>2.0145</v>
      </c>
      <c r="BD10" s="217">
        <v>0.67</v>
      </c>
      <c r="BE10" s="217">
        <v>0.79</v>
      </c>
      <c r="BF10" s="217">
        <v>0.21</v>
      </c>
      <c r="BG10" s="217">
        <v>2.34</v>
      </c>
      <c r="BH10" s="217">
        <v>0.06</v>
      </c>
      <c r="BI10" s="217">
        <v>0.94</v>
      </c>
      <c r="BJ10" s="217">
        <v>0.6</v>
      </c>
      <c r="BK10" s="219"/>
      <c r="BL10" s="219"/>
    </row>
    <row r="11" spans="1:66">
      <c r="A11" s="220"/>
      <c r="B11" s="220"/>
      <c r="C11" s="220"/>
      <c r="D11" s="220"/>
      <c r="E11" s="220"/>
      <c r="F11" s="220"/>
      <c r="G11" s="220"/>
      <c r="H11" s="220"/>
      <c r="I11" s="220"/>
      <c r="J11" s="220"/>
      <c r="K11" s="220"/>
      <c r="L11" s="220"/>
      <c r="M11" s="220"/>
      <c r="N11" s="220"/>
      <c r="O11" s="220"/>
      <c r="P11" s="220"/>
      <c r="Q11" s="220"/>
      <c r="R11" s="220"/>
      <c r="S11" s="220"/>
      <c r="T11" s="220"/>
      <c r="U11" s="221" t="s">
        <v>667</v>
      </c>
      <c r="V11" s="222">
        <v>1.2999999999999999E-2</v>
      </c>
      <c r="W11" s="222">
        <v>0</v>
      </c>
      <c r="X11" s="222">
        <v>4.0000000000000001E-3</v>
      </c>
      <c r="Y11" s="222">
        <v>1E-3</v>
      </c>
      <c r="Z11" s="222">
        <v>1E-3</v>
      </c>
      <c r="AA11" s="222">
        <v>0</v>
      </c>
      <c r="AB11" s="222">
        <v>1E-3</v>
      </c>
      <c r="AC11" s="222">
        <v>1E-3</v>
      </c>
      <c r="AD11" s="222">
        <v>0</v>
      </c>
      <c r="AE11" s="222">
        <v>5.0000000000000001E-3</v>
      </c>
      <c r="AF11" s="222">
        <v>1E-3</v>
      </c>
      <c r="AG11" s="222">
        <v>0</v>
      </c>
      <c r="AH11" s="222">
        <v>1.0999999999999999E-2</v>
      </c>
      <c r="AI11" s="222">
        <v>0</v>
      </c>
      <c r="AJ11" s="222">
        <v>3.0000000000000001E-3</v>
      </c>
      <c r="AK11" s="222">
        <v>0</v>
      </c>
      <c r="AL11" s="222">
        <v>0</v>
      </c>
      <c r="AM11" s="222">
        <v>2E-3</v>
      </c>
      <c r="AN11" s="222">
        <v>2E-3</v>
      </c>
      <c r="AO11" s="222">
        <v>0</v>
      </c>
      <c r="AP11" s="222">
        <v>0</v>
      </c>
      <c r="AQ11" s="222">
        <v>0</v>
      </c>
      <c r="AR11" s="222">
        <v>0</v>
      </c>
      <c r="AS11" s="222">
        <v>1E-3</v>
      </c>
      <c r="AT11" s="222">
        <v>1E-3</v>
      </c>
      <c r="AU11" s="222">
        <v>0</v>
      </c>
      <c r="AV11" s="221">
        <v>1.7677669529663313E-2</v>
      </c>
      <c r="AW11" s="221">
        <v>2.1213203435596446E-3</v>
      </c>
      <c r="AX11" s="221">
        <v>7.0710678118654814E-3</v>
      </c>
      <c r="AY11" s="221">
        <v>2.4748737341528639E-2</v>
      </c>
      <c r="AZ11" s="221">
        <v>4.9497474683059157E-3</v>
      </c>
      <c r="BA11" s="221">
        <v>9.1923881554253611E-3</v>
      </c>
      <c r="BB11" s="221">
        <v>2.2627416997969541E-2</v>
      </c>
      <c r="BC11" s="221">
        <v>6.3639610306788549E-3</v>
      </c>
      <c r="BD11" s="221">
        <v>0</v>
      </c>
      <c r="BE11" s="221">
        <v>0</v>
      </c>
      <c r="BF11" s="221">
        <v>0</v>
      </c>
      <c r="BG11" s="221">
        <v>0</v>
      </c>
      <c r="BH11" s="221">
        <v>0</v>
      </c>
      <c r="BI11" s="221">
        <v>0</v>
      </c>
      <c r="BJ11" s="221">
        <v>0</v>
      </c>
      <c r="BK11" s="223"/>
      <c r="BL11" s="223"/>
    </row>
    <row r="12" spans="1:66">
      <c r="A12" s="224"/>
      <c r="B12" s="224"/>
      <c r="C12" s="224"/>
      <c r="D12" s="224"/>
      <c r="E12" s="224"/>
      <c r="F12" s="224"/>
      <c r="G12" s="224"/>
      <c r="H12" s="224"/>
      <c r="I12" s="224"/>
      <c r="J12" s="224"/>
      <c r="K12" s="224"/>
      <c r="L12" s="224"/>
      <c r="M12" s="224"/>
      <c r="N12" s="224"/>
      <c r="O12" s="224"/>
      <c r="P12" s="224"/>
      <c r="Q12" s="224"/>
      <c r="R12" s="224"/>
      <c r="S12" s="224"/>
      <c r="T12" s="224"/>
      <c r="U12" s="225" t="s">
        <v>649</v>
      </c>
      <c r="V12" s="226">
        <v>2.7000000000000001E-3</v>
      </c>
      <c r="W12" s="226">
        <v>0</v>
      </c>
      <c r="X12" s="226">
        <v>5.3E-3</v>
      </c>
      <c r="Y12" s="226">
        <v>6.8999999999999999E-3</v>
      </c>
      <c r="Z12" s="226">
        <v>5.8799999999999998E-2</v>
      </c>
      <c r="AA12" s="226">
        <v>0</v>
      </c>
      <c r="AB12" s="226">
        <v>2.3300000000000001E-2</v>
      </c>
      <c r="AC12" s="226">
        <v>3.3999999999999998E-3</v>
      </c>
      <c r="AD12" s="226">
        <v>0</v>
      </c>
      <c r="AE12" s="226">
        <v>2.7000000000000001E-3</v>
      </c>
      <c r="AF12" s="226">
        <v>1.6400000000000001E-2</v>
      </c>
      <c r="AG12" s="226">
        <v>0</v>
      </c>
      <c r="AH12" s="226">
        <v>2.5000000000000001E-3</v>
      </c>
      <c r="AI12" s="226">
        <v>0</v>
      </c>
      <c r="AJ12" s="226">
        <v>6.7999999999999996E-3</v>
      </c>
      <c r="AK12" s="226">
        <v>0</v>
      </c>
      <c r="AL12" s="226">
        <v>0</v>
      </c>
      <c r="AM12" s="226">
        <v>2.8E-3</v>
      </c>
      <c r="AN12" s="226">
        <v>3.85E-2</v>
      </c>
      <c r="AO12" s="226">
        <v>0</v>
      </c>
      <c r="AP12" s="226">
        <v>0</v>
      </c>
      <c r="AQ12" s="226">
        <v>0</v>
      </c>
      <c r="AR12" s="226">
        <v>0</v>
      </c>
      <c r="AS12" s="226">
        <v>4.1000000000000003E-3</v>
      </c>
      <c r="AT12" s="226">
        <v>7.6899999999999996E-2</v>
      </c>
      <c r="AU12" s="226">
        <v>0</v>
      </c>
      <c r="AV12" s="226">
        <v>3.0999999999999999E-3</v>
      </c>
      <c r="AW12" s="226">
        <v>4.1000000000000003E-3</v>
      </c>
      <c r="AX12" s="226">
        <v>3.7000000000000002E-3</v>
      </c>
      <c r="AY12" s="226">
        <v>3.3E-3</v>
      </c>
      <c r="AZ12" s="226">
        <v>2E-3</v>
      </c>
      <c r="BA12" s="226">
        <v>2.8E-3</v>
      </c>
      <c r="BB12" s="226">
        <v>2.8E-3</v>
      </c>
      <c r="BC12" s="226">
        <v>3.2000000000000002E-3</v>
      </c>
      <c r="BD12" s="226">
        <v>0</v>
      </c>
      <c r="BE12" s="226">
        <v>0</v>
      </c>
      <c r="BF12" s="226">
        <v>0</v>
      </c>
      <c r="BG12" s="226">
        <v>0</v>
      </c>
      <c r="BH12" s="226">
        <v>0</v>
      </c>
      <c r="BI12" s="226">
        <v>0</v>
      </c>
      <c r="BJ12" s="226">
        <v>0</v>
      </c>
      <c r="BK12" s="227">
        <v>2.7000000000000001E-3</v>
      </c>
      <c r="BL12" s="227">
        <v>9.9583333333333329E-3</v>
      </c>
    </row>
    <row r="13" spans="1:66">
      <c r="A13" s="213" t="s">
        <v>330</v>
      </c>
      <c r="B13" s="213" t="s">
        <v>435</v>
      </c>
      <c r="C13" s="213" t="s">
        <v>465</v>
      </c>
      <c r="D13" s="213" t="s">
        <v>437</v>
      </c>
      <c r="E13" s="213" t="s">
        <v>269</v>
      </c>
      <c r="F13" s="213">
        <v>1030</v>
      </c>
      <c r="G13" s="213">
        <v>22</v>
      </c>
      <c r="H13" s="213">
        <v>13</v>
      </c>
      <c r="I13" s="213">
        <v>41.1</v>
      </c>
      <c r="J13" s="213">
        <v>150</v>
      </c>
      <c r="K13" s="213" t="s">
        <v>570</v>
      </c>
      <c r="L13" s="213">
        <v>2018</v>
      </c>
      <c r="M13" s="213" t="s">
        <v>270</v>
      </c>
      <c r="N13" s="213">
        <v>4</v>
      </c>
      <c r="O13" s="213">
        <v>35</v>
      </c>
      <c r="P13" s="213" t="s">
        <v>594</v>
      </c>
      <c r="Q13" s="213">
        <v>-70.856999999999999</v>
      </c>
      <c r="R13" s="213">
        <v>40.085999999999999</v>
      </c>
      <c r="S13" s="213" t="s">
        <v>271</v>
      </c>
      <c r="T13" s="213">
        <v>25</v>
      </c>
      <c r="U13" s="213" t="s">
        <v>573</v>
      </c>
      <c r="V13" s="214">
        <v>2.024</v>
      </c>
      <c r="W13" s="214">
        <v>0.09</v>
      </c>
      <c r="X13" s="214">
        <v>0.33300000000000002</v>
      </c>
      <c r="Y13" s="214">
        <v>7.0000000000000007E-2</v>
      </c>
      <c r="Z13" s="214">
        <v>1.6E-2</v>
      </c>
      <c r="AA13" s="214">
        <v>3.7999999999999999E-2</v>
      </c>
      <c r="AB13" s="214">
        <v>2.5999999999999999E-2</v>
      </c>
      <c r="AC13" s="214">
        <v>9.1999999999999998E-2</v>
      </c>
      <c r="AD13" s="214">
        <v>4.0000000000000001E-3</v>
      </c>
      <c r="AE13" s="214">
        <v>0.78500000000000003</v>
      </c>
      <c r="AF13" s="214">
        <v>0.21199999999999999</v>
      </c>
      <c r="AG13" s="214">
        <v>6.0000000000000001E-3</v>
      </c>
      <c r="AH13" s="214">
        <v>1.99</v>
      </c>
      <c r="AI13" s="214">
        <v>-8888</v>
      </c>
      <c r="AJ13" s="214">
        <v>3.4000000000000002E-2</v>
      </c>
      <c r="AK13" s="214">
        <v>0.09</v>
      </c>
      <c r="AL13" s="214">
        <v>-8888</v>
      </c>
      <c r="AM13" s="214">
        <v>0.224</v>
      </c>
      <c r="AN13" s="214">
        <v>0.109</v>
      </c>
      <c r="AO13" s="214">
        <v>2E-3</v>
      </c>
      <c r="AP13" s="214">
        <v>0.01</v>
      </c>
      <c r="AQ13" s="214">
        <v>0.01</v>
      </c>
      <c r="AR13" s="214">
        <v>1.7000000000000001E-2</v>
      </c>
      <c r="AS13" s="214">
        <v>3.5999999999999997E-2</v>
      </c>
      <c r="AT13" s="214">
        <v>2.3E-2</v>
      </c>
      <c r="AU13" s="214">
        <v>-8888</v>
      </c>
      <c r="AV13" s="214">
        <v>2.4470000000000001</v>
      </c>
      <c r="AW13" s="214">
        <v>0.19800000000000001</v>
      </c>
      <c r="AX13" s="214">
        <v>1.0510000000000002</v>
      </c>
      <c r="AY13" s="214">
        <v>3.4980000000000002</v>
      </c>
      <c r="AZ13" s="214">
        <v>1.2490000000000001</v>
      </c>
      <c r="BA13" s="214">
        <v>1.6720000000000002</v>
      </c>
      <c r="BB13" s="214">
        <v>3.6960000000000002</v>
      </c>
      <c r="BC13" s="214">
        <v>1.173</v>
      </c>
      <c r="BD13" s="214">
        <v>0.83</v>
      </c>
      <c r="BE13" s="214">
        <v>0.84</v>
      </c>
      <c r="BF13" s="214">
        <v>0.16</v>
      </c>
      <c r="BG13" s="214">
        <v>1.96</v>
      </c>
      <c r="BH13" s="214">
        <v>0.05</v>
      </c>
      <c r="BI13" s="214">
        <v>0.95</v>
      </c>
      <c r="BJ13" s="214">
        <v>0.55000000000000004</v>
      </c>
      <c r="BK13" s="215"/>
      <c r="BL13" s="215"/>
    </row>
    <row r="14" spans="1:66">
      <c r="A14" s="213" t="s">
        <v>331</v>
      </c>
      <c r="B14" s="213" t="s">
        <v>435</v>
      </c>
      <c r="C14" s="213" t="s">
        <v>465</v>
      </c>
      <c r="D14" s="213" t="s">
        <v>437</v>
      </c>
      <c r="E14" s="213" t="s">
        <v>269</v>
      </c>
      <c r="F14" s="213">
        <v>1030</v>
      </c>
      <c r="G14" s="213">
        <v>22</v>
      </c>
      <c r="H14" s="213">
        <v>13</v>
      </c>
      <c r="I14" s="213">
        <v>41.1</v>
      </c>
      <c r="J14" s="213">
        <v>150</v>
      </c>
      <c r="K14" s="213" t="s">
        <v>570</v>
      </c>
      <c r="L14" s="213">
        <v>2018</v>
      </c>
      <c r="M14" s="213" t="s">
        <v>270</v>
      </c>
      <c r="N14" s="213">
        <v>4</v>
      </c>
      <c r="O14" s="213">
        <v>35</v>
      </c>
      <c r="P14" s="213" t="s">
        <v>594</v>
      </c>
      <c r="Q14" s="213">
        <v>-70.856999999999999</v>
      </c>
      <c r="R14" s="213">
        <v>40.085999999999999</v>
      </c>
      <c r="S14" s="213" t="s">
        <v>271</v>
      </c>
      <c r="T14" s="213">
        <v>25</v>
      </c>
      <c r="U14" s="213" t="s">
        <v>573</v>
      </c>
      <c r="V14" s="214">
        <v>2.02</v>
      </c>
      <c r="W14" s="214">
        <v>8.8999999999999996E-2</v>
      </c>
      <c r="X14" s="214">
        <v>0.33200000000000002</v>
      </c>
      <c r="Y14" s="214">
        <v>7.0000000000000007E-2</v>
      </c>
      <c r="Z14" s="214">
        <v>1.6E-2</v>
      </c>
      <c r="AA14" s="214">
        <v>3.6999999999999998E-2</v>
      </c>
      <c r="AB14" s="214">
        <v>2.5999999999999999E-2</v>
      </c>
      <c r="AC14" s="214">
        <v>9.2999999999999999E-2</v>
      </c>
      <c r="AD14" s="214">
        <v>4.0000000000000001E-3</v>
      </c>
      <c r="AE14" s="214">
        <v>0.78400000000000003</v>
      </c>
      <c r="AF14" s="214">
        <v>0.21099999999999999</v>
      </c>
      <c r="AG14" s="214">
        <v>5.0000000000000001E-3</v>
      </c>
      <c r="AH14" s="214">
        <v>1.986</v>
      </c>
      <c r="AI14" s="214">
        <v>-8888</v>
      </c>
      <c r="AJ14" s="214">
        <v>3.4000000000000002E-2</v>
      </c>
      <c r="AK14" s="214">
        <v>8.8999999999999996E-2</v>
      </c>
      <c r="AL14" s="214">
        <v>-8888</v>
      </c>
      <c r="AM14" s="214">
        <v>0.223</v>
      </c>
      <c r="AN14" s="214">
        <v>0.109</v>
      </c>
      <c r="AO14" s="214">
        <v>1E-3</v>
      </c>
      <c r="AP14" s="214">
        <v>0.01</v>
      </c>
      <c r="AQ14" s="214">
        <v>0.01</v>
      </c>
      <c r="AR14" s="214">
        <v>1.7000000000000001E-2</v>
      </c>
      <c r="AS14" s="214">
        <v>3.5999999999999997E-2</v>
      </c>
      <c r="AT14" s="214">
        <v>2.3E-2</v>
      </c>
      <c r="AU14" s="214">
        <v>-8888</v>
      </c>
      <c r="AV14" s="214">
        <v>2.4409999999999998</v>
      </c>
      <c r="AW14" s="214">
        <v>0.19800000000000001</v>
      </c>
      <c r="AX14" s="214">
        <v>1.048</v>
      </c>
      <c r="AY14" s="214">
        <v>3.4889999999999999</v>
      </c>
      <c r="AZ14" s="214">
        <v>1.246</v>
      </c>
      <c r="BA14" s="214">
        <v>1.667</v>
      </c>
      <c r="BB14" s="214">
        <v>3.6870000000000003</v>
      </c>
      <c r="BC14" s="214">
        <v>1.1680000000000001</v>
      </c>
      <c r="BD14" s="214">
        <v>0.83</v>
      </c>
      <c r="BE14" s="214">
        <v>0.84</v>
      </c>
      <c r="BF14" s="214">
        <v>0.16</v>
      </c>
      <c r="BG14" s="214">
        <v>1.96</v>
      </c>
      <c r="BH14" s="214">
        <v>0.05</v>
      </c>
      <c r="BI14" s="214">
        <v>0.95</v>
      </c>
      <c r="BJ14" s="214">
        <v>0.55000000000000004</v>
      </c>
      <c r="BK14" s="215"/>
      <c r="BL14" s="215"/>
    </row>
    <row r="15" spans="1:66">
      <c r="A15" s="216"/>
      <c r="B15" s="216"/>
      <c r="C15" s="216"/>
      <c r="D15" s="216"/>
      <c r="E15" s="216"/>
      <c r="F15" s="216"/>
      <c r="G15" s="216"/>
      <c r="H15" s="216"/>
      <c r="I15" s="216"/>
      <c r="J15" s="216"/>
      <c r="K15" s="216"/>
      <c r="L15" s="216"/>
      <c r="M15" s="216"/>
      <c r="N15" s="216"/>
      <c r="O15" s="216"/>
      <c r="P15" s="216"/>
      <c r="Q15" s="216"/>
      <c r="R15" s="216"/>
      <c r="S15" s="216"/>
      <c r="T15" s="216"/>
      <c r="U15" s="217" t="s">
        <v>666</v>
      </c>
      <c r="V15" s="218">
        <v>2.0219999999999998</v>
      </c>
      <c r="W15" s="218">
        <v>0.09</v>
      </c>
      <c r="X15" s="218">
        <v>0.33300000000000002</v>
      </c>
      <c r="Y15" s="218">
        <v>7.0000000000000007E-2</v>
      </c>
      <c r="Z15" s="218">
        <v>1.6E-2</v>
      </c>
      <c r="AA15" s="218">
        <v>3.7999999999999999E-2</v>
      </c>
      <c r="AB15" s="218">
        <v>2.5999999999999999E-2</v>
      </c>
      <c r="AC15" s="218">
        <v>9.2999999999999999E-2</v>
      </c>
      <c r="AD15" s="218">
        <v>4.0000000000000001E-3</v>
      </c>
      <c r="AE15" s="218">
        <v>0.78500000000000003</v>
      </c>
      <c r="AF15" s="218">
        <v>0.21199999999999999</v>
      </c>
      <c r="AG15" s="218">
        <v>6.0000000000000001E-3</v>
      </c>
      <c r="AH15" s="218">
        <v>1.988</v>
      </c>
      <c r="AI15" s="218">
        <v>-8888</v>
      </c>
      <c r="AJ15" s="218">
        <v>3.4000000000000002E-2</v>
      </c>
      <c r="AK15" s="218">
        <v>0.09</v>
      </c>
      <c r="AL15" s="218">
        <v>-8888</v>
      </c>
      <c r="AM15" s="218">
        <v>0.224</v>
      </c>
      <c r="AN15" s="218">
        <v>0.109</v>
      </c>
      <c r="AO15" s="218">
        <v>2E-3</v>
      </c>
      <c r="AP15" s="218">
        <v>0.01</v>
      </c>
      <c r="AQ15" s="218">
        <v>0.01</v>
      </c>
      <c r="AR15" s="218">
        <v>1.7000000000000001E-2</v>
      </c>
      <c r="AS15" s="218">
        <v>3.5999999999999997E-2</v>
      </c>
      <c r="AT15" s="218">
        <v>2.3E-2</v>
      </c>
      <c r="AU15" s="218">
        <v>-8888</v>
      </c>
      <c r="AV15" s="218">
        <v>2.444</v>
      </c>
      <c r="AW15" s="218">
        <v>0.19800000000000001</v>
      </c>
      <c r="AX15" s="218">
        <v>1.0495000000000001</v>
      </c>
      <c r="AY15" s="218">
        <v>3.4935</v>
      </c>
      <c r="AZ15" s="218">
        <v>1.2475000000000001</v>
      </c>
      <c r="BA15" s="218">
        <v>1.6695000000000002</v>
      </c>
      <c r="BB15" s="218">
        <v>3.6915000000000004</v>
      </c>
      <c r="BC15" s="218">
        <v>1.1705000000000001</v>
      </c>
      <c r="BD15" s="217">
        <v>0.83</v>
      </c>
      <c r="BE15" s="217">
        <v>0.84</v>
      </c>
      <c r="BF15" s="217">
        <v>0.16</v>
      </c>
      <c r="BG15" s="217">
        <v>1.96</v>
      </c>
      <c r="BH15" s="217">
        <v>0.05</v>
      </c>
      <c r="BI15" s="217">
        <v>0.95</v>
      </c>
      <c r="BJ15" s="217">
        <v>0.55000000000000004</v>
      </c>
      <c r="BK15" s="219"/>
      <c r="BL15" s="219"/>
    </row>
    <row r="16" spans="1:66">
      <c r="A16" s="220"/>
      <c r="B16" s="220"/>
      <c r="C16" s="220"/>
      <c r="D16" s="220"/>
      <c r="E16" s="220"/>
      <c r="F16" s="220"/>
      <c r="G16" s="220"/>
      <c r="H16" s="220"/>
      <c r="I16" s="220"/>
      <c r="J16" s="220"/>
      <c r="K16" s="220"/>
      <c r="L16" s="220"/>
      <c r="M16" s="220"/>
      <c r="N16" s="220"/>
      <c r="O16" s="220"/>
      <c r="P16" s="220"/>
      <c r="Q16" s="220"/>
      <c r="R16" s="220"/>
      <c r="S16" s="220"/>
      <c r="T16" s="220"/>
      <c r="U16" s="221" t="s">
        <v>667</v>
      </c>
      <c r="V16" s="222">
        <v>3.0000000000000001E-3</v>
      </c>
      <c r="W16" s="222">
        <v>1E-3</v>
      </c>
      <c r="X16" s="222">
        <v>1E-3</v>
      </c>
      <c r="Y16" s="222">
        <v>0</v>
      </c>
      <c r="Z16" s="222">
        <v>0</v>
      </c>
      <c r="AA16" s="222">
        <v>1E-3</v>
      </c>
      <c r="AB16" s="222">
        <v>0</v>
      </c>
      <c r="AC16" s="222">
        <v>1E-3</v>
      </c>
      <c r="AD16" s="222">
        <v>0</v>
      </c>
      <c r="AE16" s="222">
        <v>1E-3</v>
      </c>
      <c r="AF16" s="222">
        <v>1E-3</v>
      </c>
      <c r="AG16" s="222">
        <v>1E-3</v>
      </c>
      <c r="AH16" s="222">
        <v>3.0000000000000001E-3</v>
      </c>
      <c r="AI16" s="222">
        <v>0</v>
      </c>
      <c r="AJ16" s="222">
        <v>0</v>
      </c>
      <c r="AK16" s="222">
        <v>1E-3</v>
      </c>
      <c r="AL16" s="222">
        <v>0</v>
      </c>
      <c r="AM16" s="222">
        <v>1E-3</v>
      </c>
      <c r="AN16" s="222">
        <v>0</v>
      </c>
      <c r="AO16" s="222">
        <v>1E-3</v>
      </c>
      <c r="AP16" s="222">
        <v>0</v>
      </c>
      <c r="AQ16" s="222">
        <v>0</v>
      </c>
      <c r="AR16" s="222">
        <v>0</v>
      </c>
      <c r="AS16" s="222">
        <v>0</v>
      </c>
      <c r="AT16" s="222">
        <v>0</v>
      </c>
      <c r="AU16" s="222">
        <v>0</v>
      </c>
      <c r="AV16" s="221">
        <v>4.2426406871194462E-3</v>
      </c>
      <c r="AW16" s="221">
        <v>0</v>
      </c>
      <c r="AX16" s="221">
        <v>2.1213203435597231E-3</v>
      </c>
      <c r="AY16" s="221">
        <v>6.3639610306791689E-3</v>
      </c>
      <c r="AZ16" s="221">
        <v>2.1213203435597231E-3</v>
      </c>
      <c r="BA16" s="221">
        <v>3.5355339059328192E-3</v>
      </c>
      <c r="BB16" s="221">
        <v>6.3639610306788549E-3</v>
      </c>
      <c r="BC16" s="221">
        <v>3.5355339059326622E-3</v>
      </c>
      <c r="BD16" s="221">
        <v>0</v>
      </c>
      <c r="BE16" s="221">
        <v>0</v>
      </c>
      <c r="BF16" s="221">
        <v>0</v>
      </c>
      <c r="BG16" s="221">
        <v>0</v>
      </c>
      <c r="BH16" s="221">
        <v>0</v>
      </c>
      <c r="BI16" s="221">
        <v>0</v>
      </c>
      <c r="BJ16" s="221">
        <v>0</v>
      </c>
      <c r="BK16" s="223"/>
      <c r="BL16" s="223"/>
    </row>
    <row r="17" spans="1:64">
      <c r="A17" s="224"/>
      <c r="B17" s="224"/>
      <c r="C17" s="224"/>
      <c r="D17" s="224"/>
      <c r="E17" s="224"/>
      <c r="F17" s="224"/>
      <c r="G17" s="224"/>
      <c r="H17" s="224"/>
      <c r="I17" s="224"/>
      <c r="J17" s="224"/>
      <c r="K17" s="224"/>
      <c r="L17" s="224"/>
      <c r="M17" s="224"/>
      <c r="N17" s="224"/>
      <c r="O17" s="224"/>
      <c r="P17" s="224"/>
      <c r="Q17" s="224"/>
      <c r="R17" s="224"/>
      <c r="S17" s="224"/>
      <c r="T17" s="224"/>
      <c r="U17" s="225" t="s">
        <v>649</v>
      </c>
      <c r="V17" s="226">
        <v>1.5E-3</v>
      </c>
      <c r="W17" s="226">
        <v>1.11E-2</v>
      </c>
      <c r="X17" s="226">
        <v>3.0000000000000001E-3</v>
      </c>
      <c r="Y17" s="226">
        <v>0</v>
      </c>
      <c r="Z17" s="226">
        <v>0</v>
      </c>
      <c r="AA17" s="226">
        <v>2.63E-2</v>
      </c>
      <c r="AB17" s="226">
        <v>0</v>
      </c>
      <c r="AC17" s="226">
        <v>1.0800000000000001E-2</v>
      </c>
      <c r="AD17" s="226">
        <v>0</v>
      </c>
      <c r="AE17" s="226">
        <v>1.2999999999999999E-3</v>
      </c>
      <c r="AF17" s="226">
        <v>4.7000000000000002E-3</v>
      </c>
      <c r="AG17" s="226">
        <v>0.16669999999999999</v>
      </c>
      <c r="AH17" s="226">
        <v>1.5E-3</v>
      </c>
      <c r="AI17" s="226">
        <v>0</v>
      </c>
      <c r="AJ17" s="226">
        <v>0</v>
      </c>
      <c r="AK17" s="226">
        <v>1.11E-2</v>
      </c>
      <c r="AL17" s="226">
        <v>0</v>
      </c>
      <c r="AM17" s="226">
        <v>4.4999999999999997E-3</v>
      </c>
      <c r="AN17" s="226">
        <v>0</v>
      </c>
      <c r="AO17" s="226">
        <v>0.5</v>
      </c>
      <c r="AP17" s="226">
        <v>0</v>
      </c>
      <c r="AQ17" s="226">
        <v>0</v>
      </c>
      <c r="AR17" s="226">
        <v>0</v>
      </c>
      <c r="AS17" s="226">
        <v>0</v>
      </c>
      <c r="AT17" s="226">
        <v>0</v>
      </c>
      <c r="AU17" s="226">
        <v>0</v>
      </c>
      <c r="AV17" s="226">
        <v>1.6999999999999999E-3</v>
      </c>
      <c r="AW17" s="226">
        <v>0</v>
      </c>
      <c r="AX17" s="226">
        <v>2E-3</v>
      </c>
      <c r="AY17" s="226">
        <v>1.8E-3</v>
      </c>
      <c r="AZ17" s="226">
        <v>1.6999999999999999E-3</v>
      </c>
      <c r="BA17" s="226">
        <v>2.0999999999999999E-3</v>
      </c>
      <c r="BB17" s="226">
        <v>1.6999999999999999E-3</v>
      </c>
      <c r="BC17" s="226">
        <v>3.0000000000000001E-3</v>
      </c>
      <c r="BD17" s="226">
        <v>0</v>
      </c>
      <c r="BE17" s="226">
        <v>0</v>
      </c>
      <c r="BF17" s="226">
        <v>0</v>
      </c>
      <c r="BG17" s="226">
        <v>0</v>
      </c>
      <c r="BH17" s="226">
        <v>0</v>
      </c>
      <c r="BI17" s="226">
        <v>0</v>
      </c>
      <c r="BJ17" s="226">
        <v>0</v>
      </c>
      <c r="BK17" s="227">
        <v>1.5E-3</v>
      </c>
      <c r="BL17" s="227">
        <v>1.8783333333333332E-2</v>
      </c>
    </row>
    <row r="18" spans="1:64">
      <c r="A18" s="213" t="s">
        <v>358</v>
      </c>
      <c r="B18" s="213" t="s">
        <v>435</v>
      </c>
      <c r="C18" s="213" t="s">
        <v>496</v>
      </c>
      <c r="D18" s="213" t="s">
        <v>495</v>
      </c>
      <c r="E18" s="213" t="s">
        <v>269</v>
      </c>
      <c r="F18" s="213">
        <v>549</v>
      </c>
      <c r="G18" s="213">
        <v>1</v>
      </c>
      <c r="H18" s="213">
        <v>8</v>
      </c>
      <c r="I18" s="213">
        <v>7.3</v>
      </c>
      <c r="J18" s="213">
        <v>21</v>
      </c>
      <c r="K18" s="213" t="s">
        <v>570</v>
      </c>
      <c r="L18" s="213">
        <v>2018</v>
      </c>
      <c r="M18" s="213" t="s">
        <v>614</v>
      </c>
      <c r="N18" s="213">
        <v>20</v>
      </c>
      <c r="O18" s="213">
        <v>201</v>
      </c>
      <c r="P18" s="213" t="s">
        <v>615</v>
      </c>
      <c r="Q18" s="213">
        <v>-70.885000000000005</v>
      </c>
      <c r="R18" s="213">
        <v>41.201000000000001</v>
      </c>
      <c r="S18" s="213" t="s">
        <v>271</v>
      </c>
      <c r="T18" s="213">
        <v>25</v>
      </c>
      <c r="U18" s="213" t="s">
        <v>573</v>
      </c>
      <c r="V18" s="214">
        <v>1.6689999999999998</v>
      </c>
      <c r="W18" s="214">
        <v>0.24199999999999999</v>
      </c>
      <c r="X18" s="214">
        <v>0.371</v>
      </c>
      <c r="Y18" s="214">
        <v>0.10299999999999999</v>
      </c>
      <c r="Z18" s="214">
        <v>7.1999999999999995E-2</v>
      </c>
      <c r="AA18" s="214">
        <v>0.28699999999999998</v>
      </c>
      <c r="AB18" s="214">
        <v>3.9E-2</v>
      </c>
      <c r="AC18" s="214">
        <v>0.13600000000000001</v>
      </c>
      <c r="AD18" s="214">
        <v>0.02</v>
      </c>
      <c r="AE18" s="214">
        <v>0.372</v>
      </c>
      <c r="AF18" s="214">
        <v>0.121</v>
      </c>
      <c r="AG18" s="214">
        <v>8.7999999999999995E-2</v>
      </c>
      <c r="AH18" s="214">
        <v>1.6559999999999999</v>
      </c>
      <c r="AI18" s="214">
        <v>-8888</v>
      </c>
      <c r="AJ18" s="214">
        <v>1.2999999999999999E-2</v>
      </c>
      <c r="AK18" s="214">
        <v>0.23599999999999999</v>
      </c>
      <c r="AL18" s="214">
        <v>6.0000000000000001E-3</v>
      </c>
      <c r="AM18" s="214">
        <v>0.21299999999999999</v>
      </c>
      <c r="AN18" s="214">
        <v>0.158</v>
      </c>
      <c r="AO18" s="214">
        <v>7.0000000000000001E-3</v>
      </c>
      <c r="AP18" s="214">
        <v>2.3E-2</v>
      </c>
      <c r="AQ18" s="214">
        <v>3.7999999999999999E-2</v>
      </c>
      <c r="AR18" s="214">
        <v>1.6E-2</v>
      </c>
      <c r="AS18" s="214">
        <v>1.6E-2</v>
      </c>
      <c r="AT18" s="214">
        <v>7.5999999999999998E-2</v>
      </c>
      <c r="AU18" s="214">
        <v>-8888</v>
      </c>
      <c r="AV18" s="214">
        <v>2.282</v>
      </c>
      <c r="AW18" s="214">
        <v>0.38600000000000001</v>
      </c>
      <c r="AX18" s="214">
        <v>0.85199999999999998</v>
      </c>
      <c r="AY18" s="214">
        <v>3.1339999999999999</v>
      </c>
      <c r="AZ18" s="214">
        <v>1.238</v>
      </c>
      <c r="BA18" s="214">
        <v>1.851</v>
      </c>
      <c r="BB18" s="214">
        <v>3.5199999999999996</v>
      </c>
      <c r="BC18" s="214">
        <v>1.2210000000000001</v>
      </c>
      <c r="BD18" s="214">
        <v>1.1100000000000001</v>
      </c>
      <c r="BE18" s="214">
        <v>0.69</v>
      </c>
      <c r="BF18" s="214">
        <v>0.31</v>
      </c>
      <c r="BG18" s="214">
        <v>1.84</v>
      </c>
      <c r="BH18" s="214">
        <v>0.11</v>
      </c>
      <c r="BI18" s="214">
        <v>0.89</v>
      </c>
      <c r="BJ18" s="214">
        <v>0.47</v>
      </c>
      <c r="BK18" s="215"/>
      <c r="BL18" s="215"/>
    </row>
    <row r="19" spans="1:64">
      <c r="A19" s="213" t="s">
        <v>375</v>
      </c>
      <c r="B19" s="213" t="s">
        <v>435</v>
      </c>
      <c r="C19" s="213" t="s">
        <v>496</v>
      </c>
      <c r="D19" s="213" t="s">
        <v>495</v>
      </c>
      <c r="E19" s="213" t="s">
        <v>269</v>
      </c>
      <c r="F19" s="213">
        <v>549</v>
      </c>
      <c r="G19" s="213">
        <v>1</v>
      </c>
      <c r="H19" s="213">
        <v>8</v>
      </c>
      <c r="I19" s="213">
        <v>7.3</v>
      </c>
      <c r="J19" s="213">
        <v>21</v>
      </c>
      <c r="K19" s="213" t="s">
        <v>570</v>
      </c>
      <c r="L19" s="213">
        <v>2018</v>
      </c>
      <c r="M19" s="213" t="s">
        <v>614</v>
      </c>
      <c r="N19" s="213">
        <v>20</v>
      </c>
      <c r="O19" s="213">
        <v>201</v>
      </c>
      <c r="P19" s="213" t="s">
        <v>615</v>
      </c>
      <c r="Q19" s="213">
        <v>-70.885000000000005</v>
      </c>
      <c r="R19" s="213">
        <v>41.201000000000001</v>
      </c>
      <c r="S19" s="213" t="s">
        <v>271</v>
      </c>
      <c r="T19" s="213">
        <v>25</v>
      </c>
      <c r="U19" s="213" t="s">
        <v>573</v>
      </c>
      <c r="V19" s="214">
        <v>1.6679999999999999</v>
      </c>
      <c r="W19" s="214">
        <v>0.24</v>
      </c>
      <c r="X19" s="214">
        <v>0.36499999999999999</v>
      </c>
      <c r="Y19" s="214">
        <v>0.10299999999999999</v>
      </c>
      <c r="Z19" s="214">
        <v>7.0999999999999994E-2</v>
      </c>
      <c r="AA19" s="214">
        <v>0.28699999999999998</v>
      </c>
      <c r="AB19" s="214">
        <v>0.04</v>
      </c>
      <c r="AC19" s="214">
        <v>0.13600000000000001</v>
      </c>
      <c r="AD19" s="214">
        <v>2.1000000000000001E-2</v>
      </c>
      <c r="AE19" s="214">
        <v>0.371</v>
      </c>
      <c r="AF19" s="214">
        <v>0.12</v>
      </c>
      <c r="AG19" s="214">
        <v>8.6999999999999994E-2</v>
      </c>
      <c r="AH19" s="214">
        <v>1.655</v>
      </c>
      <c r="AI19" s="214">
        <v>-8888</v>
      </c>
      <c r="AJ19" s="214">
        <v>1.2999999999999999E-2</v>
      </c>
      <c r="AK19" s="214">
        <v>0.23499999999999999</v>
      </c>
      <c r="AL19" s="214">
        <v>5.0000000000000001E-3</v>
      </c>
      <c r="AM19" s="214">
        <v>0.21199999999999999</v>
      </c>
      <c r="AN19" s="214">
        <v>0.153</v>
      </c>
      <c r="AO19" s="214">
        <v>8.0000000000000002E-3</v>
      </c>
      <c r="AP19" s="214">
        <v>2.1000000000000001E-2</v>
      </c>
      <c r="AQ19" s="214">
        <v>3.9E-2</v>
      </c>
      <c r="AR19" s="214">
        <v>1.7000000000000001E-2</v>
      </c>
      <c r="AS19" s="214">
        <v>1.7000000000000001E-2</v>
      </c>
      <c r="AT19" s="214">
        <v>7.6999999999999999E-2</v>
      </c>
      <c r="AU19" s="214">
        <v>-8888</v>
      </c>
      <c r="AV19" s="214">
        <v>2.2729999999999997</v>
      </c>
      <c r="AW19" s="214">
        <v>0.38700000000000001</v>
      </c>
      <c r="AX19" s="214">
        <v>0.84899999999999998</v>
      </c>
      <c r="AY19" s="214">
        <v>3.1219999999999999</v>
      </c>
      <c r="AZ19" s="214">
        <v>1.236</v>
      </c>
      <c r="BA19" s="214">
        <v>1.841</v>
      </c>
      <c r="BB19" s="214">
        <v>3.5089999999999999</v>
      </c>
      <c r="BC19" s="214">
        <v>1.216</v>
      </c>
      <c r="BD19" s="214">
        <v>1.1000000000000001</v>
      </c>
      <c r="BE19" s="214">
        <v>0.69</v>
      </c>
      <c r="BF19" s="214">
        <v>0.31</v>
      </c>
      <c r="BG19" s="214">
        <v>1.84</v>
      </c>
      <c r="BH19" s="214">
        <v>0.11</v>
      </c>
      <c r="BI19" s="214">
        <v>0.89</v>
      </c>
      <c r="BJ19" s="214">
        <v>0.48</v>
      </c>
      <c r="BK19" s="215"/>
      <c r="BL19" s="215"/>
    </row>
    <row r="20" spans="1:64">
      <c r="A20" s="216"/>
      <c r="B20" s="216"/>
      <c r="C20" s="216"/>
      <c r="D20" s="216"/>
      <c r="E20" s="216"/>
      <c r="F20" s="216"/>
      <c r="G20" s="216"/>
      <c r="H20" s="216"/>
      <c r="I20" s="216"/>
      <c r="J20" s="216"/>
      <c r="K20" s="216"/>
      <c r="L20" s="216"/>
      <c r="M20" s="216"/>
      <c r="N20" s="216"/>
      <c r="O20" s="216"/>
      <c r="P20" s="216"/>
      <c r="Q20" s="216"/>
      <c r="R20" s="216"/>
      <c r="S20" s="216"/>
      <c r="T20" s="216"/>
      <c r="U20" s="217" t="s">
        <v>666</v>
      </c>
      <c r="V20" s="218">
        <v>1.669</v>
      </c>
      <c r="W20" s="218">
        <v>0.24099999999999999</v>
      </c>
      <c r="X20" s="218">
        <v>0.36799999999999999</v>
      </c>
      <c r="Y20" s="218">
        <v>0.10299999999999999</v>
      </c>
      <c r="Z20" s="218">
        <v>7.1999999999999995E-2</v>
      </c>
      <c r="AA20" s="218">
        <v>0.28699999999999998</v>
      </c>
      <c r="AB20" s="218">
        <v>0.04</v>
      </c>
      <c r="AC20" s="218">
        <v>0.13600000000000001</v>
      </c>
      <c r="AD20" s="218">
        <v>2.1000000000000001E-2</v>
      </c>
      <c r="AE20" s="218">
        <v>0.372</v>
      </c>
      <c r="AF20" s="218">
        <v>0.121</v>
      </c>
      <c r="AG20" s="218">
        <v>8.7999999999999995E-2</v>
      </c>
      <c r="AH20" s="218">
        <v>1.6559999999999999</v>
      </c>
      <c r="AI20" s="218">
        <v>-8888</v>
      </c>
      <c r="AJ20" s="218">
        <v>1.2999999999999999E-2</v>
      </c>
      <c r="AK20" s="218">
        <v>0.23599999999999999</v>
      </c>
      <c r="AL20" s="218">
        <v>6.0000000000000001E-3</v>
      </c>
      <c r="AM20" s="218">
        <v>0.21299999999999999</v>
      </c>
      <c r="AN20" s="218">
        <v>0.156</v>
      </c>
      <c r="AO20" s="218">
        <v>8.0000000000000002E-3</v>
      </c>
      <c r="AP20" s="218">
        <v>2.1999999999999999E-2</v>
      </c>
      <c r="AQ20" s="218">
        <v>3.9E-2</v>
      </c>
      <c r="AR20" s="218">
        <v>1.7000000000000001E-2</v>
      </c>
      <c r="AS20" s="218">
        <v>1.7000000000000001E-2</v>
      </c>
      <c r="AT20" s="218">
        <v>7.6999999999999999E-2</v>
      </c>
      <c r="AU20" s="218">
        <v>-8888</v>
      </c>
      <c r="AV20" s="218">
        <v>2.2774999999999999</v>
      </c>
      <c r="AW20" s="218">
        <v>0.38650000000000001</v>
      </c>
      <c r="AX20" s="218">
        <v>0.85050000000000003</v>
      </c>
      <c r="AY20" s="218">
        <v>3.1280000000000001</v>
      </c>
      <c r="AZ20" s="218">
        <v>1.2370000000000001</v>
      </c>
      <c r="BA20" s="218">
        <v>1.8460000000000001</v>
      </c>
      <c r="BB20" s="218">
        <v>3.5145</v>
      </c>
      <c r="BC20" s="218">
        <v>1.2185000000000001</v>
      </c>
      <c r="BD20" s="217">
        <v>1.105</v>
      </c>
      <c r="BE20" s="217">
        <v>0.69</v>
      </c>
      <c r="BF20" s="217">
        <v>0.31</v>
      </c>
      <c r="BG20" s="217">
        <v>1.84</v>
      </c>
      <c r="BH20" s="217">
        <v>0.11</v>
      </c>
      <c r="BI20" s="217">
        <v>0.89</v>
      </c>
      <c r="BJ20" s="217">
        <v>0.47499999999999998</v>
      </c>
      <c r="BK20" s="219"/>
      <c r="BL20" s="219"/>
    </row>
    <row r="21" spans="1:64">
      <c r="A21" s="220"/>
      <c r="B21" s="220"/>
      <c r="C21" s="220"/>
      <c r="D21" s="220"/>
      <c r="E21" s="220"/>
      <c r="F21" s="220"/>
      <c r="G21" s="220"/>
      <c r="H21" s="220"/>
      <c r="I21" s="220"/>
      <c r="J21" s="220"/>
      <c r="K21" s="220"/>
      <c r="L21" s="220"/>
      <c r="M21" s="220"/>
      <c r="N21" s="220"/>
      <c r="O21" s="220"/>
      <c r="P21" s="220"/>
      <c r="Q21" s="220"/>
      <c r="R21" s="220"/>
      <c r="S21" s="220"/>
      <c r="T21" s="220"/>
      <c r="U21" s="221" t="s">
        <v>667</v>
      </c>
      <c r="V21" s="222">
        <v>1E-3</v>
      </c>
      <c r="W21" s="222">
        <v>1E-3</v>
      </c>
      <c r="X21" s="222">
        <v>4.0000000000000001E-3</v>
      </c>
      <c r="Y21" s="222">
        <v>0</v>
      </c>
      <c r="Z21" s="222">
        <v>1E-3</v>
      </c>
      <c r="AA21" s="222">
        <v>0</v>
      </c>
      <c r="AB21" s="222">
        <v>1E-3</v>
      </c>
      <c r="AC21" s="222">
        <v>0</v>
      </c>
      <c r="AD21" s="222">
        <v>1E-3</v>
      </c>
      <c r="AE21" s="222">
        <v>1E-3</v>
      </c>
      <c r="AF21" s="222">
        <v>1E-3</v>
      </c>
      <c r="AG21" s="222">
        <v>1E-3</v>
      </c>
      <c r="AH21" s="222">
        <v>1E-3</v>
      </c>
      <c r="AI21" s="222">
        <v>0</v>
      </c>
      <c r="AJ21" s="222">
        <v>0</v>
      </c>
      <c r="AK21" s="222">
        <v>1E-3</v>
      </c>
      <c r="AL21" s="222">
        <v>1E-3</v>
      </c>
      <c r="AM21" s="222">
        <v>1E-3</v>
      </c>
      <c r="AN21" s="222">
        <v>4.0000000000000001E-3</v>
      </c>
      <c r="AO21" s="222">
        <v>1E-3</v>
      </c>
      <c r="AP21" s="222">
        <v>1E-3</v>
      </c>
      <c r="AQ21" s="222">
        <v>1E-3</v>
      </c>
      <c r="AR21" s="222">
        <v>1E-3</v>
      </c>
      <c r="AS21" s="222">
        <v>1E-3</v>
      </c>
      <c r="AT21" s="222">
        <v>1E-3</v>
      </c>
      <c r="AU21" s="222">
        <v>0</v>
      </c>
      <c r="AV21" s="221">
        <v>6.3639610306791689E-3</v>
      </c>
      <c r="AW21" s="221">
        <v>7.0710678118654816E-4</v>
      </c>
      <c r="AX21" s="221">
        <v>2.1213203435596446E-3</v>
      </c>
      <c r="AY21" s="221">
        <v>8.4852813742385784E-3</v>
      </c>
      <c r="AZ21" s="221">
        <v>1.4142135623730963E-3</v>
      </c>
      <c r="BA21" s="221">
        <v>7.0710678118654814E-3</v>
      </c>
      <c r="BB21" s="221">
        <v>7.778174593051794E-3</v>
      </c>
      <c r="BC21" s="221">
        <v>3.5355339059328192E-3</v>
      </c>
      <c r="BD21" s="221">
        <v>7.0710678118654814E-3</v>
      </c>
      <c r="BE21" s="221">
        <v>0</v>
      </c>
      <c r="BF21" s="221">
        <v>0</v>
      </c>
      <c r="BG21" s="221">
        <v>0</v>
      </c>
      <c r="BH21" s="221">
        <v>0</v>
      </c>
      <c r="BI21" s="221">
        <v>0</v>
      </c>
      <c r="BJ21" s="221">
        <v>7.0710678118654814E-3</v>
      </c>
      <c r="BK21" s="223"/>
      <c r="BL21" s="223"/>
    </row>
    <row r="22" spans="1:64">
      <c r="A22" s="224"/>
      <c r="B22" s="224"/>
      <c r="C22" s="224"/>
      <c r="D22" s="224"/>
      <c r="E22" s="224"/>
      <c r="F22" s="224"/>
      <c r="G22" s="224"/>
      <c r="H22" s="224"/>
      <c r="I22" s="224"/>
      <c r="J22" s="224"/>
      <c r="K22" s="224"/>
      <c r="L22" s="224"/>
      <c r="M22" s="224"/>
      <c r="N22" s="224"/>
      <c r="O22" s="224"/>
      <c r="P22" s="224"/>
      <c r="Q22" s="224"/>
      <c r="R22" s="224"/>
      <c r="S22" s="224"/>
      <c r="T22" s="224"/>
      <c r="U22" s="225" t="s">
        <v>649</v>
      </c>
      <c r="V22" s="226">
        <v>5.9999999999999995E-4</v>
      </c>
      <c r="W22" s="226">
        <v>4.1000000000000003E-3</v>
      </c>
      <c r="X22" s="226">
        <v>1.09E-2</v>
      </c>
      <c r="Y22" s="226">
        <v>0</v>
      </c>
      <c r="Z22" s="226">
        <v>1.3899999999999999E-2</v>
      </c>
      <c r="AA22" s="226">
        <v>0</v>
      </c>
      <c r="AB22" s="226">
        <v>2.5000000000000001E-2</v>
      </c>
      <c r="AC22" s="226">
        <v>0</v>
      </c>
      <c r="AD22" s="226">
        <v>4.7600000000000003E-2</v>
      </c>
      <c r="AE22" s="226">
        <v>2.7000000000000001E-3</v>
      </c>
      <c r="AF22" s="226">
        <v>8.3000000000000001E-3</v>
      </c>
      <c r="AG22" s="226">
        <v>1.14E-2</v>
      </c>
      <c r="AH22" s="226">
        <v>5.9999999999999995E-4</v>
      </c>
      <c r="AI22" s="226">
        <v>0</v>
      </c>
      <c r="AJ22" s="226">
        <v>0</v>
      </c>
      <c r="AK22" s="226">
        <v>4.1999999999999997E-3</v>
      </c>
      <c r="AL22" s="226">
        <v>0.16669999999999999</v>
      </c>
      <c r="AM22" s="226">
        <v>4.7000000000000002E-3</v>
      </c>
      <c r="AN22" s="226">
        <v>2.5600000000000001E-2</v>
      </c>
      <c r="AO22" s="226">
        <v>0.125</v>
      </c>
      <c r="AP22" s="226">
        <v>4.5499999999999999E-2</v>
      </c>
      <c r="AQ22" s="226">
        <v>2.5600000000000001E-2</v>
      </c>
      <c r="AR22" s="226">
        <v>5.8799999999999998E-2</v>
      </c>
      <c r="AS22" s="226">
        <v>5.8799999999999998E-2</v>
      </c>
      <c r="AT22" s="226">
        <v>1.2999999999999999E-2</v>
      </c>
      <c r="AU22" s="226">
        <v>0</v>
      </c>
      <c r="AV22" s="226">
        <v>2.8E-3</v>
      </c>
      <c r="AW22" s="226">
        <v>1.8E-3</v>
      </c>
      <c r="AX22" s="226">
        <v>2.5000000000000001E-3</v>
      </c>
      <c r="AY22" s="226">
        <v>2.7000000000000001E-3</v>
      </c>
      <c r="AZ22" s="226">
        <v>1.1000000000000001E-3</v>
      </c>
      <c r="BA22" s="226">
        <v>3.8E-3</v>
      </c>
      <c r="BB22" s="226">
        <v>2.2000000000000001E-3</v>
      </c>
      <c r="BC22" s="226">
        <v>2.8999999999999998E-3</v>
      </c>
      <c r="BD22" s="226">
        <v>6.4000000000000003E-3</v>
      </c>
      <c r="BE22" s="226">
        <v>0</v>
      </c>
      <c r="BF22" s="226">
        <v>0</v>
      </c>
      <c r="BG22" s="226">
        <v>0</v>
      </c>
      <c r="BH22" s="226">
        <v>0</v>
      </c>
      <c r="BI22" s="226">
        <v>0</v>
      </c>
      <c r="BJ22" s="226">
        <v>1.49E-2</v>
      </c>
      <c r="BK22" s="227">
        <v>5.9999999999999995E-4</v>
      </c>
      <c r="BL22" s="227">
        <v>1.0375000000000001E-2</v>
      </c>
    </row>
    <row r="23" spans="1:64">
      <c r="A23" s="213" t="s">
        <v>387</v>
      </c>
      <c r="B23" s="213" t="s">
        <v>435</v>
      </c>
      <c r="C23" s="213" t="s">
        <v>523</v>
      </c>
      <c r="D23" s="213" t="s">
        <v>524</v>
      </c>
      <c r="E23" s="213" t="s">
        <v>269</v>
      </c>
      <c r="F23" s="213">
        <v>547</v>
      </c>
      <c r="G23" s="213">
        <v>1</v>
      </c>
      <c r="H23" s="213">
        <v>7</v>
      </c>
      <c r="I23" s="213">
        <v>29.6</v>
      </c>
      <c r="J23" s="213">
        <v>94</v>
      </c>
      <c r="K23" s="213" t="s">
        <v>570</v>
      </c>
      <c r="L23" s="213">
        <v>2018</v>
      </c>
      <c r="M23" s="213" t="s">
        <v>624</v>
      </c>
      <c r="N23" s="213">
        <v>21</v>
      </c>
      <c r="O23" s="213">
        <v>294</v>
      </c>
      <c r="P23" s="213" t="s">
        <v>625</v>
      </c>
      <c r="Q23" s="213">
        <v>-70.881</v>
      </c>
      <c r="R23" s="213">
        <v>40.360999999999997</v>
      </c>
      <c r="S23" s="213" t="s">
        <v>271</v>
      </c>
      <c r="T23" s="213">
        <v>25</v>
      </c>
      <c r="U23" s="213" t="s">
        <v>573</v>
      </c>
      <c r="V23" s="214">
        <v>2.6859999999999999</v>
      </c>
      <c r="W23" s="214">
        <v>0.32800000000000001</v>
      </c>
      <c r="X23" s="214">
        <v>0.60699999999999998</v>
      </c>
      <c r="Y23" s="214">
        <v>0.127</v>
      </c>
      <c r="Z23" s="214">
        <v>9.0999999999999998E-2</v>
      </c>
      <c r="AA23" s="214">
        <v>0.36899999999999999</v>
      </c>
      <c r="AB23" s="214">
        <v>0.14199999999999999</v>
      </c>
      <c r="AC23" s="214">
        <v>0.105</v>
      </c>
      <c r="AD23" s="214">
        <v>-8888</v>
      </c>
      <c r="AE23" s="214">
        <v>0.52400000000000002</v>
      </c>
      <c r="AF23" s="214">
        <v>0.24399999999999999</v>
      </c>
      <c r="AG23" s="214">
        <v>2.8000000000000001E-2</v>
      </c>
      <c r="AH23" s="214">
        <v>2.6539999999999999</v>
      </c>
      <c r="AI23" s="214">
        <v>-8888</v>
      </c>
      <c r="AJ23" s="214">
        <v>3.2000000000000001E-2</v>
      </c>
      <c r="AK23" s="214">
        <v>0.32800000000000001</v>
      </c>
      <c r="AL23" s="214">
        <v>-8888</v>
      </c>
      <c r="AM23" s="214">
        <v>0.372</v>
      </c>
      <c r="AN23" s="214">
        <v>0.23499999999999999</v>
      </c>
      <c r="AO23" s="214">
        <v>8.0000000000000002E-3</v>
      </c>
      <c r="AP23" s="214">
        <v>3.5000000000000003E-2</v>
      </c>
      <c r="AQ23" s="214">
        <v>2.5999999999999999E-2</v>
      </c>
      <c r="AR23" s="214">
        <v>0.03</v>
      </c>
      <c r="AS23" s="214">
        <v>8.4000000000000005E-2</v>
      </c>
      <c r="AT23" s="214">
        <v>0.123</v>
      </c>
      <c r="AU23" s="214">
        <v>-8888</v>
      </c>
      <c r="AV23" s="214">
        <v>3.6209999999999996</v>
      </c>
      <c r="AW23" s="214">
        <v>0.40200000000000002</v>
      </c>
      <c r="AX23" s="214">
        <v>1.228</v>
      </c>
      <c r="AY23" s="214">
        <v>4.8489999999999993</v>
      </c>
      <c r="AZ23" s="214">
        <v>1.63</v>
      </c>
      <c r="BA23" s="214">
        <v>2.5649999999999999</v>
      </c>
      <c r="BB23" s="214">
        <v>5.2509999999999994</v>
      </c>
      <c r="BC23" s="214">
        <v>1.726</v>
      </c>
      <c r="BD23" s="214">
        <v>0.95</v>
      </c>
      <c r="BE23" s="214">
        <v>0.75</v>
      </c>
      <c r="BF23" s="214">
        <v>0.25</v>
      </c>
      <c r="BG23" s="214">
        <v>2.2200000000000002</v>
      </c>
      <c r="BH23" s="214">
        <v>0.08</v>
      </c>
      <c r="BI23" s="214">
        <v>0.92</v>
      </c>
      <c r="BJ23" s="214">
        <v>0.51</v>
      </c>
      <c r="BK23" s="215"/>
      <c r="BL23" s="215"/>
    </row>
    <row r="24" spans="1:64">
      <c r="A24" s="213" t="s">
        <v>409</v>
      </c>
      <c r="B24" s="213" t="s">
        <v>435</v>
      </c>
      <c r="C24" s="213" t="s">
        <v>523</v>
      </c>
      <c r="D24" s="213" t="s">
        <v>524</v>
      </c>
      <c r="E24" s="213" t="s">
        <v>269</v>
      </c>
      <c r="F24" s="213">
        <v>547</v>
      </c>
      <c r="G24" s="213">
        <v>1</v>
      </c>
      <c r="H24" s="213">
        <v>7</v>
      </c>
      <c r="I24" s="213">
        <v>29.6</v>
      </c>
      <c r="J24" s="213">
        <v>94</v>
      </c>
      <c r="K24" s="213" t="s">
        <v>570</v>
      </c>
      <c r="L24" s="213">
        <v>2018</v>
      </c>
      <c r="M24" s="213" t="s">
        <v>624</v>
      </c>
      <c r="N24" s="213">
        <v>21</v>
      </c>
      <c r="O24" s="213">
        <v>294</v>
      </c>
      <c r="P24" s="213" t="s">
        <v>625</v>
      </c>
      <c r="Q24" s="213">
        <v>-70.881</v>
      </c>
      <c r="R24" s="213">
        <v>40.360999999999997</v>
      </c>
      <c r="S24" s="213" t="s">
        <v>271</v>
      </c>
      <c r="T24" s="213">
        <v>25</v>
      </c>
      <c r="U24" s="213" t="s">
        <v>573</v>
      </c>
      <c r="V24" s="214">
        <v>2.6869999999999998</v>
      </c>
      <c r="W24" s="214">
        <v>0.32700000000000001</v>
      </c>
      <c r="X24" s="214">
        <v>0.59499999999999997</v>
      </c>
      <c r="Y24" s="214">
        <v>0.127</v>
      </c>
      <c r="Z24" s="214">
        <v>9.0999999999999998E-2</v>
      </c>
      <c r="AA24" s="214">
        <v>0.37</v>
      </c>
      <c r="AB24" s="214">
        <v>0.14199999999999999</v>
      </c>
      <c r="AC24" s="214">
        <v>0.106</v>
      </c>
      <c r="AD24" s="214">
        <v>-8888</v>
      </c>
      <c r="AE24" s="214">
        <v>0.52400000000000002</v>
      </c>
      <c r="AF24" s="214">
        <v>0.24199999999999999</v>
      </c>
      <c r="AG24" s="214">
        <v>2.7E-2</v>
      </c>
      <c r="AH24" s="214">
        <v>2.6549999999999998</v>
      </c>
      <c r="AI24" s="214">
        <v>-8888</v>
      </c>
      <c r="AJ24" s="214">
        <v>3.2000000000000001E-2</v>
      </c>
      <c r="AK24" s="214">
        <v>0.32700000000000001</v>
      </c>
      <c r="AL24" s="214">
        <v>-8888</v>
      </c>
      <c r="AM24" s="214">
        <v>0.36899999999999999</v>
      </c>
      <c r="AN24" s="214">
        <v>0.22600000000000001</v>
      </c>
      <c r="AO24" s="214">
        <v>8.9999999999999993E-3</v>
      </c>
      <c r="AP24" s="214">
        <v>3.5000000000000003E-2</v>
      </c>
      <c r="AQ24" s="214">
        <v>2.5999999999999999E-2</v>
      </c>
      <c r="AR24" s="214">
        <v>3.1E-2</v>
      </c>
      <c r="AS24" s="214">
        <v>9.0999999999999998E-2</v>
      </c>
      <c r="AT24" s="214">
        <v>0.123</v>
      </c>
      <c r="AU24" s="214">
        <v>-8888</v>
      </c>
      <c r="AV24" s="214">
        <v>3.609</v>
      </c>
      <c r="AW24" s="214">
        <v>0.40200000000000002</v>
      </c>
      <c r="AX24" s="214">
        <v>1.2269999999999999</v>
      </c>
      <c r="AY24" s="214">
        <v>4.8360000000000003</v>
      </c>
      <c r="AZ24" s="214">
        <v>1.629</v>
      </c>
      <c r="BA24" s="214">
        <v>2.5510000000000002</v>
      </c>
      <c r="BB24" s="214">
        <v>5.2379999999999995</v>
      </c>
      <c r="BC24" s="214">
        <v>1.7229999999999999</v>
      </c>
      <c r="BD24" s="214">
        <v>0.95</v>
      </c>
      <c r="BE24" s="214">
        <v>0.75</v>
      </c>
      <c r="BF24" s="214">
        <v>0.25</v>
      </c>
      <c r="BG24" s="214">
        <v>2.2200000000000002</v>
      </c>
      <c r="BH24" s="214">
        <v>0.08</v>
      </c>
      <c r="BI24" s="214">
        <v>0.92</v>
      </c>
      <c r="BJ24" s="214">
        <v>0.51</v>
      </c>
      <c r="BK24" s="215"/>
      <c r="BL24" s="215"/>
    </row>
    <row r="25" spans="1:64">
      <c r="A25" s="216"/>
      <c r="B25" s="216"/>
      <c r="C25" s="216"/>
      <c r="D25" s="216"/>
      <c r="E25" s="216"/>
      <c r="F25" s="216"/>
      <c r="G25" s="216"/>
      <c r="H25" s="216"/>
      <c r="I25" s="216"/>
      <c r="J25" s="216"/>
      <c r="K25" s="216"/>
      <c r="L25" s="216"/>
      <c r="M25" s="216"/>
      <c r="N25" s="216"/>
      <c r="O25" s="216"/>
      <c r="P25" s="216"/>
      <c r="Q25" s="216"/>
      <c r="R25" s="216"/>
      <c r="S25" s="216"/>
      <c r="T25" s="216"/>
      <c r="U25" s="217" t="s">
        <v>666</v>
      </c>
      <c r="V25" s="218">
        <v>2.6869999999999998</v>
      </c>
      <c r="W25" s="218">
        <v>0.32800000000000001</v>
      </c>
      <c r="X25" s="218">
        <v>0.60099999999999998</v>
      </c>
      <c r="Y25" s="218">
        <v>0.127</v>
      </c>
      <c r="Z25" s="218">
        <v>9.0999999999999998E-2</v>
      </c>
      <c r="AA25" s="218">
        <v>0.37</v>
      </c>
      <c r="AB25" s="218">
        <v>0.14199999999999999</v>
      </c>
      <c r="AC25" s="218">
        <v>0.106</v>
      </c>
      <c r="AD25" s="218">
        <v>-8888</v>
      </c>
      <c r="AE25" s="218">
        <v>0.52400000000000002</v>
      </c>
      <c r="AF25" s="218">
        <v>0.24299999999999999</v>
      </c>
      <c r="AG25" s="218">
        <v>2.8000000000000001E-2</v>
      </c>
      <c r="AH25" s="218">
        <v>2.6549999999999998</v>
      </c>
      <c r="AI25" s="218">
        <v>-8888</v>
      </c>
      <c r="AJ25" s="218">
        <v>3.2000000000000001E-2</v>
      </c>
      <c r="AK25" s="218">
        <v>0.32800000000000001</v>
      </c>
      <c r="AL25" s="218">
        <v>-8888</v>
      </c>
      <c r="AM25" s="218">
        <v>0.371</v>
      </c>
      <c r="AN25" s="218">
        <v>0.23100000000000001</v>
      </c>
      <c r="AO25" s="218">
        <v>8.9999999999999993E-3</v>
      </c>
      <c r="AP25" s="218">
        <v>3.5000000000000003E-2</v>
      </c>
      <c r="AQ25" s="218">
        <v>2.5999999999999999E-2</v>
      </c>
      <c r="AR25" s="218">
        <v>3.1E-2</v>
      </c>
      <c r="AS25" s="218">
        <v>8.7999999999999995E-2</v>
      </c>
      <c r="AT25" s="218">
        <v>0.123</v>
      </c>
      <c r="AU25" s="218">
        <v>-8888</v>
      </c>
      <c r="AV25" s="218">
        <v>3.6149999999999998</v>
      </c>
      <c r="AW25" s="218">
        <v>0.40200000000000002</v>
      </c>
      <c r="AX25" s="218">
        <v>1.2275</v>
      </c>
      <c r="AY25" s="218">
        <v>4.8424999999999994</v>
      </c>
      <c r="AZ25" s="218">
        <v>1.6294999999999999</v>
      </c>
      <c r="BA25" s="218">
        <v>2.5579999999999998</v>
      </c>
      <c r="BB25" s="218">
        <v>5.2444999999999995</v>
      </c>
      <c r="BC25" s="218">
        <v>1.7244999999999999</v>
      </c>
      <c r="BD25" s="217">
        <v>0.95</v>
      </c>
      <c r="BE25" s="217">
        <v>0.75</v>
      </c>
      <c r="BF25" s="217">
        <v>0.25</v>
      </c>
      <c r="BG25" s="217">
        <v>2.2200000000000002</v>
      </c>
      <c r="BH25" s="217">
        <v>0.08</v>
      </c>
      <c r="BI25" s="217">
        <v>0.92</v>
      </c>
      <c r="BJ25" s="217">
        <v>0.51</v>
      </c>
      <c r="BK25" s="219"/>
      <c r="BL25" s="219"/>
    </row>
    <row r="26" spans="1:64">
      <c r="A26" s="220"/>
      <c r="B26" s="220"/>
      <c r="C26" s="220"/>
      <c r="D26" s="220"/>
      <c r="E26" s="220"/>
      <c r="F26" s="220"/>
      <c r="G26" s="220"/>
      <c r="H26" s="220"/>
      <c r="I26" s="220"/>
      <c r="J26" s="220"/>
      <c r="K26" s="220"/>
      <c r="L26" s="220"/>
      <c r="M26" s="220"/>
      <c r="N26" s="220"/>
      <c r="O26" s="220"/>
      <c r="P26" s="220"/>
      <c r="Q26" s="220"/>
      <c r="R26" s="220"/>
      <c r="S26" s="220"/>
      <c r="T26" s="220"/>
      <c r="U26" s="221" t="s">
        <v>667</v>
      </c>
      <c r="V26" s="222">
        <v>1E-3</v>
      </c>
      <c r="W26" s="222">
        <v>1E-3</v>
      </c>
      <c r="X26" s="222">
        <v>8.0000000000000002E-3</v>
      </c>
      <c r="Y26" s="222">
        <v>0</v>
      </c>
      <c r="Z26" s="222">
        <v>0</v>
      </c>
      <c r="AA26" s="222">
        <v>1E-3</v>
      </c>
      <c r="AB26" s="222">
        <v>0</v>
      </c>
      <c r="AC26" s="222">
        <v>1E-3</v>
      </c>
      <c r="AD26" s="222">
        <v>0</v>
      </c>
      <c r="AE26" s="222">
        <v>0</v>
      </c>
      <c r="AF26" s="222">
        <v>1E-3</v>
      </c>
      <c r="AG26" s="222">
        <v>1E-3</v>
      </c>
      <c r="AH26" s="222">
        <v>1E-3</v>
      </c>
      <c r="AI26" s="222">
        <v>0</v>
      </c>
      <c r="AJ26" s="222">
        <v>0</v>
      </c>
      <c r="AK26" s="222">
        <v>1E-3</v>
      </c>
      <c r="AL26" s="222">
        <v>0</v>
      </c>
      <c r="AM26" s="222">
        <v>2E-3</v>
      </c>
      <c r="AN26" s="222">
        <v>6.0000000000000001E-3</v>
      </c>
      <c r="AO26" s="222">
        <v>1E-3</v>
      </c>
      <c r="AP26" s="222">
        <v>0</v>
      </c>
      <c r="AQ26" s="222">
        <v>0</v>
      </c>
      <c r="AR26" s="222">
        <v>1E-3</v>
      </c>
      <c r="AS26" s="222">
        <v>5.0000000000000001E-3</v>
      </c>
      <c r="AT26" s="222">
        <v>0</v>
      </c>
      <c r="AU26" s="222">
        <v>0</v>
      </c>
      <c r="AV26" s="221">
        <v>8.4852813742382644E-3</v>
      </c>
      <c r="AW26" s="221">
        <v>0</v>
      </c>
      <c r="AX26" s="221">
        <v>7.0710678118662666E-4</v>
      </c>
      <c r="AY26" s="221">
        <v>9.1923881554244191E-3</v>
      </c>
      <c r="AZ26" s="221">
        <v>7.0710678118646967E-4</v>
      </c>
      <c r="BA26" s="221">
        <v>9.8994949366115175E-3</v>
      </c>
      <c r="BB26" s="221">
        <v>9.1923881554250471E-3</v>
      </c>
      <c r="BC26" s="221">
        <v>2.1213203435597231E-3</v>
      </c>
      <c r="BD26" s="221">
        <v>0</v>
      </c>
      <c r="BE26" s="221">
        <v>0</v>
      </c>
      <c r="BF26" s="221">
        <v>0</v>
      </c>
      <c r="BG26" s="221">
        <v>0</v>
      </c>
      <c r="BH26" s="221">
        <v>0</v>
      </c>
      <c r="BI26" s="221">
        <v>0</v>
      </c>
      <c r="BJ26" s="221">
        <v>0</v>
      </c>
      <c r="BK26" s="223"/>
      <c r="BL26" s="223"/>
    </row>
    <row r="27" spans="1:64">
      <c r="A27" s="224"/>
      <c r="B27" s="224"/>
      <c r="C27" s="224"/>
      <c r="D27" s="224"/>
      <c r="E27" s="224"/>
      <c r="F27" s="224"/>
      <c r="G27" s="224"/>
      <c r="H27" s="224"/>
      <c r="I27" s="224"/>
      <c r="J27" s="224"/>
      <c r="K27" s="224"/>
      <c r="L27" s="224"/>
      <c r="M27" s="224"/>
      <c r="N27" s="224"/>
      <c r="O27" s="224"/>
      <c r="P27" s="224"/>
      <c r="Q27" s="224"/>
      <c r="R27" s="224"/>
      <c r="S27" s="224"/>
      <c r="T27" s="224"/>
      <c r="U27" s="225" t="s">
        <v>649</v>
      </c>
      <c r="V27" s="226">
        <v>4.0000000000000002E-4</v>
      </c>
      <c r="W27" s="226">
        <v>3.0000000000000001E-3</v>
      </c>
      <c r="X27" s="226">
        <v>1.3299999999999999E-2</v>
      </c>
      <c r="Y27" s="226">
        <v>0</v>
      </c>
      <c r="Z27" s="226">
        <v>0</v>
      </c>
      <c r="AA27" s="226">
        <v>2.7000000000000001E-3</v>
      </c>
      <c r="AB27" s="226">
        <v>0</v>
      </c>
      <c r="AC27" s="226">
        <v>9.4000000000000004E-3</v>
      </c>
      <c r="AD27" s="226">
        <v>0</v>
      </c>
      <c r="AE27" s="226">
        <v>0</v>
      </c>
      <c r="AF27" s="226">
        <v>4.1000000000000003E-3</v>
      </c>
      <c r="AG27" s="226">
        <v>3.5700000000000003E-2</v>
      </c>
      <c r="AH27" s="226">
        <v>4.0000000000000002E-4</v>
      </c>
      <c r="AI27" s="226">
        <v>0</v>
      </c>
      <c r="AJ27" s="226">
        <v>0</v>
      </c>
      <c r="AK27" s="226">
        <v>3.0000000000000001E-3</v>
      </c>
      <c r="AL27" s="226">
        <v>0</v>
      </c>
      <c r="AM27" s="226">
        <v>5.4000000000000003E-3</v>
      </c>
      <c r="AN27" s="226">
        <v>2.5999999999999999E-2</v>
      </c>
      <c r="AO27" s="226">
        <v>0.1111</v>
      </c>
      <c r="AP27" s="226">
        <v>0</v>
      </c>
      <c r="AQ27" s="226">
        <v>0</v>
      </c>
      <c r="AR27" s="226">
        <v>3.2300000000000002E-2</v>
      </c>
      <c r="AS27" s="226">
        <v>5.6800000000000003E-2</v>
      </c>
      <c r="AT27" s="226">
        <v>0</v>
      </c>
      <c r="AU27" s="226">
        <v>0</v>
      </c>
      <c r="AV27" s="226">
        <v>2.3E-3</v>
      </c>
      <c r="AW27" s="226">
        <v>0</v>
      </c>
      <c r="AX27" s="226">
        <v>5.9999999999999995E-4</v>
      </c>
      <c r="AY27" s="226">
        <v>1.9E-3</v>
      </c>
      <c r="AZ27" s="226">
        <v>4.0000000000000002E-4</v>
      </c>
      <c r="BA27" s="226">
        <v>3.8999999999999998E-3</v>
      </c>
      <c r="BB27" s="226">
        <v>1.8E-3</v>
      </c>
      <c r="BC27" s="226">
        <v>1.1999999999999999E-3</v>
      </c>
      <c r="BD27" s="226">
        <v>0</v>
      </c>
      <c r="BE27" s="226">
        <v>0</v>
      </c>
      <c r="BF27" s="226">
        <v>0</v>
      </c>
      <c r="BG27" s="226">
        <v>0</v>
      </c>
      <c r="BH27" s="226">
        <v>0</v>
      </c>
      <c r="BI27" s="226">
        <v>0</v>
      </c>
      <c r="BJ27" s="226">
        <v>0</v>
      </c>
      <c r="BK27" s="227">
        <v>4.0000000000000002E-4</v>
      </c>
      <c r="BL27" s="227">
        <v>5.7166666666666659E-3</v>
      </c>
    </row>
    <row r="28" spans="1:64">
      <c r="A28" s="213" t="s">
        <v>410</v>
      </c>
      <c r="B28" s="213" t="s">
        <v>435</v>
      </c>
      <c r="C28" s="213" t="s">
        <v>548</v>
      </c>
      <c r="D28" s="213" t="s">
        <v>539</v>
      </c>
      <c r="E28" s="213" t="s">
        <v>269</v>
      </c>
      <c r="F28" s="213">
        <v>547</v>
      </c>
      <c r="G28" s="213">
        <v>12</v>
      </c>
      <c r="H28" s="213">
        <v>8</v>
      </c>
      <c r="I28" s="213">
        <v>15.2</v>
      </c>
      <c r="J28" s="213">
        <v>66</v>
      </c>
      <c r="K28" s="213" t="s">
        <v>570</v>
      </c>
      <c r="L28" s="213">
        <v>2019</v>
      </c>
      <c r="M28" s="213" t="s">
        <v>270</v>
      </c>
      <c r="N28" s="213">
        <v>2</v>
      </c>
      <c r="O28" s="213">
        <v>33</v>
      </c>
      <c r="P28" s="213" t="s">
        <v>634</v>
      </c>
      <c r="Q28" s="213">
        <v>-70.882999999999996</v>
      </c>
      <c r="R28" s="213">
        <v>40.697000000000003</v>
      </c>
      <c r="S28" s="213" t="s">
        <v>271</v>
      </c>
      <c r="T28" s="213">
        <v>25</v>
      </c>
      <c r="U28" s="213" t="s">
        <v>573</v>
      </c>
      <c r="V28" s="214">
        <v>1.3559999999999999</v>
      </c>
      <c r="W28" s="214">
        <v>5.3999999999999999E-2</v>
      </c>
      <c r="X28" s="214">
        <v>0.18</v>
      </c>
      <c r="Y28" s="214">
        <v>4.5999999999999999E-2</v>
      </c>
      <c r="Z28" s="214">
        <v>0.01</v>
      </c>
      <c r="AA28" s="214">
        <v>0.01</v>
      </c>
      <c r="AB28" s="214">
        <v>2.1000000000000001E-2</v>
      </c>
      <c r="AC28" s="214">
        <v>0.06</v>
      </c>
      <c r="AD28" s="214">
        <v>1.2E-2</v>
      </c>
      <c r="AE28" s="214">
        <v>0.58299999999999996</v>
      </c>
      <c r="AF28" s="214">
        <v>2.9000000000000001E-2</v>
      </c>
      <c r="AG28" s="214">
        <v>4.0000000000000001E-3</v>
      </c>
      <c r="AH28" s="214">
        <v>1.347</v>
      </c>
      <c r="AI28" s="214">
        <v>-8888</v>
      </c>
      <c r="AJ28" s="214">
        <v>8.9999999999999993E-3</v>
      </c>
      <c r="AK28" s="214">
        <v>5.3999999999999999E-2</v>
      </c>
      <c r="AL28" s="214">
        <v>-8888</v>
      </c>
      <c r="AM28" s="214">
        <v>0.151</v>
      </c>
      <c r="AN28" s="214">
        <v>2.9000000000000001E-2</v>
      </c>
      <c r="AO28" s="214">
        <v>2E-3</v>
      </c>
      <c r="AP28" s="214">
        <v>6.0000000000000001E-3</v>
      </c>
      <c r="AQ28" s="214">
        <v>8.0000000000000002E-3</v>
      </c>
      <c r="AR28" s="214">
        <v>1.6E-2</v>
      </c>
      <c r="AS28" s="214">
        <v>3.1E-2</v>
      </c>
      <c r="AT28" s="214">
        <v>1.4E-2</v>
      </c>
      <c r="AU28" s="214">
        <v>-8888</v>
      </c>
      <c r="AV28" s="214">
        <v>1.5899999999999999</v>
      </c>
      <c r="AW28" s="214">
        <v>0.14300000000000002</v>
      </c>
      <c r="AX28" s="214">
        <v>0.63200000000000001</v>
      </c>
      <c r="AY28" s="214">
        <v>2.222</v>
      </c>
      <c r="AZ28" s="214">
        <v>0.77500000000000002</v>
      </c>
      <c r="BA28" s="214">
        <v>1.0090000000000001</v>
      </c>
      <c r="BB28" s="214">
        <v>2.3650000000000002</v>
      </c>
      <c r="BC28" s="214">
        <v>0.71099999999999997</v>
      </c>
      <c r="BD28" s="214">
        <v>0.74</v>
      </c>
      <c r="BE28" s="214">
        <v>0.82</v>
      </c>
      <c r="BF28" s="214">
        <v>0.18</v>
      </c>
      <c r="BG28" s="214">
        <v>2.0499999999999998</v>
      </c>
      <c r="BH28" s="214">
        <v>0.06</v>
      </c>
      <c r="BI28" s="214">
        <v>0.94</v>
      </c>
      <c r="BJ28" s="214">
        <v>0.56999999999999995</v>
      </c>
      <c r="BK28" s="215"/>
      <c r="BL28" s="215"/>
    </row>
    <row r="29" spans="1:64">
      <c r="A29" s="213" t="s">
        <v>671</v>
      </c>
      <c r="B29" s="213" t="s">
        <v>435</v>
      </c>
      <c r="C29" s="213" t="s">
        <v>548</v>
      </c>
      <c r="D29" s="213" t="s">
        <v>539</v>
      </c>
      <c r="E29" s="213" t="s">
        <v>269</v>
      </c>
      <c r="F29" s="213">
        <v>547</v>
      </c>
      <c r="G29" s="213">
        <v>12</v>
      </c>
      <c r="H29" s="213">
        <v>8</v>
      </c>
      <c r="I29" s="213">
        <v>15.2</v>
      </c>
      <c r="J29" s="213">
        <v>66</v>
      </c>
      <c r="K29" s="213" t="s">
        <v>570</v>
      </c>
      <c r="L29" s="213">
        <v>2019</v>
      </c>
      <c r="M29" s="213" t="s">
        <v>270</v>
      </c>
      <c r="N29" s="213">
        <v>2</v>
      </c>
      <c r="O29" s="213">
        <v>33</v>
      </c>
      <c r="P29" s="213" t="s">
        <v>634</v>
      </c>
      <c r="Q29" s="213">
        <v>-70.882999999999996</v>
      </c>
      <c r="R29" s="213">
        <v>40.697000000000003</v>
      </c>
      <c r="S29" s="213" t="s">
        <v>271</v>
      </c>
      <c r="T29" s="213">
        <v>25</v>
      </c>
      <c r="U29" s="213" t="s">
        <v>573</v>
      </c>
      <c r="V29" s="214">
        <v>1.349</v>
      </c>
      <c r="W29" s="214">
        <v>5.0999999999999997E-2</v>
      </c>
      <c r="X29" s="214">
        <v>0.18</v>
      </c>
      <c r="Y29" s="214">
        <v>4.7E-2</v>
      </c>
      <c r="Z29" s="214">
        <v>0.01</v>
      </c>
      <c r="AA29" s="214">
        <v>0.01</v>
      </c>
      <c r="AB29" s="214">
        <v>2.1000000000000001E-2</v>
      </c>
      <c r="AC29" s="214">
        <v>0.06</v>
      </c>
      <c r="AD29" s="214">
        <v>1.2E-2</v>
      </c>
      <c r="AE29" s="214">
        <v>0.58399999999999996</v>
      </c>
      <c r="AF29" s="214">
        <v>2.9000000000000001E-2</v>
      </c>
      <c r="AG29" s="214">
        <v>4.0000000000000001E-3</v>
      </c>
      <c r="AH29" s="214">
        <v>1.34</v>
      </c>
      <c r="AI29" s="214">
        <v>-8888</v>
      </c>
      <c r="AJ29" s="214">
        <v>8.9999999999999993E-3</v>
      </c>
      <c r="AK29" s="214">
        <v>5.0999999999999997E-2</v>
      </c>
      <c r="AL29" s="214">
        <v>-8888</v>
      </c>
      <c r="AM29" s="214">
        <v>0.151</v>
      </c>
      <c r="AN29" s="214">
        <v>2.9000000000000001E-2</v>
      </c>
      <c r="AO29" s="214">
        <v>2E-3</v>
      </c>
      <c r="AP29" s="214">
        <v>6.0000000000000001E-3</v>
      </c>
      <c r="AQ29" s="214">
        <v>8.9999999999999993E-3</v>
      </c>
      <c r="AR29" s="214">
        <v>1.4E-2</v>
      </c>
      <c r="AS29" s="214">
        <v>3.2000000000000001E-2</v>
      </c>
      <c r="AT29" s="214">
        <v>1.4E-2</v>
      </c>
      <c r="AU29" s="214">
        <v>-8888</v>
      </c>
      <c r="AV29" s="214">
        <v>1.5799999999999998</v>
      </c>
      <c r="AW29" s="214">
        <v>0.14400000000000002</v>
      </c>
      <c r="AX29" s="214">
        <v>0.63300000000000001</v>
      </c>
      <c r="AY29" s="214">
        <v>2.2130000000000001</v>
      </c>
      <c r="AZ29" s="214">
        <v>0.77700000000000002</v>
      </c>
      <c r="BA29" s="214">
        <v>1.008</v>
      </c>
      <c r="BB29" s="214">
        <v>2.3570000000000002</v>
      </c>
      <c r="BC29" s="214">
        <v>0.70899999999999996</v>
      </c>
      <c r="BD29" s="214">
        <v>0.75</v>
      </c>
      <c r="BE29" s="214">
        <v>0.81</v>
      </c>
      <c r="BF29" s="214">
        <v>0.19</v>
      </c>
      <c r="BG29" s="214">
        <v>2.0299999999999998</v>
      </c>
      <c r="BH29" s="214">
        <v>0.06</v>
      </c>
      <c r="BI29" s="214">
        <v>0.94</v>
      </c>
      <c r="BJ29" s="214">
        <v>0.56999999999999995</v>
      </c>
      <c r="BK29" s="215"/>
      <c r="BL29" s="215"/>
    </row>
    <row r="30" spans="1:64">
      <c r="A30" s="216"/>
      <c r="B30" s="216"/>
      <c r="C30" s="216"/>
      <c r="D30" s="216"/>
      <c r="E30" s="216"/>
      <c r="F30" s="216"/>
      <c r="G30" s="216"/>
      <c r="H30" s="216"/>
      <c r="I30" s="216"/>
      <c r="J30" s="216"/>
      <c r="K30" s="216"/>
      <c r="L30" s="216"/>
      <c r="M30" s="216"/>
      <c r="N30" s="216"/>
      <c r="O30" s="216"/>
      <c r="P30" s="216"/>
      <c r="Q30" s="216"/>
      <c r="R30" s="216"/>
      <c r="S30" s="216"/>
      <c r="T30" s="216"/>
      <c r="U30" s="217" t="s">
        <v>666</v>
      </c>
      <c r="V30" s="218">
        <v>1.353</v>
      </c>
      <c r="W30" s="218">
        <v>5.2999999999999999E-2</v>
      </c>
      <c r="X30" s="218">
        <v>0.18</v>
      </c>
      <c r="Y30" s="218">
        <v>4.7E-2</v>
      </c>
      <c r="Z30" s="218">
        <v>0.01</v>
      </c>
      <c r="AA30" s="218">
        <v>0.01</v>
      </c>
      <c r="AB30" s="218">
        <v>2.1000000000000001E-2</v>
      </c>
      <c r="AC30" s="218">
        <v>0.06</v>
      </c>
      <c r="AD30" s="218">
        <v>1.2E-2</v>
      </c>
      <c r="AE30" s="218">
        <v>0.58399999999999996</v>
      </c>
      <c r="AF30" s="218">
        <v>2.9000000000000001E-2</v>
      </c>
      <c r="AG30" s="218">
        <v>4.0000000000000001E-3</v>
      </c>
      <c r="AH30" s="218">
        <v>1.3440000000000001</v>
      </c>
      <c r="AI30" s="218">
        <v>-8888</v>
      </c>
      <c r="AJ30" s="218">
        <v>8.9999999999999993E-3</v>
      </c>
      <c r="AK30" s="218">
        <v>5.2999999999999999E-2</v>
      </c>
      <c r="AL30" s="218">
        <v>-8888</v>
      </c>
      <c r="AM30" s="218">
        <v>0.151</v>
      </c>
      <c r="AN30" s="218">
        <v>2.9000000000000001E-2</v>
      </c>
      <c r="AO30" s="218">
        <v>2E-3</v>
      </c>
      <c r="AP30" s="218">
        <v>6.0000000000000001E-3</v>
      </c>
      <c r="AQ30" s="218">
        <v>8.9999999999999993E-3</v>
      </c>
      <c r="AR30" s="218">
        <v>1.4999999999999999E-2</v>
      </c>
      <c r="AS30" s="218">
        <v>3.2000000000000001E-2</v>
      </c>
      <c r="AT30" s="218">
        <v>1.4E-2</v>
      </c>
      <c r="AU30" s="218">
        <v>-8888</v>
      </c>
      <c r="AV30" s="218">
        <v>1.585</v>
      </c>
      <c r="AW30" s="218">
        <v>0.14350000000000002</v>
      </c>
      <c r="AX30" s="218">
        <v>0.63250000000000006</v>
      </c>
      <c r="AY30" s="218">
        <v>2.2175000000000002</v>
      </c>
      <c r="AZ30" s="218">
        <v>0.77600000000000002</v>
      </c>
      <c r="BA30" s="218">
        <v>1.0085000000000002</v>
      </c>
      <c r="BB30" s="218">
        <v>2.3610000000000002</v>
      </c>
      <c r="BC30" s="218">
        <v>0.71</v>
      </c>
      <c r="BD30" s="217">
        <v>0.745</v>
      </c>
      <c r="BE30" s="217">
        <v>0.81499999999999995</v>
      </c>
      <c r="BF30" s="217">
        <v>0.185</v>
      </c>
      <c r="BG30" s="217">
        <v>2.04</v>
      </c>
      <c r="BH30" s="217">
        <v>0.06</v>
      </c>
      <c r="BI30" s="217">
        <v>0.94</v>
      </c>
      <c r="BJ30" s="217">
        <v>0.56999999999999995</v>
      </c>
      <c r="BK30" s="219"/>
      <c r="BL30" s="219"/>
    </row>
    <row r="31" spans="1:64">
      <c r="A31" s="220"/>
      <c r="B31" s="220"/>
      <c r="C31" s="220"/>
      <c r="D31" s="220"/>
      <c r="E31" s="220"/>
      <c r="F31" s="220"/>
      <c r="G31" s="220"/>
      <c r="H31" s="220"/>
      <c r="I31" s="220"/>
      <c r="J31" s="220"/>
      <c r="K31" s="220"/>
      <c r="L31" s="220"/>
      <c r="M31" s="220"/>
      <c r="N31" s="220"/>
      <c r="O31" s="220"/>
      <c r="P31" s="220"/>
      <c r="Q31" s="220"/>
      <c r="R31" s="220"/>
      <c r="S31" s="220"/>
      <c r="T31" s="220"/>
      <c r="U31" s="221" t="s">
        <v>667</v>
      </c>
      <c r="V31" s="222">
        <v>5.0000000000000001E-3</v>
      </c>
      <c r="W31" s="222">
        <v>2E-3</v>
      </c>
      <c r="X31" s="222">
        <v>0</v>
      </c>
      <c r="Y31" s="222">
        <v>1E-3</v>
      </c>
      <c r="Z31" s="222">
        <v>0</v>
      </c>
      <c r="AA31" s="222">
        <v>0</v>
      </c>
      <c r="AB31" s="222">
        <v>0</v>
      </c>
      <c r="AC31" s="222">
        <v>0</v>
      </c>
      <c r="AD31" s="222">
        <v>0</v>
      </c>
      <c r="AE31" s="222">
        <v>1E-3</v>
      </c>
      <c r="AF31" s="222">
        <v>0</v>
      </c>
      <c r="AG31" s="222">
        <v>0</v>
      </c>
      <c r="AH31" s="222">
        <v>5.0000000000000001E-3</v>
      </c>
      <c r="AI31" s="222">
        <v>0</v>
      </c>
      <c r="AJ31" s="222">
        <v>0</v>
      </c>
      <c r="AK31" s="222">
        <v>2E-3</v>
      </c>
      <c r="AL31" s="222">
        <v>0</v>
      </c>
      <c r="AM31" s="222">
        <v>0</v>
      </c>
      <c r="AN31" s="222">
        <v>0</v>
      </c>
      <c r="AO31" s="222">
        <v>0</v>
      </c>
      <c r="AP31" s="222">
        <v>0</v>
      </c>
      <c r="AQ31" s="222">
        <v>1E-3</v>
      </c>
      <c r="AR31" s="222">
        <v>1E-3</v>
      </c>
      <c r="AS31" s="222">
        <v>1E-3</v>
      </c>
      <c r="AT31" s="222">
        <v>0</v>
      </c>
      <c r="AU31" s="222">
        <v>0</v>
      </c>
      <c r="AV31" s="221">
        <v>7.0710678118654814E-3</v>
      </c>
      <c r="AW31" s="221">
        <v>7.0710678118654816E-4</v>
      </c>
      <c r="AX31" s="221">
        <v>7.0710678118654816E-4</v>
      </c>
      <c r="AY31" s="221">
        <v>6.3639610306788549E-3</v>
      </c>
      <c r="AZ31" s="221">
        <v>1.4142135623730963E-3</v>
      </c>
      <c r="BA31" s="221">
        <v>7.0710678118662666E-4</v>
      </c>
      <c r="BB31" s="221">
        <v>5.6568542494923853E-3</v>
      </c>
      <c r="BC31" s="221">
        <v>1.4142135623730963E-3</v>
      </c>
      <c r="BD31" s="221">
        <v>7.0710678118654814E-3</v>
      </c>
      <c r="BE31" s="221">
        <v>7.0710678118654034E-3</v>
      </c>
      <c r="BF31" s="221">
        <v>7.0710678118654814E-3</v>
      </c>
      <c r="BG31" s="221">
        <v>1.4142135623730963E-2</v>
      </c>
      <c r="BH31" s="221">
        <v>0</v>
      </c>
      <c r="BI31" s="221">
        <v>0</v>
      </c>
      <c r="BJ31" s="221">
        <v>0</v>
      </c>
      <c r="BK31" s="223"/>
      <c r="BL31" s="223"/>
    </row>
    <row r="32" spans="1:64">
      <c r="A32" s="224"/>
      <c r="B32" s="224"/>
      <c r="C32" s="224"/>
      <c r="D32" s="224"/>
      <c r="E32" s="224"/>
      <c r="F32" s="224"/>
      <c r="G32" s="224"/>
      <c r="H32" s="224"/>
      <c r="I32" s="224"/>
      <c r="J32" s="224"/>
      <c r="K32" s="224"/>
      <c r="L32" s="224"/>
      <c r="M32" s="224"/>
      <c r="N32" s="224"/>
      <c r="O32" s="224"/>
      <c r="P32" s="224"/>
      <c r="Q32" s="224"/>
      <c r="R32" s="224"/>
      <c r="S32" s="224"/>
      <c r="T32" s="224"/>
      <c r="U32" s="225" t="s">
        <v>649</v>
      </c>
      <c r="V32" s="226">
        <v>3.7000000000000002E-3</v>
      </c>
      <c r="W32" s="226">
        <v>3.7699999999999997E-2</v>
      </c>
      <c r="X32" s="226">
        <v>0</v>
      </c>
      <c r="Y32" s="226">
        <v>2.1299999999999999E-2</v>
      </c>
      <c r="Z32" s="226">
        <v>0</v>
      </c>
      <c r="AA32" s="226">
        <v>0</v>
      </c>
      <c r="AB32" s="226">
        <v>0</v>
      </c>
      <c r="AC32" s="226">
        <v>0</v>
      </c>
      <c r="AD32" s="226">
        <v>0</v>
      </c>
      <c r="AE32" s="226">
        <v>1.6999999999999999E-3</v>
      </c>
      <c r="AF32" s="226">
        <v>0</v>
      </c>
      <c r="AG32" s="226">
        <v>0</v>
      </c>
      <c r="AH32" s="226">
        <v>3.7000000000000002E-3</v>
      </c>
      <c r="AI32" s="226">
        <v>0</v>
      </c>
      <c r="AJ32" s="226">
        <v>0</v>
      </c>
      <c r="AK32" s="226">
        <v>3.7699999999999997E-2</v>
      </c>
      <c r="AL32" s="226">
        <v>0</v>
      </c>
      <c r="AM32" s="226">
        <v>0</v>
      </c>
      <c r="AN32" s="226">
        <v>0</v>
      </c>
      <c r="AO32" s="226">
        <v>0</v>
      </c>
      <c r="AP32" s="226">
        <v>0</v>
      </c>
      <c r="AQ32" s="226">
        <v>0.1111</v>
      </c>
      <c r="AR32" s="226">
        <v>6.6699999999999995E-2</v>
      </c>
      <c r="AS32" s="226">
        <v>3.1300000000000001E-2</v>
      </c>
      <c r="AT32" s="226">
        <v>0</v>
      </c>
      <c r="AU32" s="226">
        <v>0</v>
      </c>
      <c r="AV32" s="226">
        <v>4.4999999999999997E-3</v>
      </c>
      <c r="AW32" s="226">
        <v>4.8999999999999998E-3</v>
      </c>
      <c r="AX32" s="226">
        <v>1.1000000000000001E-3</v>
      </c>
      <c r="AY32" s="226">
        <v>2.8999999999999998E-3</v>
      </c>
      <c r="AZ32" s="226">
        <v>1.8E-3</v>
      </c>
      <c r="BA32" s="226">
        <v>6.9999999999999999E-4</v>
      </c>
      <c r="BB32" s="226">
        <v>2.3999999999999998E-3</v>
      </c>
      <c r="BC32" s="226">
        <v>2E-3</v>
      </c>
      <c r="BD32" s="226">
        <v>9.4999999999999998E-3</v>
      </c>
      <c r="BE32" s="226">
        <v>8.6999999999999994E-3</v>
      </c>
      <c r="BF32" s="226">
        <v>3.8199999999999998E-2</v>
      </c>
      <c r="BG32" s="226">
        <v>6.8999999999999999E-3</v>
      </c>
      <c r="BH32" s="226">
        <v>0</v>
      </c>
      <c r="BI32" s="226">
        <v>0</v>
      </c>
      <c r="BJ32" s="226">
        <v>0</v>
      </c>
      <c r="BK32" s="227">
        <v>3.7000000000000002E-3</v>
      </c>
      <c r="BL32" s="227">
        <v>5.3666666666666663E-3</v>
      </c>
    </row>
    <row r="33" spans="1:64">
      <c r="A33" s="213" t="s">
        <v>416</v>
      </c>
      <c r="B33" s="213" t="s">
        <v>435</v>
      </c>
      <c r="C33" s="213" t="s">
        <v>554</v>
      </c>
      <c r="D33" s="213" t="s">
        <v>539</v>
      </c>
      <c r="E33" s="213" t="s">
        <v>272</v>
      </c>
      <c r="F33" s="213">
        <v>539</v>
      </c>
      <c r="G33" s="213">
        <v>17</v>
      </c>
      <c r="H33" s="213">
        <v>8</v>
      </c>
      <c r="I33" s="213">
        <v>45.6</v>
      </c>
      <c r="J33" s="213">
        <v>122</v>
      </c>
      <c r="K33" s="213" t="s">
        <v>570</v>
      </c>
      <c r="L33" s="213">
        <v>2019</v>
      </c>
      <c r="M33" s="213" t="s">
        <v>270</v>
      </c>
      <c r="N33" s="213">
        <v>3</v>
      </c>
      <c r="O33" s="213">
        <v>34</v>
      </c>
      <c r="P33" s="213" t="s">
        <v>637</v>
      </c>
      <c r="Q33" s="213">
        <v>-70.887</v>
      </c>
      <c r="R33" s="213">
        <v>40.228000000000002</v>
      </c>
      <c r="S33" s="213" t="s">
        <v>271</v>
      </c>
      <c r="T33" s="213">
        <v>25</v>
      </c>
      <c r="U33" s="213" t="s">
        <v>573</v>
      </c>
      <c r="V33" s="214">
        <v>2.2609999999999997</v>
      </c>
      <c r="W33" s="214">
        <v>9.1999999999999998E-2</v>
      </c>
      <c r="X33" s="214">
        <v>0.35899999999999999</v>
      </c>
      <c r="Y33" s="214">
        <v>7.6999999999999999E-2</v>
      </c>
      <c r="Z33" s="214">
        <v>2.1999999999999999E-2</v>
      </c>
      <c r="AA33" s="214">
        <v>5.5E-2</v>
      </c>
      <c r="AB33" s="214">
        <v>3.5000000000000003E-2</v>
      </c>
      <c r="AC33" s="214">
        <v>9.6000000000000002E-2</v>
      </c>
      <c r="AD33" s="214">
        <v>0.01</v>
      </c>
      <c r="AE33" s="214">
        <v>0.90700000000000003</v>
      </c>
      <c r="AF33" s="214">
        <v>0.106</v>
      </c>
      <c r="AG33" s="214">
        <v>4.0000000000000001E-3</v>
      </c>
      <c r="AH33" s="214">
        <v>2.2429999999999999</v>
      </c>
      <c r="AI33" s="214">
        <v>-8888</v>
      </c>
      <c r="AJ33" s="214">
        <v>1.7999999999999999E-2</v>
      </c>
      <c r="AK33" s="214">
        <v>9.1999999999999998E-2</v>
      </c>
      <c r="AL33" s="214">
        <v>-8888</v>
      </c>
      <c r="AM33" s="214">
        <v>0.28599999999999998</v>
      </c>
      <c r="AN33" s="214">
        <v>7.2999999999999995E-2</v>
      </c>
      <c r="AO33" s="214">
        <v>2E-3</v>
      </c>
      <c r="AP33" s="214">
        <v>0.01</v>
      </c>
      <c r="AQ33" s="214">
        <v>1.2E-2</v>
      </c>
      <c r="AR33" s="214">
        <v>2.3E-2</v>
      </c>
      <c r="AS33" s="214">
        <v>2.3E-2</v>
      </c>
      <c r="AT33" s="214">
        <v>2.7E-2</v>
      </c>
      <c r="AU33" s="214">
        <v>-8888</v>
      </c>
      <c r="AV33" s="214">
        <v>2.7119999999999997</v>
      </c>
      <c r="AW33" s="214">
        <v>0.22200000000000003</v>
      </c>
      <c r="AX33" s="214">
        <v>1.0900000000000001</v>
      </c>
      <c r="AY33" s="214">
        <v>3.8019999999999996</v>
      </c>
      <c r="AZ33" s="214">
        <v>1.3120000000000001</v>
      </c>
      <c r="BA33" s="214">
        <v>1.7630000000000001</v>
      </c>
      <c r="BB33" s="214">
        <v>4.024</v>
      </c>
      <c r="BC33" s="214">
        <v>1.2210000000000001</v>
      </c>
      <c r="BD33" s="214">
        <v>0.78</v>
      </c>
      <c r="BE33" s="214">
        <v>0.83</v>
      </c>
      <c r="BF33" s="214">
        <v>0.17</v>
      </c>
      <c r="BG33" s="214">
        <v>2.0699999999999998</v>
      </c>
      <c r="BH33" s="214">
        <v>0.06</v>
      </c>
      <c r="BI33" s="214">
        <v>0.94</v>
      </c>
      <c r="BJ33" s="214">
        <v>0.56000000000000005</v>
      </c>
      <c r="BK33" s="215"/>
      <c r="BL33" s="215"/>
    </row>
    <row r="34" spans="1:64">
      <c r="A34" s="213" t="s">
        <v>417</v>
      </c>
      <c r="B34" s="213" t="s">
        <v>435</v>
      </c>
      <c r="C34" s="213" t="s">
        <v>554</v>
      </c>
      <c r="D34" s="213" t="s">
        <v>539</v>
      </c>
      <c r="E34" s="213" t="s">
        <v>272</v>
      </c>
      <c r="F34" s="213">
        <v>539</v>
      </c>
      <c r="G34" s="213">
        <v>17</v>
      </c>
      <c r="H34" s="213">
        <v>8</v>
      </c>
      <c r="I34" s="213">
        <v>45.6</v>
      </c>
      <c r="J34" s="213">
        <v>122</v>
      </c>
      <c r="K34" s="213" t="s">
        <v>570</v>
      </c>
      <c r="L34" s="213">
        <v>2019</v>
      </c>
      <c r="M34" s="213" t="s">
        <v>270</v>
      </c>
      <c r="N34" s="213">
        <v>3</v>
      </c>
      <c r="O34" s="213">
        <v>34</v>
      </c>
      <c r="P34" s="213" t="s">
        <v>637</v>
      </c>
      <c r="Q34" s="213">
        <v>-70.887</v>
      </c>
      <c r="R34" s="213">
        <v>40.228000000000002</v>
      </c>
      <c r="S34" s="213" t="s">
        <v>271</v>
      </c>
      <c r="T34" s="213">
        <v>25</v>
      </c>
      <c r="U34" s="213" t="s">
        <v>573</v>
      </c>
      <c r="V34" s="214">
        <v>2.254</v>
      </c>
      <c r="W34" s="214">
        <v>9.0999999999999998E-2</v>
      </c>
      <c r="X34" s="214">
        <v>0.35899999999999999</v>
      </c>
      <c r="Y34" s="214">
        <v>7.5999999999999998E-2</v>
      </c>
      <c r="Z34" s="214">
        <v>2.1000000000000001E-2</v>
      </c>
      <c r="AA34" s="214">
        <v>5.5E-2</v>
      </c>
      <c r="AB34" s="214">
        <v>3.5000000000000003E-2</v>
      </c>
      <c r="AC34" s="214">
        <v>9.6000000000000002E-2</v>
      </c>
      <c r="AD34" s="214">
        <v>0.01</v>
      </c>
      <c r="AE34" s="214">
        <v>0.90700000000000003</v>
      </c>
      <c r="AF34" s="214">
        <v>0.105</v>
      </c>
      <c r="AG34" s="214">
        <v>5.0000000000000001E-3</v>
      </c>
      <c r="AH34" s="214">
        <v>2.2360000000000002</v>
      </c>
      <c r="AI34" s="214">
        <v>-8888</v>
      </c>
      <c r="AJ34" s="214">
        <v>1.7999999999999999E-2</v>
      </c>
      <c r="AK34" s="214">
        <v>9.0999999999999998E-2</v>
      </c>
      <c r="AL34" s="214">
        <v>-8888</v>
      </c>
      <c r="AM34" s="214">
        <v>0.28699999999999998</v>
      </c>
      <c r="AN34" s="214">
        <v>7.1999999999999995E-2</v>
      </c>
      <c r="AO34" s="214">
        <v>2E-3</v>
      </c>
      <c r="AP34" s="214">
        <v>0.01</v>
      </c>
      <c r="AQ34" s="214">
        <v>1.0999999999999999E-2</v>
      </c>
      <c r="AR34" s="214">
        <v>2.1000000000000001E-2</v>
      </c>
      <c r="AS34" s="214">
        <v>2.3E-2</v>
      </c>
      <c r="AT34" s="214">
        <v>2.7E-2</v>
      </c>
      <c r="AU34" s="214">
        <v>-8888</v>
      </c>
      <c r="AV34" s="214">
        <v>2.7040000000000002</v>
      </c>
      <c r="AW34" s="214">
        <v>0.22200000000000003</v>
      </c>
      <c r="AX34" s="214">
        <v>1.0880000000000001</v>
      </c>
      <c r="AY34" s="214">
        <v>3.7920000000000003</v>
      </c>
      <c r="AZ34" s="214">
        <v>1.31</v>
      </c>
      <c r="BA34" s="214">
        <v>1.76</v>
      </c>
      <c r="BB34" s="214">
        <v>4.0140000000000002</v>
      </c>
      <c r="BC34" s="214">
        <v>1.2190000000000001</v>
      </c>
      <c r="BD34" s="214">
        <v>0.78</v>
      </c>
      <c r="BE34" s="214">
        <v>0.83</v>
      </c>
      <c r="BF34" s="214">
        <v>0.17</v>
      </c>
      <c r="BG34" s="214">
        <v>2.06</v>
      </c>
      <c r="BH34" s="214">
        <v>0.06</v>
      </c>
      <c r="BI34" s="214">
        <v>0.94</v>
      </c>
      <c r="BJ34" s="214">
        <v>0.56000000000000005</v>
      </c>
      <c r="BK34" s="215"/>
      <c r="BL34" s="215"/>
    </row>
    <row r="35" spans="1:64">
      <c r="A35" s="216"/>
      <c r="B35" s="216"/>
      <c r="C35" s="216"/>
      <c r="D35" s="216"/>
      <c r="E35" s="216"/>
      <c r="F35" s="216"/>
      <c r="G35" s="216"/>
      <c r="H35" s="216"/>
      <c r="I35" s="216"/>
      <c r="J35" s="216"/>
      <c r="K35" s="216"/>
      <c r="L35" s="216"/>
      <c r="M35" s="216"/>
      <c r="N35" s="216"/>
      <c r="O35" s="216"/>
      <c r="P35" s="216"/>
      <c r="Q35" s="216"/>
      <c r="R35" s="216"/>
      <c r="S35" s="216"/>
      <c r="T35" s="216"/>
      <c r="U35" s="217" t="s">
        <v>666</v>
      </c>
      <c r="V35" s="218">
        <v>2.258</v>
      </c>
      <c r="W35" s="218">
        <v>9.1999999999999998E-2</v>
      </c>
      <c r="X35" s="218">
        <v>0.35899999999999999</v>
      </c>
      <c r="Y35" s="218">
        <v>7.6999999999999999E-2</v>
      </c>
      <c r="Z35" s="218">
        <v>2.1999999999999999E-2</v>
      </c>
      <c r="AA35" s="218">
        <v>5.5E-2</v>
      </c>
      <c r="AB35" s="218">
        <v>3.5000000000000003E-2</v>
      </c>
      <c r="AC35" s="218">
        <v>9.6000000000000002E-2</v>
      </c>
      <c r="AD35" s="218">
        <v>0.01</v>
      </c>
      <c r="AE35" s="218">
        <v>0.90700000000000003</v>
      </c>
      <c r="AF35" s="218">
        <v>0.106</v>
      </c>
      <c r="AG35" s="218">
        <v>5.0000000000000001E-3</v>
      </c>
      <c r="AH35" s="218">
        <v>2.2400000000000002</v>
      </c>
      <c r="AI35" s="218">
        <v>-8888</v>
      </c>
      <c r="AJ35" s="218">
        <v>1.7999999999999999E-2</v>
      </c>
      <c r="AK35" s="218">
        <v>9.1999999999999998E-2</v>
      </c>
      <c r="AL35" s="218">
        <v>-8888</v>
      </c>
      <c r="AM35" s="218">
        <v>0.28699999999999998</v>
      </c>
      <c r="AN35" s="218">
        <v>7.2999999999999995E-2</v>
      </c>
      <c r="AO35" s="218">
        <v>2E-3</v>
      </c>
      <c r="AP35" s="218">
        <v>0.01</v>
      </c>
      <c r="AQ35" s="218">
        <v>1.2E-2</v>
      </c>
      <c r="AR35" s="218">
        <v>2.1999999999999999E-2</v>
      </c>
      <c r="AS35" s="218">
        <v>2.3E-2</v>
      </c>
      <c r="AT35" s="218">
        <v>2.7E-2</v>
      </c>
      <c r="AU35" s="218">
        <v>-8888</v>
      </c>
      <c r="AV35" s="218">
        <v>2.7080000000000002</v>
      </c>
      <c r="AW35" s="218">
        <v>0.22200000000000003</v>
      </c>
      <c r="AX35" s="218">
        <v>1.089</v>
      </c>
      <c r="AY35" s="218">
        <v>3.7969999999999997</v>
      </c>
      <c r="AZ35" s="218">
        <v>1.3109999999999999</v>
      </c>
      <c r="BA35" s="218">
        <v>1.7615000000000001</v>
      </c>
      <c r="BB35" s="218">
        <v>4.0190000000000001</v>
      </c>
      <c r="BC35" s="218">
        <v>1.2200000000000002</v>
      </c>
      <c r="BD35" s="217">
        <v>0.78</v>
      </c>
      <c r="BE35" s="217">
        <v>0.83</v>
      </c>
      <c r="BF35" s="217">
        <v>0.17</v>
      </c>
      <c r="BG35" s="217">
        <v>2.0649999999999999</v>
      </c>
      <c r="BH35" s="217">
        <v>0.06</v>
      </c>
      <c r="BI35" s="217">
        <v>0.94</v>
      </c>
      <c r="BJ35" s="217">
        <v>0.56000000000000005</v>
      </c>
      <c r="BK35" s="219"/>
      <c r="BL35" s="219"/>
    </row>
    <row r="36" spans="1:64">
      <c r="A36" s="220"/>
      <c r="B36" s="220"/>
      <c r="C36" s="220"/>
      <c r="D36" s="220"/>
      <c r="E36" s="220"/>
      <c r="F36" s="220"/>
      <c r="G36" s="220"/>
      <c r="H36" s="220"/>
      <c r="I36" s="220"/>
      <c r="J36" s="220"/>
      <c r="K36" s="220"/>
      <c r="L36" s="220"/>
      <c r="M36" s="220"/>
      <c r="N36" s="220"/>
      <c r="O36" s="220"/>
      <c r="P36" s="220"/>
      <c r="Q36" s="220"/>
      <c r="R36" s="220"/>
      <c r="S36" s="220"/>
      <c r="T36" s="220"/>
      <c r="U36" s="221" t="s">
        <v>667</v>
      </c>
      <c r="V36" s="222">
        <v>5.0000000000000001E-3</v>
      </c>
      <c r="W36" s="222">
        <v>1E-3</v>
      </c>
      <c r="X36" s="222">
        <v>0</v>
      </c>
      <c r="Y36" s="222">
        <v>1E-3</v>
      </c>
      <c r="Z36" s="222">
        <v>1E-3</v>
      </c>
      <c r="AA36" s="222">
        <v>0</v>
      </c>
      <c r="AB36" s="222">
        <v>0</v>
      </c>
      <c r="AC36" s="222">
        <v>0</v>
      </c>
      <c r="AD36" s="222">
        <v>0</v>
      </c>
      <c r="AE36" s="222">
        <v>0</v>
      </c>
      <c r="AF36" s="222">
        <v>1E-3</v>
      </c>
      <c r="AG36" s="222">
        <v>1E-3</v>
      </c>
      <c r="AH36" s="222">
        <v>5.0000000000000001E-3</v>
      </c>
      <c r="AI36" s="222">
        <v>0</v>
      </c>
      <c r="AJ36" s="222">
        <v>0</v>
      </c>
      <c r="AK36" s="222">
        <v>1E-3</v>
      </c>
      <c r="AL36" s="222">
        <v>0</v>
      </c>
      <c r="AM36" s="222">
        <v>1E-3</v>
      </c>
      <c r="AN36" s="222">
        <v>1E-3</v>
      </c>
      <c r="AO36" s="222">
        <v>0</v>
      </c>
      <c r="AP36" s="222">
        <v>0</v>
      </c>
      <c r="AQ36" s="222">
        <v>1E-3</v>
      </c>
      <c r="AR36" s="222">
        <v>1E-3</v>
      </c>
      <c r="AS36" s="222">
        <v>0</v>
      </c>
      <c r="AT36" s="222">
        <v>0</v>
      </c>
      <c r="AU36" s="222">
        <v>0</v>
      </c>
      <c r="AV36" s="221">
        <v>5.6568542494920713E-3</v>
      </c>
      <c r="AW36" s="221">
        <v>0</v>
      </c>
      <c r="AX36" s="221">
        <v>1.4142135623730963E-3</v>
      </c>
      <c r="AY36" s="221">
        <v>7.0710678118650104E-3</v>
      </c>
      <c r="AZ36" s="221">
        <v>1.4142135623730963E-3</v>
      </c>
      <c r="BA36" s="221">
        <v>2.1213203435597231E-3</v>
      </c>
      <c r="BB36" s="221">
        <v>7.0710678118653244E-3</v>
      </c>
      <c r="BC36" s="221">
        <v>1.4142135623730963E-3</v>
      </c>
      <c r="BD36" s="221">
        <v>0</v>
      </c>
      <c r="BE36" s="221">
        <v>0</v>
      </c>
      <c r="BF36" s="221">
        <v>0</v>
      </c>
      <c r="BG36" s="221">
        <v>7.0710678118653244E-3</v>
      </c>
      <c r="BH36" s="221">
        <v>0</v>
      </c>
      <c r="BI36" s="221">
        <v>0</v>
      </c>
      <c r="BJ36" s="221">
        <v>0</v>
      </c>
      <c r="BK36" s="223"/>
      <c r="BL36" s="223"/>
    </row>
    <row r="37" spans="1:64">
      <c r="A37" s="224"/>
      <c r="B37" s="224"/>
      <c r="C37" s="224"/>
      <c r="D37" s="224"/>
      <c r="E37" s="224"/>
      <c r="F37" s="224"/>
      <c r="G37" s="224"/>
      <c r="H37" s="224"/>
      <c r="I37" s="224"/>
      <c r="J37" s="224"/>
      <c r="K37" s="224"/>
      <c r="L37" s="224"/>
      <c r="M37" s="224"/>
      <c r="N37" s="224"/>
      <c r="O37" s="224"/>
      <c r="P37" s="224"/>
      <c r="Q37" s="224"/>
      <c r="R37" s="224"/>
      <c r="S37" s="224"/>
      <c r="T37" s="224"/>
      <c r="U37" s="225" t="s">
        <v>649</v>
      </c>
      <c r="V37" s="226">
        <v>2.2000000000000001E-3</v>
      </c>
      <c r="W37" s="226">
        <v>1.09E-2</v>
      </c>
      <c r="X37" s="226">
        <v>0</v>
      </c>
      <c r="Y37" s="226">
        <v>1.2999999999999999E-2</v>
      </c>
      <c r="Z37" s="226">
        <v>4.5499999999999999E-2</v>
      </c>
      <c r="AA37" s="226">
        <v>0</v>
      </c>
      <c r="AB37" s="226">
        <v>0</v>
      </c>
      <c r="AC37" s="226">
        <v>0</v>
      </c>
      <c r="AD37" s="226">
        <v>0</v>
      </c>
      <c r="AE37" s="226">
        <v>0</v>
      </c>
      <c r="AF37" s="226">
        <v>9.4000000000000004E-3</v>
      </c>
      <c r="AG37" s="226">
        <v>0.2</v>
      </c>
      <c r="AH37" s="226">
        <v>2.2000000000000001E-3</v>
      </c>
      <c r="AI37" s="226">
        <v>0</v>
      </c>
      <c r="AJ37" s="226">
        <v>0</v>
      </c>
      <c r="AK37" s="226">
        <v>1.09E-2</v>
      </c>
      <c r="AL37" s="226">
        <v>0</v>
      </c>
      <c r="AM37" s="226">
        <v>3.5000000000000001E-3</v>
      </c>
      <c r="AN37" s="226">
        <v>1.37E-2</v>
      </c>
      <c r="AO37" s="226">
        <v>0</v>
      </c>
      <c r="AP37" s="226">
        <v>0</v>
      </c>
      <c r="AQ37" s="226">
        <v>8.3299999999999999E-2</v>
      </c>
      <c r="AR37" s="226">
        <v>4.5499999999999999E-2</v>
      </c>
      <c r="AS37" s="226">
        <v>0</v>
      </c>
      <c r="AT37" s="226">
        <v>0</v>
      </c>
      <c r="AU37" s="226">
        <v>0</v>
      </c>
      <c r="AV37" s="226">
        <v>2.0999999999999999E-3</v>
      </c>
      <c r="AW37" s="226">
        <v>0</v>
      </c>
      <c r="AX37" s="226">
        <v>1.2999999999999999E-3</v>
      </c>
      <c r="AY37" s="226">
        <v>1.9E-3</v>
      </c>
      <c r="AZ37" s="226">
        <v>1.1000000000000001E-3</v>
      </c>
      <c r="BA37" s="226">
        <v>1.1999999999999999E-3</v>
      </c>
      <c r="BB37" s="226">
        <v>1.8E-3</v>
      </c>
      <c r="BC37" s="226">
        <v>1.1999999999999999E-3</v>
      </c>
      <c r="BD37" s="226">
        <v>0</v>
      </c>
      <c r="BE37" s="226">
        <v>0</v>
      </c>
      <c r="BF37" s="226">
        <v>0</v>
      </c>
      <c r="BG37" s="226">
        <v>3.3999999999999998E-3</v>
      </c>
      <c r="BH37" s="226">
        <v>0</v>
      </c>
      <c r="BI37" s="226">
        <v>0</v>
      </c>
      <c r="BJ37" s="226">
        <v>0</v>
      </c>
      <c r="BK37" s="227">
        <v>2.2000000000000001E-3</v>
      </c>
      <c r="BL37" s="227">
        <v>2.3416666666666669E-2</v>
      </c>
    </row>
  </sheetData>
  <conditionalFormatting sqref="AT27">
    <cfRule type="expression" dxfId="539" priority="236" stopIfTrue="1">
      <formula>ABS((AT24-AT23))&lt;0.0011</formula>
    </cfRule>
    <cfRule type="cellIs" dxfId="538" priority="237" operator="greaterThan">
      <formula>0.1</formula>
    </cfRule>
    <cfRule type="cellIs" dxfId="537" priority="238" operator="lessThan">
      <formula>0</formula>
    </cfRule>
  </conditionalFormatting>
  <conditionalFormatting sqref="V27">
    <cfRule type="expression" dxfId="536" priority="233" stopIfTrue="1">
      <formula>ABS((V24-V23))&lt;0.0011</formula>
    </cfRule>
    <cfRule type="cellIs" dxfId="535" priority="234" operator="greaterThan">
      <formula>0.1</formula>
    </cfRule>
    <cfRule type="cellIs" dxfId="534" priority="235" operator="lessThan">
      <formula>0</formula>
    </cfRule>
  </conditionalFormatting>
  <conditionalFormatting sqref="W27">
    <cfRule type="expression" dxfId="533" priority="230" stopIfTrue="1">
      <formula>ABS((W24-W23))&lt;0.0011</formula>
    </cfRule>
    <cfRule type="cellIs" dxfId="532" priority="231" operator="greaterThan">
      <formula>0.1</formula>
    </cfRule>
    <cfRule type="cellIs" dxfId="531" priority="232" operator="lessThan">
      <formula>0</formula>
    </cfRule>
  </conditionalFormatting>
  <conditionalFormatting sqref="X27">
    <cfRule type="expression" dxfId="530" priority="227" stopIfTrue="1">
      <formula>ABS((X24-X23))&lt;0.0011</formula>
    </cfRule>
    <cfRule type="cellIs" dxfId="529" priority="228" operator="greaterThan">
      <formula>0.1</formula>
    </cfRule>
    <cfRule type="cellIs" dxfId="528" priority="229" operator="lessThan">
      <formula>0</formula>
    </cfRule>
  </conditionalFormatting>
  <conditionalFormatting sqref="Y27">
    <cfRule type="expression" dxfId="527" priority="224" stopIfTrue="1">
      <formula>ABS((Y24-Y23))&lt;0.0011</formula>
    </cfRule>
    <cfRule type="cellIs" dxfId="526" priority="225" operator="greaterThan">
      <formula>0.1</formula>
    </cfRule>
    <cfRule type="cellIs" dxfId="525" priority="226" operator="lessThan">
      <formula>0</formula>
    </cfRule>
  </conditionalFormatting>
  <conditionalFormatting sqref="Z27">
    <cfRule type="expression" dxfId="524" priority="221" stopIfTrue="1">
      <formula>ABS((Z24-Z23))&lt;0.0011</formula>
    </cfRule>
    <cfRule type="cellIs" dxfId="523" priority="222" operator="greaterThan">
      <formula>0.1</formula>
    </cfRule>
    <cfRule type="cellIs" dxfId="522" priority="223" operator="lessThan">
      <formula>0</formula>
    </cfRule>
  </conditionalFormatting>
  <conditionalFormatting sqref="AA27">
    <cfRule type="expression" dxfId="521" priority="218" stopIfTrue="1">
      <formula>ABS((AA24-AA23))&lt;0.0011</formula>
    </cfRule>
    <cfRule type="cellIs" dxfId="520" priority="219" operator="greaterThan">
      <formula>0.1</formula>
    </cfRule>
    <cfRule type="cellIs" dxfId="519" priority="220" operator="lessThan">
      <formula>0</formula>
    </cfRule>
  </conditionalFormatting>
  <conditionalFormatting sqref="AB27">
    <cfRule type="expression" dxfId="518" priority="215" stopIfTrue="1">
      <formula>ABS((AB24-AB23))&lt;0.0011</formula>
    </cfRule>
    <cfRule type="cellIs" dxfId="517" priority="216" operator="greaterThan">
      <formula>0.1</formula>
    </cfRule>
    <cfRule type="cellIs" dxfId="516" priority="217" operator="lessThan">
      <formula>0</formula>
    </cfRule>
  </conditionalFormatting>
  <conditionalFormatting sqref="AC27">
    <cfRule type="expression" dxfId="515" priority="212" stopIfTrue="1">
      <formula>ABS((AC24-AC23))&lt;0.0011</formula>
    </cfRule>
    <cfRule type="cellIs" dxfId="514" priority="213" operator="greaterThan">
      <formula>0.1</formula>
    </cfRule>
    <cfRule type="cellIs" dxfId="513" priority="214" operator="lessThan">
      <formula>0</formula>
    </cfRule>
  </conditionalFormatting>
  <conditionalFormatting sqref="AD27">
    <cfRule type="expression" dxfId="512" priority="209" stopIfTrue="1">
      <formula>ABS((AD24-AD23))&lt;0.0011</formula>
    </cfRule>
    <cfRule type="cellIs" dxfId="511" priority="210" operator="greaterThan">
      <formula>0.1</formula>
    </cfRule>
    <cfRule type="cellIs" dxfId="510" priority="211" operator="lessThan">
      <formula>0</formula>
    </cfRule>
  </conditionalFormatting>
  <conditionalFormatting sqref="AE27">
    <cfRule type="expression" dxfId="509" priority="206" stopIfTrue="1">
      <formula>ABS((AE24-AE23))&lt;0.0011</formula>
    </cfRule>
    <cfRule type="cellIs" dxfId="508" priority="207" operator="greaterThan">
      <formula>0.1</formula>
    </cfRule>
    <cfRule type="cellIs" dxfId="507" priority="208" operator="lessThan">
      <formula>0</formula>
    </cfRule>
  </conditionalFormatting>
  <conditionalFormatting sqref="AF27">
    <cfRule type="expression" dxfId="506" priority="203" stopIfTrue="1">
      <formula>ABS((AF24-AF23))&lt;0.0011</formula>
    </cfRule>
    <cfRule type="cellIs" dxfId="505" priority="204" operator="greaterThan">
      <formula>0.1</formula>
    </cfRule>
    <cfRule type="cellIs" dxfId="504" priority="205" operator="lessThan">
      <formula>0</formula>
    </cfRule>
  </conditionalFormatting>
  <conditionalFormatting sqref="AG27">
    <cfRule type="expression" dxfId="503" priority="200" stopIfTrue="1">
      <formula>ABS((AG24-AG23))&lt;0.0011</formula>
    </cfRule>
    <cfRule type="cellIs" dxfId="502" priority="201" operator="greaterThan">
      <formula>0.1</formula>
    </cfRule>
    <cfRule type="cellIs" dxfId="501" priority="202" operator="lessThan">
      <formula>0</formula>
    </cfRule>
  </conditionalFormatting>
  <conditionalFormatting sqref="AH27">
    <cfRule type="expression" dxfId="500" priority="197" stopIfTrue="1">
      <formula>ABS((AH24-AH23))&lt;0.0011</formula>
    </cfRule>
    <cfRule type="cellIs" dxfId="499" priority="198" operator="greaterThan">
      <formula>0.1</formula>
    </cfRule>
    <cfRule type="cellIs" dxfId="498" priority="199" operator="lessThan">
      <formula>0</formula>
    </cfRule>
  </conditionalFormatting>
  <conditionalFormatting sqref="AI27">
    <cfRule type="expression" dxfId="497" priority="194" stopIfTrue="1">
      <formula>ABS((AI24-AI23))&lt;0.0011</formula>
    </cfRule>
    <cfRule type="cellIs" dxfId="496" priority="195" operator="greaterThan">
      <formula>0.1</formula>
    </cfRule>
    <cfRule type="cellIs" dxfId="495" priority="196" operator="lessThan">
      <formula>0</formula>
    </cfRule>
  </conditionalFormatting>
  <conditionalFormatting sqref="AJ27">
    <cfRule type="expression" dxfId="494" priority="191" stopIfTrue="1">
      <formula>ABS((AJ24-AJ23))&lt;0.0011</formula>
    </cfRule>
    <cfRule type="cellIs" dxfId="493" priority="192" operator="greaterThan">
      <formula>0.15</formula>
    </cfRule>
    <cfRule type="cellIs" dxfId="492" priority="193" operator="lessThan">
      <formula>0</formula>
    </cfRule>
  </conditionalFormatting>
  <conditionalFormatting sqref="AR27">
    <cfRule type="expression" dxfId="491" priority="188" stopIfTrue="1">
      <formula>ABS((AR24-AR23))&lt;0.0011</formula>
    </cfRule>
    <cfRule type="cellIs" dxfId="490" priority="189" operator="greaterThan">
      <formula>0.15</formula>
    </cfRule>
    <cfRule type="cellIs" dxfId="489" priority="190" operator="lessThan">
      <formula>0</formula>
    </cfRule>
  </conditionalFormatting>
  <conditionalFormatting sqref="AS27">
    <cfRule type="expression" dxfId="488" priority="185" stopIfTrue="1">
      <formula>ABS((AS24-AS23))&lt;0.0011</formula>
    </cfRule>
    <cfRule type="cellIs" dxfId="487" priority="186" operator="greaterThan">
      <formula>0.15</formula>
    </cfRule>
    <cfRule type="cellIs" dxfId="486" priority="187" operator="lessThan">
      <formula>0</formula>
    </cfRule>
  </conditionalFormatting>
  <conditionalFormatting sqref="AK27">
    <cfRule type="expression" dxfId="485" priority="182" stopIfTrue="1">
      <formula>ABS((AK24-AK23))&lt;0.0011</formula>
    </cfRule>
    <cfRule type="cellIs" dxfId="484" priority="183" operator="greaterThan">
      <formula>0.1</formula>
    </cfRule>
    <cfRule type="cellIs" dxfId="483" priority="184" operator="lessThan">
      <formula>0</formula>
    </cfRule>
  </conditionalFormatting>
  <conditionalFormatting sqref="AL27">
    <cfRule type="expression" dxfId="482" priority="179" stopIfTrue="1">
      <formula>ABS((AL24-AL23))&lt;0.0011</formula>
    </cfRule>
    <cfRule type="cellIs" dxfId="481" priority="180" operator="greaterThan">
      <formula>0.1</formula>
    </cfRule>
    <cfRule type="cellIs" dxfId="480" priority="181" operator="lessThan">
      <formula>0</formula>
    </cfRule>
  </conditionalFormatting>
  <conditionalFormatting sqref="AM27">
    <cfRule type="expression" dxfId="479" priority="176" stopIfTrue="1">
      <formula>ABS((AM24-AM23))&lt;0.0011</formula>
    </cfRule>
    <cfRule type="cellIs" dxfId="478" priority="177" operator="greaterThan">
      <formula>0.1</formula>
    </cfRule>
    <cfRule type="cellIs" dxfId="477" priority="178" operator="lessThan">
      <formula>0</formula>
    </cfRule>
  </conditionalFormatting>
  <conditionalFormatting sqref="AN27">
    <cfRule type="expression" dxfId="476" priority="173" stopIfTrue="1">
      <formula>ABS((AN24-AN23))&lt;0.0011</formula>
    </cfRule>
    <cfRule type="cellIs" dxfId="475" priority="174" operator="greaterThan">
      <formula>0.1</formula>
    </cfRule>
    <cfRule type="cellIs" dxfId="474" priority="175" operator="lessThan">
      <formula>0</formula>
    </cfRule>
  </conditionalFormatting>
  <conditionalFormatting sqref="AO27">
    <cfRule type="expression" dxfId="473" priority="170" stopIfTrue="1">
      <formula>ABS((AO24-AO23))&lt;0.0011</formula>
    </cfRule>
    <cfRule type="cellIs" dxfId="472" priority="171" operator="greaterThan">
      <formula>0.1</formula>
    </cfRule>
    <cfRule type="cellIs" dxfId="471" priority="172" operator="lessThan">
      <formula>0</formula>
    </cfRule>
  </conditionalFormatting>
  <conditionalFormatting sqref="AP27">
    <cfRule type="expression" dxfId="470" priority="167" stopIfTrue="1">
      <formula>ABS((AP24-AP23))&lt;0.0011</formula>
    </cfRule>
    <cfRule type="cellIs" dxfId="469" priority="168" operator="greaterThan">
      <formula>0.1</formula>
    </cfRule>
    <cfRule type="cellIs" dxfId="468" priority="169" operator="lessThan">
      <formula>0</formula>
    </cfRule>
  </conditionalFormatting>
  <conditionalFormatting sqref="AQ27">
    <cfRule type="expression" dxfId="467" priority="164" stopIfTrue="1">
      <formula>ABS((AQ24-AQ23))&lt;0.0011</formula>
    </cfRule>
    <cfRule type="cellIs" dxfId="466" priority="165" operator="greaterThan">
      <formula>0.1</formula>
    </cfRule>
    <cfRule type="cellIs" dxfId="465" priority="166" operator="lessThan">
      <formula>0</formula>
    </cfRule>
  </conditionalFormatting>
  <conditionalFormatting sqref="AU27">
    <cfRule type="expression" dxfId="464" priority="161" stopIfTrue="1">
      <formula>ABS((AU24-AU23))&lt;0.0011</formula>
    </cfRule>
    <cfRule type="cellIs" dxfId="463" priority="162" operator="greaterThan">
      <formula>0.1</formula>
    </cfRule>
    <cfRule type="cellIs" dxfId="462" priority="163" operator="lessThan">
      <formula>0</formula>
    </cfRule>
  </conditionalFormatting>
  <conditionalFormatting sqref="AT32">
    <cfRule type="expression" dxfId="461" priority="156" stopIfTrue="1">
      <formula>ABS((AT29-AT28))&lt;0.0011</formula>
    </cfRule>
    <cfRule type="cellIs" dxfId="460" priority="157" operator="greaterThan">
      <formula>0.1</formula>
    </cfRule>
    <cfRule type="cellIs" dxfId="459" priority="158" operator="lessThan">
      <formula>0</formula>
    </cfRule>
  </conditionalFormatting>
  <conditionalFormatting sqref="V32">
    <cfRule type="expression" dxfId="458" priority="153" stopIfTrue="1">
      <formula>ABS((V29-V28))&lt;0.0011</formula>
    </cfRule>
    <cfRule type="cellIs" dxfId="457" priority="154" operator="greaterThan">
      <formula>0.1</formula>
    </cfRule>
    <cfRule type="cellIs" dxfId="456" priority="155" operator="lessThan">
      <formula>0</formula>
    </cfRule>
  </conditionalFormatting>
  <conditionalFormatting sqref="W32">
    <cfRule type="expression" dxfId="455" priority="150" stopIfTrue="1">
      <formula>ABS((W29-W28))&lt;0.0011</formula>
    </cfRule>
    <cfRule type="cellIs" dxfId="454" priority="151" operator="greaterThan">
      <formula>0.1</formula>
    </cfRule>
    <cfRule type="cellIs" dxfId="453" priority="152" operator="lessThan">
      <formula>0</formula>
    </cfRule>
  </conditionalFormatting>
  <conditionalFormatting sqref="X32">
    <cfRule type="expression" dxfId="452" priority="147" stopIfTrue="1">
      <formula>ABS((X29-X28))&lt;0.0011</formula>
    </cfRule>
    <cfRule type="cellIs" dxfId="451" priority="148" operator="greaterThan">
      <formula>0.1</formula>
    </cfRule>
    <cfRule type="cellIs" dxfId="450" priority="149" operator="lessThan">
      <formula>0</formula>
    </cfRule>
  </conditionalFormatting>
  <conditionalFormatting sqref="Y32">
    <cfRule type="expression" dxfId="449" priority="144" stopIfTrue="1">
      <formula>ABS((Y29-Y28))&lt;0.0011</formula>
    </cfRule>
    <cfRule type="cellIs" dxfId="448" priority="145" operator="greaterThan">
      <formula>0.1</formula>
    </cfRule>
    <cfRule type="cellIs" dxfId="447" priority="146" operator="lessThan">
      <formula>0</formula>
    </cfRule>
  </conditionalFormatting>
  <conditionalFormatting sqref="Z32">
    <cfRule type="expression" dxfId="446" priority="141" stopIfTrue="1">
      <formula>ABS((Z29-Z28))&lt;0.0011</formula>
    </cfRule>
    <cfRule type="cellIs" dxfId="445" priority="142" operator="greaterThan">
      <formula>0.1</formula>
    </cfRule>
    <cfRule type="cellIs" dxfId="444" priority="143" operator="lessThan">
      <formula>0</formula>
    </cfRule>
  </conditionalFormatting>
  <conditionalFormatting sqref="AA32">
    <cfRule type="expression" dxfId="443" priority="138" stopIfTrue="1">
      <formula>ABS((AA29-AA28))&lt;0.0011</formula>
    </cfRule>
    <cfRule type="cellIs" dxfId="442" priority="139" operator="greaterThan">
      <formula>0.1</formula>
    </cfRule>
    <cfRule type="cellIs" dxfId="441" priority="140" operator="lessThan">
      <formula>0</formula>
    </cfRule>
  </conditionalFormatting>
  <conditionalFormatting sqref="AB32">
    <cfRule type="expression" dxfId="440" priority="135" stopIfTrue="1">
      <formula>ABS((AB29-AB28))&lt;0.0011</formula>
    </cfRule>
    <cfRule type="cellIs" dxfId="439" priority="136" operator="greaterThan">
      <formula>0.1</formula>
    </cfRule>
    <cfRule type="cellIs" dxfId="438" priority="137" operator="lessThan">
      <formula>0</formula>
    </cfRule>
  </conditionalFormatting>
  <conditionalFormatting sqref="AC32">
    <cfRule type="expression" dxfId="437" priority="132" stopIfTrue="1">
      <formula>ABS((AC29-AC28))&lt;0.0011</formula>
    </cfRule>
    <cfRule type="cellIs" dxfId="436" priority="133" operator="greaterThan">
      <formula>0.1</formula>
    </cfRule>
    <cfRule type="cellIs" dxfId="435" priority="134" operator="lessThan">
      <formula>0</formula>
    </cfRule>
  </conditionalFormatting>
  <conditionalFormatting sqref="AD32">
    <cfRule type="expression" dxfId="434" priority="129" stopIfTrue="1">
      <formula>ABS((AD29-AD28))&lt;0.0011</formula>
    </cfRule>
    <cfRule type="cellIs" dxfId="433" priority="130" operator="greaterThan">
      <formula>0.1</formula>
    </cfRule>
    <cfRule type="cellIs" dxfId="432" priority="131" operator="lessThan">
      <formula>0</formula>
    </cfRule>
  </conditionalFormatting>
  <conditionalFormatting sqref="AE32">
    <cfRule type="expression" dxfId="431" priority="126" stopIfTrue="1">
      <formula>ABS((AE29-AE28))&lt;0.0011</formula>
    </cfRule>
    <cfRule type="cellIs" dxfId="430" priority="127" operator="greaterThan">
      <formula>0.1</formula>
    </cfRule>
    <cfRule type="cellIs" dxfId="429" priority="128" operator="lessThan">
      <formula>0</formula>
    </cfRule>
  </conditionalFormatting>
  <conditionalFormatting sqref="AF32">
    <cfRule type="expression" dxfId="428" priority="123" stopIfTrue="1">
      <formula>ABS((AF29-AF28))&lt;0.0011</formula>
    </cfRule>
    <cfRule type="cellIs" dxfId="427" priority="124" operator="greaterThan">
      <formula>0.1</formula>
    </cfRule>
    <cfRule type="cellIs" dxfId="426" priority="125" operator="lessThan">
      <formula>0</formula>
    </cfRule>
  </conditionalFormatting>
  <conditionalFormatting sqref="AG32">
    <cfRule type="expression" dxfId="425" priority="120" stopIfTrue="1">
      <formula>ABS((AG29-AG28))&lt;0.0011</formula>
    </cfRule>
    <cfRule type="cellIs" dxfId="424" priority="121" operator="greaterThan">
      <formula>0.1</formula>
    </cfRule>
    <cfRule type="cellIs" dxfId="423" priority="122" operator="lessThan">
      <formula>0</formula>
    </cfRule>
  </conditionalFormatting>
  <conditionalFormatting sqref="AH32">
    <cfRule type="expression" dxfId="422" priority="117" stopIfTrue="1">
      <formula>ABS((AH29-AH28))&lt;0.0011</formula>
    </cfRule>
    <cfRule type="cellIs" dxfId="421" priority="118" operator="greaterThan">
      <formula>0.1</formula>
    </cfRule>
    <cfRule type="cellIs" dxfId="420" priority="119" operator="lessThan">
      <formula>0</formula>
    </cfRule>
  </conditionalFormatting>
  <conditionalFormatting sqref="AI32">
    <cfRule type="expression" dxfId="419" priority="114" stopIfTrue="1">
      <formula>ABS((AI29-AI28))&lt;0.0011</formula>
    </cfRule>
    <cfRule type="cellIs" dxfId="418" priority="115" operator="greaterThan">
      <formula>0.1</formula>
    </cfRule>
    <cfRule type="cellIs" dxfId="417" priority="116" operator="lessThan">
      <formula>0</formula>
    </cfRule>
  </conditionalFormatting>
  <conditionalFormatting sqref="AJ32">
    <cfRule type="expression" dxfId="416" priority="111" stopIfTrue="1">
      <formula>ABS((AJ29-AJ28))&lt;0.0011</formula>
    </cfRule>
    <cfRule type="cellIs" dxfId="415" priority="112" operator="greaterThan">
      <formula>0.15</formula>
    </cfRule>
    <cfRule type="cellIs" dxfId="414" priority="113" operator="lessThan">
      <formula>0</formula>
    </cfRule>
  </conditionalFormatting>
  <conditionalFormatting sqref="AR32">
    <cfRule type="expression" dxfId="413" priority="108" stopIfTrue="1">
      <formula>ABS((AR29-AR28))&lt;0.0011</formula>
    </cfRule>
    <cfRule type="cellIs" dxfId="412" priority="109" operator="greaterThan">
      <formula>0.15</formula>
    </cfRule>
    <cfRule type="cellIs" dxfId="411" priority="110" operator="lessThan">
      <formula>0</formula>
    </cfRule>
  </conditionalFormatting>
  <conditionalFormatting sqref="AS32">
    <cfRule type="expression" dxfId="410" priority="105" stopIfTrue="1">
      <formula>ABS((AS29-AS28))&lt;0.0011</formula>
    </cfRule>
    <cfRule type="cellIs" dxfId="409" priority="106" operator="greaterThan">
      <formula>0.15</formula>
    </cfRule>
    <cfRule type="cellIs" dxfId="408" priority="107" operator="lessThan">
      <formula>0</formula>
    </cfRule>
  </conditionalFormatting>
  <conditionalFormatting sqref="AK32">
    <cfRule type="expression" dxfId="407" priority="102" stopIfTrue="1">
      <formula>ABS((AK29-AK28))&lt;0.0011</formula>
    </cfRule>
    <cfRule type="cellIs" dxfId="406" priority="103" operator="greaterThan">
      <formula>0.1</formula>
    </cfRule>
    <cfRule type="cellIs" dxfId="405" priority="104" operator="lessThan">
      <formula>0</formula>
    </cfRule>
  </conditionalFormatting>
  <conditionalFormatting sqref="AL32">
    <cfRule type="expression" dxfId="404" priority="99" stopIfTrue="1">
      <formula>ABS((AL29-AL28))&lt;0.0011</formula>
    </cfRule>
    <cfRule type="cellIs" dxfId="403" priority="100" operator="greaterThan">
      <formula>0.1</formula>
    </cfRule>
    <cfRule type="cellIs" dxfId="402" priority="101" operator="lessThan">
      <formula>0</formula>
    </cfRule>
  </conditionalFormatting>
  <conditionalFormatting sqref="AM32">
    <cfRule type="expression" dxfId="401" priority="96" stopIfTrue="1">
      <formula>ABS((AM29-AM28))&lt;0.0011</formula>
    </cfRule>
    <cfRule type="cellIs" dxfId="400" priority="97" operator="greaterThan">
      <formula>0.1</formula>
    </cfRule>
    <cfRule type="cellIs" dxfId="399" priority="98" operator="lessThan">
      <formula>0</formula>
    </cfRule>
  </conditionalFormatting>
  <conditionalFormatting sqref="AN32">
    <cfRule type="expression" dxfId="398" priority="93" stopIfTrue="1">
      <formula>ABS((AN29-AN28))&lt;0.0011</formula>
    </cfRule>
    <cfRule type="cellIs" dxfId="397" priority="94" operator="greaterThan">
      <formula>0.1</formula>
    </cfRule>
    <cfRule type="cellIs" dxfId="396" priority="95" operator="lessThan">
      <formula>0</formula>
    </cfRule>
  </conditionalFormatting>
  <conditionalFormatting sqref="AO32">
    <cfRule type="expression" dxfId="395" priority="90" stopIfTrue="1">
      <formula>ABS((AO29-AO28))&lt;0.0011</formula>
    </cfRule>
    <cfRule type="cellIs" dxfId="394" priority="91" operator="greaterThan">
      <formula>0.1</formula>
    </cfRule>
    <cfRule type="cellIs" dxfId="393" priority="92" operator="lessThan">
      <formula>0</formula>
    </cfRule>
  </conditionalFormatting>
  <conditionalFormatting sqref="AP32">
    <cfRule type="expression" dxfId="392" priority="87" stopIfTrue="1">
      <formula>ABS((AP29-AP28))&lt;0.0011</formula>
    </cfRule>
    <cfRule type="cellIs" dxfId="391" priority="88" operator="greaterThan">
      <formula>0.1</formula>
    </cfRule>
    <cfRule type="cellIs" dxfId="390" priority="89" operator="lessThan">
      <formula>0</formula>
    </cfRule>
  </conditionalFormatting>
  <conditionalFormatting sqref="AQ32">
    <cfRule type="expression" dxfId="389" priority="84" stopIfTrue="1">
      <formula>ABS((AQ29-AQ28))&lt;0.0011</formula>
    </cfRule>
    <cfRule type="cellIs" dxfId="388" priority="85" operator="greaterThan">
      <formula>0.1</formula>
    </cfRule>
    <cfRule type="cellIs" dxfId="387" priority="86" operator="lessThan">
      <formula>0</formula>
    </cfRule>
  </conditionalFormatting>
  <conditionalFormatting sqref="AU32">
    <cfRule type="expression" dxfId="386" priority="81" stopIfTrue="1">
      <formula>ABS((AU29-AU28))&lt;0.0011</formula>
    </cfRule>
    <cfRule type="cellIs" dxfId="385" priority="82" operator="greaterThan">
      <formula>0.1</formula>
    </cfRule>
    <cfRule type="cellIs" dxfId="384" priority="83" operator="lessThan">
      <formula>0</formula>
    </cfRule>
  </conditionalFormatting>
  <conditionalFormatting sqref="AT37">
    <cfRule type="expression" dxfId="383" priority="76" stopIfTrue="1">
      <formula>ABS((AT34-AT33))&lt;0.0011</formula>
    </cfRule>
    <cfRule type="cellIs" dxfId="382" priority="77" operator="greaterThan">
      <formula>0.1</formula>
    </cfRule>
    <cfRule type="cellIs" dxfId="381" priority="78" operator="lessThan">
      <formula>0</formula>
    </cfRule>
  </conditionalFormatting>
  <conditionalFormatting sqref="V37">
    <cfRule type="expression" dxfId="380" priority="73" stopIfTrue="1">
      <formula>ABS((V34-V33))&lt;0.0011</formula>
    </cfRule>
    <cfRule type="cellIs" dxfId="379" priority="74" operator="greaterThan">
      <formula>0.1</formula>
    </cfRule>
    <cfRule type="cellIs" dxfId="378" priority="75" operator="lessThan">
      <formula>0</formula>
    </cfRule>
  </conditionalFormatting>
  <conditionalFormatting sqref="W37">
    <cfRule type="expression" dxfId="377" priority="70" stopIfTrue="1">
      <formula>ABS((W34-W33))&lt;0.0011</formula>
    </cfRule>
    <cfRule type="cellIs" dxfId="376" priority="71" operator="greaterThan">
      <formula>0.1</formula>
    </cfRule>
    <cfRule type="cellIs" dxfId="375" priority="72" operator="lessThan">
      <formula>0</formula>
    </cfRule>
  </conditionalFormatting>
  <conditionalFormatting sqref="X37">
    <cfRule type="expression" dxfId="374" priority="67" stopIfTrue="1">
      <formula>ABS((X34-X33))&lt;0.0011</formula>
    </cfRule>
    <cfRule type="cellIs" dxfId="373" priority="68" operator="greaterThan">
      <formula>0.1</formula>
    </cfRule>
    <cfRule type="cellIs" dxfId="372" priority="69" operator="lessThan">
      <formula>0</formula>
    </cfRule>
  </conditionalFormatting>
  <conditionalFormatting sqref="Y37">
    <cfRule type="expression" dxfId="371" priority="64" stopIfTrue="1">
      <formula>ABS((Y34-Y33))&lt;0.0011</formula>
    </cfRule>
    <cfRule type="cellIs" dxfId="370" priority="65" operator="greaterThan">
      <formula>0.1</formula>
    </cfRule>
    <cfRule type="cellIs" dxfId="369" priority="66" operator="lessThan">
      <formula>0</formula>
    </cfRule>
  </conditionalFormatting>
  <conditionalFormatting sqref="Z37">
    <cfRule type="expression" dxfId="368" priority="61" stopIfTrue="1">
      <formula>ABS((Z34-Z33))&lt;0.0011</formula>
    </cfRule>
    <cfRule type="cellIs" dxfId="367" priority="62" operator="greaterThan">
      <formula>0.1</formula>
    </cfRule>
    <cfRule type="cellIs" dxfId="366" priority="63" operator="lessThan">
      <formula>0</formula>
    </cfRule>
  </conditionalFormatting>
  <conditionalFormatting sqref="AA37">
    <cfRule type="expression" dxfId="365" priority="58" stopIfTrue="1">
      <formula>ABS((AA34-AA33))&lt;0.0011</formula>
    </cfRule>
    <cfRule type="cellIs" dxfId="364" priority="59" operator="greaterThan">
      <formula>0.1</formula>
    </cfRule>
    <cfRule type="cellIs" dxfId="363" priority="60" operator="lessThan">
      <formula>0</formula>
    </cfRule>
  </conditionalFormatting>
  <conditionalFormatting sqref="AB37">
    <cfRule type="expression" dxfId="362" priority="55" stopIfTrue="1">
      <formula>ABS((AB34-AB33))&lt;0.0011</formula>
    </cfRule>
    <cfRule type="cellIs" dxfId="361" priority="56" operator="greaterThan">
      <formula>0.1</formula>
    </cfRule>
    <cfRule type="cellIs" dxfId="360" priority="57" operator="lessThan">
      <formula>0</formula>
    </cfRule>
  </conditionalFormatting>
  <conditionalFormatting sqref="AC37">
    <cfRule type="expression" dxfId="359" priority="52" stopIfTrue="1">
      <formula>ABS((AC34-AC33))&lt;0.0011</formula>
    </cfRule>
    <cfRule type="cellIs" dxfId="358" priority="53" operator="greaterThan">
      <formula>0.1</formula>
    </cfRule>
    <cfRule type="cellIs" dxfId="357" priority="54" operator="lessThan">
      <formula>0</formula>
    </cfRule>
  </conditionalFormatting>
  <conditionalFormatting sqref="AD37">
    <cfRule type="expression" dxfId="356" priority="49" stopIfTrue="1">
      <formula>ABS((AD34-AD33))&lt;0.0011</formula>
    </cfRule>
    <cfRule type="cellIs" dxfId="355" priority="50" operator="greaterThan">
      <formula>0.1</formula>
    </cfRule>
    <cfRule type="cellIs" dxfId="354" priority="51" operator="lessThan">
      <formula>0</formula>
    </cfRule>
  </conditionalFormatting>
  <conditionalFormatting sqref="AE37">
    <cfRule type="expression" dxfId="353" priority="46" stopIfTrue="1">
      <formula>ABS((AE34-AE33))&lt;0.0011</formula>
    </cfRule>
    <cfRule type="cellIs" dxfId="352" priority="47" operator="greaterThan">
      <formula>0.1</formula>
    </cfRule>
    <cfRule type="cellIs" dxfId="351" priority="48" operator="lessThan">
      <formula>0</formula>
    </cfRule>
  </conditionalFormatting>
  <conditionalFormatting sqref="AF37">
    <cfRule type="expression" dxfId="350" priority="43" stopIfTrue="1">
      <formula>ABS((AF34-AF33))&lt;0.0011</formula>
    </cfRule>
    <cfRule type="cellIs" dxfId="349" priority="44" operator="greaterThan">
      <formula>0.1</formula>
    </cfRule>
    <cfRule type="cellIs" dxfId="348" priority="45" operator="lessThan">
      <formula>0</formula>
    </cfRule>
  </conditionalFormatting>
  <conditionalFormatting sqref="AG37">
    <cfRule type="expression" dxfId="347" priority="40" stopIfTrue="1">
      <formula>ABS((AG34-AG33))&lt;0.0011</formula>
    </cfRule>
    <cfRule type="cellIs" dxfId="346" priority="41" operator="greaterThan">
      <formula>0.1</formula>
    </cfRule>
    <cfRule type="cellIs" dxfId="345" priority="42" operator="lessThan">
      <formula>0</formula>
    </cfRule>
  </conditionalFormatting>
  <conditionalFormatting sqref="AH37">
    <cfRule type="expression" dxfId="344" priority="37" stopIfTrue="1">
      <formula>ABS((AH34-AH33))&lt;0.0011</formula>
    </cfRule>
    <cfRule type="cellIs" dxfId="343" priority="38" operator="greaterThan">
      <formula>0.1</formula>
    </cfRule>
    <cfRule type="cellIs" dxfId="342" priority="39" operator="lessThan">
      <formula>0</formula>
    </cfRule>
  </conditionalFormatting>
  <conditionalFormatting sqref="AI37">
    <cfRule type="expression" dxfId="341" priority="34" stopIfTrue="1">
      <formula>ABS((AI34-AI33))&lt;0.0011</formula>
    </cfRule>
    <cfRule type="cellIs" dxfId="340" priority="35" operator="greaterThan">
      <formula>0.1</formula>
    </cfRule>
    <cfRule type="cellIs" dxfId="339" priority="36" operator="lessThan">
      <formula>0</formula>
    </cfRule>
  </conditionalFormatting>
  <conditionalFormatting sqref="AJ37">
    <cfRule type="expression" dxfId="338" priority="31" stopIfTrue="1">
      <formula>ABS((AJ34-AJ33))&lt;0.0011</formula>
    </cfRule>
    <cfRule type="cellIs" dxfId="337" priority="32" operator="greaterThan">
      <formula>0.15</formula>
    </cfRule>
    <cfRule type="cellIs" dxfId="336" priority="33" operator="lessThan">
      <formula>0</formula>
    </cfRule>
  </conditionalFormatting>
  <conditionalFormatting sqref="AR37">
    <cfRule type="expression" dxfId="335" priority="28" stopIfTrue="1">
      <formula>ABS((AR34-AR33))&lt;0.0011</formula>
    </cfRule>
    <cfRule type="cellIs" dxfId="334" priority="29" operator="greaterThan">
      <formula>0.15</formula>
    </cfRule>
    <cfRule type="cellIs" dxfId="333" priority="30" operator="lessThan">
      <formula>0</formula>
    </cfRule>
  </conditionalFormatting>
  <conditionalFormatting sqref="AS37">
    <cfRule type="expression" dxfId="332" priority="25" stopIfTrue="1">
      <formula>ABS((AS34-AS33))&lt;0.0011</formula>
    </cfRule>
    <cfRule type="cellIs" dxfId="331" priority="26" operator="greaterThan">
      <formula>0.15</formula>
    </cfRule>
    <cfRule type="cellIs" dxfId="330" priority="27" operator="lessThan">
      <formula>0</formula>
    </cfRule>
  </conditionalFormatting>
  <conditionalFormatting sqref="AK37">
    <cfRule type="expression" dxfId="329" priority="22" stopIfTrue="1">
      <formula>ABS((AK34-AK33))&lt;0.0011</formula>
    </cfRule>
    <cfRule type="cellIs" dxfId="328" priority="23" operator="greaterThan">
      <formula>0.1</formula>
    </cfRule>
    <cfRule type="cellIs" dxfId="327" priority="24" operator="lessThan">
      <formula>0</formula>
    </cfRule>
  </conditionalFormatting>
  <conditionalFormatting sqref="AL37">
    <cfRule type="expression" dxfId="326" priority="19" stopIfTrue="1">
      <formula>ABS((AL34-AL33))&lt;0.0011</formula>
    </cfRule>
    <cfRule type="cellIs" dxfId="325" priority="20" operator="greaterThan">
      <formula>0.1</formula>
    </cfRule>
    <cfRule type="cellIs" dxfId="324" priority="21" operator="lessThan">
      <formula>0</formula>
    </cfRule>
  </conditionalFormatting>
  <conditionalFormatting sqref="AM37">
    <cfRule type="expression" dxfId="323" priority="16" stopIfTrue="1">
      <formula>ABS((AM34-AM33))&lt;0.0011</formula>
    </cfRule>
    <cfRule type="cellIs" dxfId="322" priority="17" operator="greaterThan">
      <formula>0.1</formula>
    </cfRule>
    <cfRule type="cellIs" dxfId="321" priority="18" operator="lessThan">
      <formula>0</formula>
    </cfRule>
  </conditionalFormatting>
  <conditionalFormatting sqref="AN37">
    <cfRule type="expression" dxfId="320" priority="13" stopIfTrue="1">
      <formula>ABS((AN34-AN33))&lt;0.0011</formula>
    </cfRule>
    <cfRule type="cellIs" dxfId="319" priority="14" operator="greaterThan">
      <formula>0.1</formula>
    </cfRule>
    <cfRule type="cellIs" dxfId="318" priority="15" operator="lessThan">
      <formula>0</formula>
    </cfRule>
  </conditionalFormatting>
  <conditionalFormatting sqref="AO37">
    <cfRule type="expression" dxfId="317" priority="10" stopIfTrue="1">
      <formula>ABS((AO34-AO33))&lt;0.0011</formula>
    </cfRule>
    <cfRule type="cellIs" dxfId="316" priority="11" operator="greaterThan">
      <formula>0.1</formula>
    </cfRule>
    <cfRule type="cellIs" dxfId="315" priority="12" operator="lessThan">
      <formula>0</formula>
    </cfRule>
  </conditionalFormatting>
  <conditionalFormatting sqref="AP37">
    <cfRule type="expression" dxfId="314" priority="7" stopIfTrue="1">
      <formula>ABS((AP34-AP33))&lt;0.0011</formula>
    </cfRule>
    <cfRule type="cellIs" dxfId="313" priority="8" operator="greaterThan">
      <formula>0.1</formula>
    </cfRule>
    <cfRule type="cellIs" dxfId="312" priority="9" operator="lessThan">
      <formula>0</formula>
    </cfRule>
  </conditionalFormatting>
  <conditionalFormatting sqref="AQ37">
    <cfRule type="expression" dxfId="311" priority="4" stopIfTrue="1">
      <formula>ABS((AQ34-AQ33))&lt;0.0011</formula>
    </cfRule>
    <cfRule type="cellIs" dxfId="310" priority="5" operator="greaterThan">
      <formula>0.1</formula>
    </cfRule>
    <cfRule type="cellIs" dxfId="309" priority="6" operator="lessThan">
      <formula>0</formula>
    </cfRule>
  </conditionalFormatting>
  <conditionalFormatting sqref="AU37">
    <cfRule type="expression" dxfId="308" priority="1" stopIfTrue="1">
      <formula>ABS((AU34-AU33))&lt;0.0011</formula>
    </cfRule>
    <cfRule type="cellIs" dxfId="307" priority="2" operator="greaterThan">
      <formula>0.1</formula>
    </cfRule>
    <cfRule type="cellIs" dxfId="306" priority="3" operator="lessThan">
      <formula>0</formula>
    </cfRule>
  </conditionalFormatting>
  <conditionalFormatting sqref="AT12">
    <cfRule type="expression" dxfId="305" priority="476" stopIfTrue="1">
      <formula>ABS((AT9-AT8))&lt;0.0011</formula>
    </cfRule>
    <cfRule type="cellIs" dxfId="304" priority="477" operator="greaterThan">
      <formula>0.1</formula>
    </cfRule>
    <cfRule type="cellIs" dxfId="303" priority="478" operator="lessThan">
      <formula>0</formula>
    </cfRule>
  </conditionalFormatting>
  <conditionalFormatting sqref="V12">
    <cfRule type="expression" dxfId="302" priority="473" stopIfTrue="1">
      <formula>ABS((V9-V8))&lt;0.0011</formula>
    </cfRule>
    <cfRule type="cellIs" dxfId="301" priority="474" operator="greaterThan">
      <formula>0.1</formula>
    </cfRule>
    <cfRule type="cellIs" dxfId="300" priority="475" operator="lessThan">
      <formula>0</formula>
    </cfRule>
  </conditionalFormatting>
  <conditionalFormatting sqref="W12">
    <cfRule type="expression" dxfId="299" priority="470" stopIfTrue="1">
      <formula>ABS((W9-W8))&lt;0.0011</formula>
    </cfRule>
    <cfRule type="cellIs" dxfId="298" priority="471" operator="greaterThan">
      <formula>0.1</formula>
    </cfRule>
    <cfRule type="cellIs" dxfId="297" priority="472" operator="lessThan">
      <formula>0</formula>
    </cfRule>
  </conditionalFormatting>
  <conditionalFormatting sqref="X12">
    <cfRule type="expression" dxfId="296" priority="467" stopIfTrue="1">
      <formula>ABS((X9-X8))&lt;0.0011</formula>
    </cfRule>
    <cfRule type="cellIs" dxfId="295" priority="468" operator="greaterThan">
      <formula>0.1</formula>
    </cfRule>
    <cfRule type="cellIs" dxfId="294" priority="469" operator="lessThan">
      <formula>0</formula>
    </cfRule>
  </conditionalFormatting>
  <conditionalFormatting sqref="Y12">
    <cfRule type="expression" dxfId="293" priority="464" stopIfTrue="1">
      <formula>ABS((Y9-Y8))&lt;0.0011</formula>
    </cfRule>
    <cfRule type="cellIs" dxfId="292" priority="465" operator="greaterThan">
      <formula>0.1</formula>
    </cfRule>
    <cfRule type="cellIs" dxfId="291" priority="466" operator="lessThan">
      <formula>0</formula>
    </cfRule>
  </conditionalFormatting>
  <conditionalFormatting sqref="Z12">
    <cfRule type="expression" dxfId="290" priority="461" stopIfTrue="1">
      <formula>ABS((Z9-Z8))&lt;0.0011</formula>
    </cfRule>
    <cfRule type="cellIs" dxfId="289" priority="462" operator="greaterThan">
      <formula>0.1</formula>
    </cfRule>
    <cfRule type="cellIs" dxfId="288" priority="463" operator="lessThan">
      <formula>0</formula>
    </cfRule>
  </conditionalFormatting>
  <conditionalFormatting sqref="AA12">
    <cfRule type="expression" dxfId="287" priority="458" stopIfTrue="1">
      <formula>ABS((AA9-AA8))&lt;0.0011</formula>
    </cfRule>
    <cfRule type="cellIs" dxfId="286" priority="459" operator="greaterThan">
      <formula>0.1</formula>
    </cfRule>
    <cfRule type="cellIs" dxfId="285" priority="460" operator="lessThan">
      <formula>0</formula>
    </cfRule>
  </conditionalFormatting>
  <conditionalFormatting sqref="AB12">
    <cfRule type="expression" dxfId="284" priority="455" stopIfTrue="1">
      <formula>ABS((AB9-AB8))&lt;0.0011</formula>
    </cfRule>
    <cfRule type="cellIs" dxfId="283" priority="456" operator="greaterThan">
      <formula>0.1</formula>
    </cfRule>
    <cfRule type="cellIs" dxfId="282" priority="457" operator="lessThan">
      <formula>0</formula>
    </cfRule>
  </conditionalFormatting>
  <conditionalFormatting sqref="AC12">
    <cfRule type="expression" dxfId="281" priority="452" stopIfTrue="1">
      <formula>ABS((AC9-AC8))&lt;0.0011</formula>
    </cfRule>
    <cfRule type="cellIs" dxfId="280" priority="453" operator="greaterThan">
      <formula>0.1</formula>
    </cfRule>
    <cfRule type="cellIs" dxfId="279" priority="454" operator="lessThan">
      <formula>0</formula>
    </cfRule>
  </conditionalFormatting>
  <conditionalFormatting sqref="AD12">
    <cfRule type="expression" dxfId="278" priority="449" stopIfTrue="1">
      <formula>ABS((AD9-AD8))&lt;0.0011</formula>
    </cfRule>
    <cfRule type="cellIs" dxfId="277" priority="450" operator="greaterThan">
      <formula>0.1</formula>
    </cfRule>
    <cfRule type="cellIs" dxfId="276" priority="451" operator="lessThan">
      <formula>0</formula>
    </cfRule>
  </conditionalFormatting>
  <conditionalFormatting sqref="AE12">
    <cfRule type="expression" dxfId="275" priority="446" stopIfTrue="1">
      <formula>ABS((AE9-AE8))&lt;0.0011</formula>
    </cfRule>
    <cfRule type="cellIs" dxfId="274" priority="447" operator="greaterThan">
      <formula>0.1</formula>
    </cfRule>
    <cfRule type="cellIs" dxfId="273" priority="448" operator="lessThan">
      <formula>0</formula>
    </cfRule>
  </conditionalFormatting>
  <conditionalFormatting sqref="AF12">
    <cfRule type="expression" dxfId="272" priority="443" stopIfTrue="1">
      <formula>ABS((AF9-AF8))&lt;0.0011</formula>
    </cfRule>
    <cfRule type="cellIs" dxfId="271" priority="444" operator="greaterThan">
      <formula>0.1</formula>
    </cfRule>
    <cfRule type="cellIs" dxfId="270" priority="445" operator="lessThan">
      <formula>0</formula>
    </cfRule>
  </conditionalFormatting>
  <conditionalFormatting sqref="AG12">
    <cfRule type="expression" dxfId="269" priority="440" stopIfTrue="1">
      <formula>ABS((AG9-AG8))&lt;0.0011</formula>
    </cfRule>
    <cfRule type="cellIs" dxfId="268" priority="441" operator="greaterThan">
      <formula>0.1</formula>
    </cfRule>
    <cfRule type="cellIs" dxfId="267" priority="442" operator="lessThan">
      <formula>0</formula>
    </cfRule>
  </conditionalFormatting>
  <conditionalFormatting sqref="AH12">
    <cfRule type="expression" dxfId="266" priority="437" stopIfTrue="1">
      <formula>ABS((AH9-AH8))&lt;0.0011</formula>
    </cfRule>
    <cfRule type="cellIs" dxfId="265" priority="438" operator="greaterThan">
      <formula>0.1</formula>
    </cfRule>
    <cfRule type="cellIs" dxfId="264" priority="439" operator="lessThan">
      <formula>0</formula>
    </cfRule>
  </conditionalFormatting>
  <conditionalFormatting sqref="AI12">
    <cfRule type="expression" dxfId="263" priority="434" stopIfTrue="1">
      <formula>ABS((AI9-AI8))&lt;0.0011</formula>
    </cfRule>
    <cfRule type="cellIs" dxfId="262" priority="435" operator="greaterThan">
      <formula>0.1</formula>
    </cfRule>
    <cfRule type="cellIs" dxfId="261" priority="436" operator="lessThan">
      <formula>0</formula>
    </cfRule>
  </conditionalFormatting>
  <conditionalFormatting sqref="AJ12">
    <cfRule type="expression" dxfId="260" priority="431" stopIfTrue="1">
      <formula>ABS((AJ9-AJ8))&lt;0.0011</formula>
    </cfRule>
    <cfRule type="cellIs" dxfId="259" priority="432" operator="greaterThan">
      <formula>0.15</formula>
    </cfRule>
    <cfRule type="cellIs" dxfId="258" priority="433" operator="lessThan">
      <formula>0</formula>
    </cfRule>
  </conditionalFormatting>
  <conditionalFormatting sqref="AR12">
    <cfRule type="expression" dxfId="257" priority="428" stopIfTrue="1">
      <formula>ABS((AR9-AR8))&lt;0.0011</formula>
    </cfRule>
    <cfRule type="cellIs" dxfId="256" priority="429" operator="greaterThan">
      <formula>0.15</formula>
    </cfRule>
    <cfRule type="cellIs" dxfId="255" priority="430" operator="lessThan">
      <formula>0</formula>
    </cfRule>
  </conditionalFormatting>
  <conditionalFormatting sqref="AS12">
    <cfRule type="expression" dxfId="254" priority="425" stopIfTrue="1">
      <formula>ABS((AS9-AS8))&lt;0.0011</formula>
    </cfRule>
    <cfRule type="cellIs" dxfId="253" priority="426" operator="greaterThan">
      <formula>0.15</formula>
    </cfRule>
    <cfRule type="cellIs" dxfId="252" priority="427" operator="lessThan">
      <formula>0</formula>
    </cfRule>
  </conditionalFormatting>
  <conditionalFormatting sqref="AK12">
    <cfRule type="expression" dxfId="251" priority="422" stopIfTrue="1">
      <formula>ABS((AK9-AK8))&lt;0.0011</formula>
    </cfRule>
    <cfRule type="cellIs" dxfId="250" priority="423" operator="greaterThan">
      <formula>0.1</formula>
    </cfRule>
    <cfRule type="cellIs" dxfId="249" priority="424" operator="lessThan">
      <formula>0</formula>
    </cfRule>
  </conditionalFormatting>
  <conditionalFormatting sqref="AL12">
    <cfRule type="expression" dxfId="248" priority="419" stopIfTrue="1">
      <formula>ABS((AL9-AL8))&lt;0.0011</formula>
    </cfRule>
    <cfRule type="cellIs" dxfId="247" priority="420" operator="greaterThan">
      <formula>0.1</formula>
    </cfRule>
    <cfRule type="cellIs" dxfId="246" priority="421" operator="lessThan">
      <formula>0</formula>
    </cfRule>
  </conditionalFormatting>
  <conditionalFormatting sqref="AM12">
    <cfRule type="expression" dxfId="245" priority="416" stopIfTrue="1">
      <formula>ABS((AM9-AM8))&lt;0.0011</formula>
    </cfRule>
    <cfRule type="cellIs" dxfId="244" priority="417" operator="greaterThan">
      <formula>0.1</formula>
    </cfRule>
    <cfRule type="cellIs" dxfId="243" priority="418" operator="lessThan">
      <formula>0</formula>
    </cfRule>
  </conditionalFormatting>
  <conditionalFormatting sqref="AN12">
    <cfRule type="expression" dxfId="242" priority="413" stopIfTrue="1">
      <formula>ABS((AN9-AN8))&lt;0.0011</formula>
    </cfRule>
    <cfRule type="cellIs" dxfId="241" priority="414" operator="greaterThan">
      <formula>0.1</formula>
    </cfRule>
    <cfRule type="cellIs" dxfId="240" priority="415" operator="lessThan">
      <formula>0</formula>
    </cfRule>
  </conditionalFormatting>
  <conditionalFormatting sqref="AO12">
    <cfRule type="expression" dxfId="239" priority="410" stopIfTrue="1">
      <formula>ABS((AO9-AO8))&lt;0.0011</formula>
    </cfRule>
    <cfRule type="cellIs" dxfId="238" priority="411" operator="greaterThan">
      <formula>0.1</formula>
    </cfRule>
    <cfRule type="cellIs" dxfId="237" priority="412" operator="lessThan">
      <formula>0</formula>
    </cfRule>
  </conditionalFormatting>
  <conditionalFormatting sqref="AP12">
    <cfRule type="expression" dxfId="236" priority="407" stopIfTrue="1">
      <formula>ABS((AP9-AP8))&lt;0.0011</formula>
    </cfRule>
    <cfRule type="cellIs" dxfId="235" priority="408" operator="greaterThan">
      <formula>0.1</formula>
    </cfRule>
    <cfRule type="cellIs" dxfId="234" priority="409" operator="lessThan">
      <formula>0</formula>
    </cfRule>
  </conditionalFormatting>
  <conditionalFormatting sqref="AQ12">
    <cfRule type="expression" dxfId="233" priority="404" stopIfTrue="1">
      <formula>ABS((AQ9-AQ8))&lt;0.0011</formula>
    </cfRule>
    <cfRule type="cellIs" dxfId="232" priority="405" operator="greaterThan">
      <formula>0.1</formula>
    </cfRule>
    <cfRule type="cellIs" dxfId="231" priority="406" operator="lessThan">
      <formula>0</formula>
    </cfRule>
  </conditionalFormatting>
  <conditionalFormatting sqref="AU12">
    <cfRule type="expression" dxfId="230" priority="401" stopIfTrue="1">
      <formula>ABS((AU9-AU8))&lt;0.0011</formula>
    </cfRule>
    <cfRule type="cellIs" dxfId="229" priority="402" operator="greaterThan">
      <formula>0.1</formula>
    </cfRule>
    <cfRule type="cellIs" dxfId="228" priority="403" operator="lessThan">
      <formula>0</formula>
    </cfRule>
  </conditionalFormatting>
  <conditionalFormatting sqref="AT17">
    <cfRule type="expression" dxfId="227" priority="396" stopIfTrue="1">
      <formula>ABS((AT14-AT13))&lt;0.0011</formula>
    </cfRule>
    <cfRule type="cellIs" dxfId="226" priority="397" operator="greaterThan">
      <formula>0.1</formula>
    </cfRule>
    <cfRule type="cellIs" dxfId="225" priority="398" operator="lessThan">
      <formula>0</formula>
    </cfRule>
  </conditionalFormatting>
  <conditionalFormatting sqref="V17">
    <cfRule type="expression" dxfId="224" priority="393" stopIfTrue="1">
      <formula>ABS((V14-V13))&lt;0.0011</formula>
    </cfRule>
    <cfRule type="cellIs" dxfId="223" priority="394" operator="greaterThan">
      <formula>0.1</formula>
    </cfRule>
    <cfRule type="cellIs" dxfId="222" priority="395" operator="lessThan">
      <formula>0</formula>
    </cfRule>
  </conditionalFormatting>
  <conditionalFormatting sqref="W17">
    <cfRule type="expression" dxfId="221" priority="390" stopIfTrue="1">
      <formula>ABS((W14-W13))&lt;0.0011</formula>
    </cfRule>
    <cfRule type="cellIs" dxfId="220" priority="391" operator="greaterThan">
      <formula>0.1</formula>
    </cfRule>
    <cfRule type="cellIs" dxfId="219" priority="392" operator="lessThan">
      <formula>0</formula>
    </cfRule>
  </conditionalFormatting>
  <conditionalFormatting sqref="X17">
    <cfRule type="expression" dxfId="218" priority="387" stopIfTrue="1">
      <formula>ABS((X14-X13))&lt;0.0011</formula>
    </cfRule>
    <cfRule type="cellIs" dxfId="217" priority="388" operator="greaterThan">
      <formula>0.1</formula>
    </cfRule>
    <cfRule type="cellIs" dxfId="216" priority="389" operator="lessThan">
      <formula>0</formula>
    </cfRule>
  </conditionalFormatting>
  <conditionalFormatting sqref="Y17">
    <cfRule type="expression" dxfId="215" priority="384" stopIfTrue="1">
      <formula>ABS((Y14-Y13))&lt;0.0011</formula>
    </cfRule>
    <cfRule type="cellIs" dxfId="214" priority="385" operator="greaterThan">
      <formula>0.1</formula>
    </cfRule>
    <cfRule type="cellIs" dxfId="213" priority="386" operator="lessThan">
      <formula>0</formula>
    </cfRule>
  </conditionalFormatting>
  <conditionalFormatting sqref="Z17">
    <cfRule type="expression" dxfId="212" priority="381" stopIfTrue="1">
      <formula>ABS((Z14-Z13))&lt;0.0011</formula>
    </cfRule>
    <cfRule type="cellIs" dxfId="211" priority="382" operator="greaterThan">
      <formula>0.1</formula>
    </cfRule>
    <cfRule type="cellIs" dxfId="210" priority="383" operator="lessThan">
      <formula>0</formula>
    </cfRule>
  </conditionalFormatting>
  <conditionalFormatting sqref="AA17">
    <cfRule type="expression" dxfId="209" priority="378" stopIfTrue="1">
      <formula>ABS((AA14-AA13))&lt;0.0011</formula>
    </cfRule>
    <cfRule type="cellIs" dxfId="208" priority="379" operator="greaterThan">
      <formula>0.1</formula>
    </cfRule>
    <cfRule type="cellIs" dxfId="207" priority="380" operator="lessThan">
      <formula>0</formula>
    </cfRule>
  </conditionalFormatting>
  <conditionalFormatting sqref="AB17">
    <cfRule type="expression" dxfId="206" priority="375" stopIfTrue="1">
      <formula>ABS((AB14-AB13))&lt;0.0011</formula>
    </cfRule>
    <cfRule type="cellIs" dxfId="205" priority="376" operator="greaterThan">
      <formula>0.1</formula>
    </cfRule>
    <cfRule type="cellIs" dxfId="204" priority="377" operator="lessThan">
      <formula>0</formula>
    </cfRule>
  </conditionalFormatting>
  <conditionalFormatting sqref="AC17">
    <cfRule type="expression" dxfId="203" priority="372" stopIfTrue="1">
      <formula>ABS((AC14-AC13))&lt;0.0011</formula>
    </cfRule>
    <cfRule type="cellIs" dxfId="202" priority="373" operator="greaterThan">
      <formula>0.1</formula>
    </cfRule>
    <cfRule type="cellIs" dxfId="201" priority="374" operator="lessThan">
      <formula>0</formula>
    </cfRule>
  </conditionalFormatting>
  <conditionalFormatting sqref="AD17">
    <cfRule type="expression" dxfId="200" priority="369" stopIfTrue="1">
      <formula>ABS((AD14-AD13))&lt;0.0011</formula>
    </cfRule>
    <cfRule type="cellIs" dxfId="199" priority="370" operator="greaterThan">
      <formula>0.1</formula>
    </cfRule>
    <cfRule type="cellIs" dxfId="198" priority="371" operator="lessThan">
      <formula>0</formula>
    </cfRule>
  </conditionalFormatting>
  <conditionalFormatting sqref="AE17">
    <cfRule type="expression" dxfId="197" priority="366" stopIfTrue="1">
      <formula>ABS((AE14-AE13))&lt;0.0011</formula>
    </cfRule>
    <cfRule type="cellIs" dxfId="196" priority="367" operator="greaterThan">
      <formula>0.1</formula>
    </cfRule>
    <cfRule type="cellIs" dxfId="195" priority="368" operator="lessThan">
      <formula>0</formula>
    </cfRule>
  </conditionalFormatting>
  <conditionalFormatting sqref="AF17">
    <cfRule type="expression" dxfId="194" priority="363" stopIfTrue="1">
      <formula>ABS((AF14-AF13))&lt;0.0011</formula>
    </cfRule>
    <cfRule type="cellIs" dxfId="193" priority="364" operator="greaterThan">
      <formula>0.1</formula>
    </cfRule>
    <cfRule type="cellIs" dxfId="192" priority="365" operator="lessThan">
      <formula>0</formula>
    </cfRule>
  </conditionalFormatting>
  <conditionalFormatting sqref="AG17">
    <cfRule type="expression" dxfId="191" priority="360" stopIfTrue="1">
      <formula>ABS((AG14-AG13))&lt;0.0011</formula>
    </cfRule>
    <cfRule type="cellIs" dxfId="190" priority="361" operator="greaterThan">
      <formula>0.1</formula>
    </cfRule>
    <cfRule type="cellIs" dxfId="189" priority="362" operator="lessThan">
      <formula>0</formula>
    </cfRule>
  </conditionalFormatting>
  <conditionalFormatting sqref="AH17">
    <cfRule type="expression" dxfId="188" priority="357" stopIfTrue="1">
      <formula>ABS((AH14-AH13))&lt;0.0011</formula>
    </cfRule>
    <cfRule type="cellIs" dxfId="187" priority="358" operator="greaterThan">
      <formula>0.1</formula>
    </cfRule>
    <cfRule type="cellIs" dxfId="186" priority="359" operator="lessThan">
      <formula>0</formula>
    </cfRule>
  </conditionalFormatting>
  <conditionalFormatting sqref="AI17">
    <cfRule type="expression" dxfId="185" priority="354" stopIfTrue="1">
      <formula>ABS((AI14-AI13))&lt;0.0011</formula>
    </cfRule>
    <cfRule type="cellIs" dxfId="184" priority="355" operator="greaterThan">
      <formula>0.1</formula>
    </cfRule>
    <cfRule type="cellIs" dxfId="183" priority="356" operator="lessThan">
      <formula>0</formula>
    </cfRule>
  </conditionalFormatting>
  <conditionalFormatting sqref="AJ17">
    <cfRule type="expression" dxfId="182" priority="351" stopIfTrue="1">
      <formula>ABS((AJ14-AJ13))&lt;0.0011</formula>
    </cfRule>
    <cfRule type="cellIs" dxfId="181" priority="352" operator="greaterThan">
      <formula>0.15</formula>
    </cfRule>
    <cfRule type="cellIs" dxfId="180" priority="353" operator="lessThan">
      <formula>0</formula>
    </cfRule>
  </conditionalFormatting>
  <conditionalFormatting sqref="AR17">
    <cfRule type="expression" dxfId="179" priority="348" stopIfTrue="1">
      <formula>ABS((AR14-AR13))&lt;0.0011</formula>
    </cfRule>
    <cfRule type="cellIs" dxfId="178" priority="349" operator="greaterThan">
      <formula>0.15</formula>
    </cfRule>
    <cfRule type="cellIs" dxfId="177" priority="350" operator="lessThan">
      <formula>0</formula>
    </cfRule>
  </conditionalFormatting>
  <conditionalFormatting sqref="AS17">
    <cfRule type="expression" dxfId="176" priority="345" stopIfTrue="1">
      <formula>ABS((AS14-AS13))&lt;0.0011</formula>
    </cfRule>
    <cfRule type="cellIs" dxfId="175" priority="346" operator="greaterThan">
      <formula>0.15</formula>
    </cfRule>
    <cfRule type="cellIs" dxfId="174" priority="347" operator="lessThan">
      <formula>0</formula>
    </cfRule>
  </conditionalFormatting>
  <conditionalFormatting sqref="AK17">
    <cfRule type="expression" dxfId="173" priority="342" stopIfTrue="1">
      <formula>ABS((AK14-AK13))&lt;0.0011</formula>
    </cfRule>
    <cfRule type="cellIs" dxfId="172" priority="343" operator="greaterThan">
      <formula>0.1</formula>
    </cfRule>
    <cfRule type="cellIs" dxfId="171" priority="344" operator="lessThan">
      <formula>0</formula>
    </cfRule>
  </conditionalFormatting>
  <conditionalFormatting sqref="AL17">
    <cfRule type="expression" dxfId="170" priority="339" stopIfTrue="1">
      <formula>ABS((AL14-AL13))&lt;0.0011</formula>
    </cfRule>
    <cfRule type="cellIs" dxfId="169" priority="340" operator="greaterThan">
      <formula>0.1</formula>
    </cfRule>
    <cfRule type="cellIs" dxfId="168" priority="341" operator="lessThan">
      <formula>0</formula>
    </cfRule>
  </conditionalFormatting>
  <conditionalFormatting sqref="AM17">
    <cfRule type="expression" dxfId="167" priority="336" stopIfTrue="1">
      <formula>ABS((AM14-AM13))&lt;0.0011</formula>
    </cfRule>
    <cfRule type="cellIs" dxfId="166" priority="337" operator="greaterThan">
      <formula>0.1</formula>
    </cfRule>
    <cfRule type="cellIs" dxfId="165" priority="338" operator="lessThan">
      <formula>0</formula>
    </cfRule>
  </conditionalFormatting>
  <conditionalFormatting sqref="AN17">
    <cfRule type="expression" dxfId="164" priority="333" stopIfTrue="1">
      <formula>ABS((AN14-AN13))&lt;0.0011</formula>
    </cfRule>
    <cfRule type="cellIs" dxfId="163" priority="334" operator="greaterThan">
      <formula>0.1</formula>
    </cfRule>
    <cfRule type="cellIs" dxfId="162" priority="335" operator="lessThan">
      <formula>0</formula>
    </cfRule>
  </conditionalFormatting>
  <conditionalFormatting sqref="AO17">
    <cfRule type="expression" dxfId="161" priority="330" stopIfTrue="1">
      <formula>ABS((AO14-AO13))&lt;0.0011</formula>
    </cfRule>
    <cfRule type="cellIs" dxfId="160" priority="331" operator="greaterThan">
      <formula>0.1</formula>
    </cfRule>
    <cfRule type="cellIs" dxfId="159" priority="332" operator="lessThan">
      <formula>0</formula>
    </cfRule>
  </conditionalFormatting>
  <conditionalFormatting sqref="AP17">
    <cfRule type="expression" dxfId="158" priority="327" stopIfTrue="1">
      <formula>ABS((AP14-AP13))&lt;0.0011</formula>
    </cfRule>
    <cfRule type="cellIs" dxfId="157" priority="328" operator="greaterThan">
      <formula>0.1</formula>
    </cfRule>
    <cfRule type="cellIs" dxfId="156" priority="329" operator="lessThan">
      <formula>0</formula>
    </cfRule>
  </conditionalFormatting>
  <conditionalFormatting sqref="AQ17">
    <cfRule type="expression" dxfId="155" priority="324" stopIfTrue="1">
      <formula>ABS((AQ14-AQ13))&lt;0.0011</formula>
    </cfRule>
    <cfRule type="cellIs" dxfId="154" priority="325" operator="greaterThan">
      <formula>0.1</formula>
    </cfRule>
    <cfRule type="cellIs" dxfId="153" priority="326" operator="lessThan">
      <formula>0</formula>
    </cfRule>
  </conditionalFormatting>
  <conditionalFormatting sqref="AU17">
    <cfRule type="expression" dxfId="152" priority="321" stopIfTrue="1">
      <formula>ABS((AU14-AU13))&lt;0.0011</formula>
    </cfRule>
    <cfRule type="cellIs" dxfId="151" priority="322" operator="greaterThan">
      <formula>0.1</formula>
    </cfRule>
    <cfRule type="cellIs" dxfId="150" priority="323" operator="lessThan">
      <formula>0</formula>
    </cfRule>
  </conditionalFormatting>
  <conditionalFormatting sqref="AT22">
    <cfRule type="expression" dxfId="149" priority="316" stopIfTrue="1">
      <formula>ABS((AT19-AT18))&lt;0.0011</formula>
    </cfRule>
    <cfRule type="cellIs" dxfId="148" priority="317" operator="greaterThan">
      <formula>0.1</formula>
    </cfRule>
    <cfRule type="cellIs" dxfId="147" priority="318" operator="lessThan">
      <formula>0</formula>
    </cfRule>
  </conditionalFormatting>
  <conditionalFormatting sqref="V22">
    <cfRule type="expression" dxfId="146" priority="313" stopIfTrue="1">
      <formula>ABS((V19-V18))&lt;0.0011</formula>
    </cfRule>
    <cfRule type="cellIs" dxfId="145" priority="314" operator="greaterThan">
      <formula>0.1</formula>
    </cfRule>
    <cfRule type="cellIs" dxfId="144" priority="315" operator="lessThan">
      <formula>0</formula>
    </cfRule>
  </conditionalFormatting>
  <conditionalFormatting sqref="W22">
    <cfRule type="expression" dxfId="143" priority="310" stopIfTrue="1">
      <formula>ABS((W19-W18))&lt;0.0011</formula>
    </cfRule>
    <cfRule type="cellIs" dxfId="142" priority="311" operator="greaterThan">
      <formula>0.1</formula>
    </cfRule>
    <cfRule type="cellIs" dxfId="141" priority="312" operator="lessThan">
      <formula>0</formula>
    </cfRule>
  </conditionalFormatting>
  <conditionalFormatting sqref="X22">
    <cfRule type="expression" dxfId="140" priority="307" stopIfTrue="1">
      <formula>ABS((X19-X18))&lt;0.0011</formula>
    </cfRule>
    <cfRule type="cellIs" dxfId="139" priority="308" operator="greaterThan">
      <formula>0.1</formula>
    </cfRule>
    <cfRule type="cellIs" dxfId="138" priority="309" operator="lessThan">
      <formula>0</formula>
    </cfRule>
  </conditionalFormatting>
  <conditionalFormatting sqref="Y22">
    <cfRule type="expression" dxfId="137" priority="304" stopIfTrue="1">
      <formula>ABS((Y19-Y18))&lt;0.0011</formula>
    </cfRule>
    <cfRule type="cellIs" dxfId="136" priority="305" operator="greaterThan">
      <formula>0.1</formula>
    </cfRule>
    <cfRule type="cellIs" dxfId="135" priority="306" operator="lessThan">
      <formula>0</formula>
    </cfRule>
  </conditionalFormatting>
  <conditionalFormatting sqref="Z22">
    <cfRule type="expression" dxfId="134" priority="301" stopIfTrue="1">
      <formula>ABS((Z19-Z18))&lt;0.0011</formula>
    </cfRule>
    <cfRule type="cellIs" dxfId="133" priority="302" operator="greaterThan">
      <formula>0.1</formula>
    </cfRule>
    <cfRule type="cellIs" dxfId="132" priority="303" operator="lessThan">
      <formula>0</formula>
    </cfRule>
  </conditionalFormatting>
  <conditionalFormatting sqref="AA22">
    <cfRule type="expression" dxfId="131" priority="298" stopIfTrue="1">
      <formula>ABS((AA19-AA18))&lt;0.0011</formula>
    </cfRule>
    <cfRule type="cellIs" dxfId="130" priority="299" operator="greaterThan">
      <formula>0.1</formula>
    </cfRule>
    <cfRule type="cellIs" dxfId="129" priority="300" operator="lessThan">
      <formula>0</formula>
    </cfRule>
  </conditionalFormatting>
  <conditionalFormatting sqref="AB22">
    <cfRule type="expression" dxfId="128" priority="295" stopIfTrue="1">
      <formula>ABS((AB19-AB18))&lt;0.0011</formula>
    </cfRule>
    <cfRule type="cellIs" dxfId="127" priority="296" operator="greaterThan">
      <formula>0.1</formula>
    </cfRule>
    <cfRule type="cellIs" dxfId="126" priority="297" operator="lessThan">
      <formula>0</formula>
    </cfRule>
  </conditionalFormatting>
  <conditionalFormatting sqref="AC22">
    <cfRule type="expression" dxfId="125" priority="292" stopIfTrue="1">
      <formula>ABS((AC19-AC18))&lt;0.0011</formula>
    </cfRule>
    <cfRule type="cellIs" dxfId="124" priority="293" operator="greaterThan">
      <formula>0.1</formula>
    </cfRule>
    <cfRule type="cellIs" dxfId="123" priority="294" operator="lessThan">
      <formula>0</formula>
    </cfRule>
  </conditionalFormatting>
  <conditionalFormatting sqref="AD22">
    <cfRule type="expression" dxfId="122" priority="289" stopIfTrue="1">
      <formula>ABS((AD19-AD18))&lt;0.0011</formula>
    </cfRule>
    <cfRule type="cellIs" dxfId="121" priority="290" operator="greaterThan">
      <formula>0.1</formula>
    </cfRule>
    <cfRule type="cellIs" dxfId="120" priority="291" operator="lessThan">
      <formula>0</formula>
    </cfRule>
  </conditionalFormatting>
  <conditionalFormatting sqref="AE22">
    <cfRule type="expression" dxfId="119" priority="286" stopIfTrue="1">
      <formula>ABS((AE19-AE18))&lt;0.0011</formula>
    </cfRule>
    <cfRule type="cellIs" dxfId="118" priority="287" operator="greaterThan">
      <formula>0.1</formula>
    </cfRule>
    <cfRule type="cellIs" dxfId="117" priority="288" operator="lessThan">
      <formula>0</formula>
    </cfRule>
  </conditionalFormatting>
  <conditionalFormatting sqref="AF22">
    <cfRule type="expression" dxfId="116" priority="283" stopIfTrue="1">
      <formula>ABS((AF19-AF18))&lt;0.0011</formula>
    </cfRule>
    <cfRule type="cellIs" dxfId="115" priority="284" operator="greaterThan">
      <formula>0.1</formula>
    </cfRule>
    <cfRule type="cellIs" dxfId="114" priority="285" operator="lessThan">
      <formula>0</formula>
    </cfRule>
  </conditionalFormatting>
  <conditionalFormatting sqref="AG22">
    <cfRule type="expression" dxfId="113" priority="280" stopIfTrue="1">
      <formula>ABS((AG19-AG18))&lt;0.0011</formula>
    </cfRule>
    <cfRule type="cellIs" dxfId="112" priority="281" operator="greaterThan">
      <formula>0.1</formula>
    </cfRule>
    <cfRule type="cellIs" dxfId="111" priority="282" operator="lessThan">
      <formula>0</formula>
    </cfRule>
  </conditionalFormatting>
  <conditionalFormatting sqref="AH22">
    <cfRule type="expression" dxfId="110" priority="277" stopIfTrue="1">
      <formula>ABS((AH19-AH18))&lt;0.0011</formula>
    </cfRule>
    <cfRule type="cellIs" dxfId="109" priority="278" operator="greaterThan">
      <formula>0.1</formula>
    </cfRule>
    <cfRule type="cellIs" dxfId="108" priority="279" operator="lessThan">
      <formula>0</formula>
    </cfRule>
  </conditionalFormatting>
  <conditionalFormatting sqref="AI22">
    <cfRule type="expression" dxfId="107" priority="274" stopIfTrue="1">
      <formula>ABS((AI19-AI18))&lt;0.0011</formula>
    </cfRule>
    <cfRule type="cellIs" dxfId="106" priority="275" operator="greaterThan">
      <formula>0.1</formula>
    </cfRule>
    <cfRule type="cellIs" dxfId="105" priority="276" operator="lessThan">
      <formula>0</formula>
    </cfRule>
  </conditionalFormatting>
  <conditionalFormatting sqref="AJ22">
    <cfRule type="expression" dxfId="104" priority="271" stopIfTrue="1">
      <formula>ABS((AJ19-AJ18))&lt;0.0011</formula>
    </cfRule>
    <cfRule type="cellIs" dxfId="103" priority="272" operator="greaterThan">
      <formula>0.15</formula>
    </cfRule>
    <cfRule type="cellIs" dxfId="102" priority="273" operator="lessThan">
      <formula>0</formula>
    </cfRule>
  </conditionalFormatting>
  <conditionalFormatting sqref="AR22">
    <cfRule type="expression" dxfId="101" priority="268" stopIfTrue="1">
      <formula>ABS((AR19-AR18))&lt;0.0011</formula>
    </cfRule>
    <cfRule type="cellIs" dxfId="100" priority="269" operator="greaterThan">
      <formula>0.15</formula>
    </cfRule>
    <cfRule type="cellIs" dxfId="99" priority="270" operator="lessThan">
      <formula>0</formula>
    </cfRule>
  </conditionalFormatting>
  <conditionalFormatting sqref="AS22">
    <cfRule type="expression" dxfId="98" priority="265" stopIfTrue="1">
      <formula>ABS((AS19-AS18))&lt;0.0011</formula>
    </cfRule>
    <cfRule type="cellIs" dxfId="97" priority="266" operator="greaterThan">
      <formula>0.15</formula>
    </cfRule>
    <cfRule type="cellIs" dxfId="96" priority="267" operator="lessThan">
      <formula>0</formula>
    </cfRule>
  </conditionalFormatting>
  <conditionalFormatting sqref="AK22">
    <cfRule type="expression" dxfId="95" priority="262" stopIfTrue="1">
      <formula>ABS((AK19-AK18))&lt;0.0011</formula>
    </cfRule>
    <cfRule type="cellIs" dxfId="94" priority="263" operator="greaterThan">
      <formula>0.1</formula>
    </cfRule>
    <cfRule type="cellIs" dxfId="93" priority="264" operator="lessThan">
      <formula>0</formula>
    </cfRule>
  </conditionalFormatting>
  <conditionalFormatting sqref="AL22">
    <cfRule type="expression" dxfId="92" priority="259" stopIfTrue="1">
      <formula>ABS((AL19-AL18))&lt;0.0011</formula>
    </cfRule>
    <cfRule type="cellIs" dxfId="91" priority="260" operator="greaterThan">
      <formula>0.1</formula>
    </cfRule>
    <cfRule type="cellIs" dxfId="90" priority="261" operator="lessThan">
      <formula>0</formula>
    </cfRule>
  </conditionalFormatting>
  <conditionalFormatting sqref="AM22">
    <cfRule type="expression" dxfId="89" priority="256" stopIfTrue="1">
      <formula>ABS((AM19-AM18))&lt;0.0011</formula>
    </cfRule>
    <cfRule type="cellIs" dxfId="88" priority="257" operator="greaterThan">
      <formula>0.1</formula>
    </cfRule>
    <cfRule type="cellIs" dxfId="87" priority="258" operator="lessThan">
      <formula>0</formula>
    </cfRule>
  </conditionalFormatting>
  <conditionalFormatting sqref="AN22">
    <cfRule type="expression" dxfId="86" priority="253" stopIfTrue="1">
      <formula>ABS((AN19-AN18))&lt;0.0011</formula>
    </cfRule>
    <cfRule type="cellIs" dxfId="85" priority="254" operator="greaterThan">
      <formula>0.1</formula>
    </cfRule>
    <cfRule type="cellIs" dxfId="84" priority="255" operator="lessThan">
      <formula>0</formula>
    </cfRule>
  </conditionalFormatting>
  <conditionalFormatting sqref="AO22">
    <cfRule type="expression" dxfId="83" priority="250" stopIfTrue="1">
      <formula>ABS((AO19-AO18))&lt;0.0011</formula>
    </cfRule>
    <cfRule type="cellIs" dxfId="82" priority="251" operator="greaterThan">
      <formula>0.1</formula>
    </cfRule>
    <cfRule type="cellIs" dxfId="81" priority="252" operator="lessThan">
      <formula>0</formula>
    </cfRule>
  </conditionalFormatting>
  <conditionalFormatting sqref="AP22">
    <cfRule type="expression" dxfId="80" priority="247" stopIfTrue="1">
      <formula>ABS((AP19-AP18))&lt;0.0011</formula>
    </cfRule>
    <cfRule type="cellIs" dxfId="79" priority="248" operator="greaterThan">
      <formula>0.1</formula>
    </cfRule>
    <cfRule type="cellIs" dxfId="78" priority="249" operator="lessThan">
      <formula>0</formula>
    </cfRule>
  </conditionalFormatting>
  <conditionalFormatting sqref="AQ22">
    <cfRule type="expression" dxfId="77" priority="244" stopIfTrue="1">
      <formula>ABS((AQ19-AQ18))&lt;0.0011</formula>
    </cfRule>
    <cfRule type="cellIs" dxfId="76" priority="245" operator="greaterThan">
      <formula>0.1</formula>
    </cfRule>
    <cfRule type="cellIs" dxfId="75" priority="246" operator="lessThan">
      <formula>0</formula>
    </cfRule>
  </conditionalFormatting>
  <conditionalFormatting sqref="AU22">
    <cfRule type="expression" dxfId="74" priority="241" stopIfTrue="1">
      <formula>ABS((AU19-AU18))&lt;0.0011</formula>
    </cfRule>
    <cfRule type="cellIs" dxfId="73" priority="242" operator="greaterThan">
      <formula>0.1</formula>
    </cfRule>
    <cfRule type="cellIs" dxfId="72" priority="243"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67"/>
  <sheetViews>
    <sheetView topLeftCell="A31" workbookViewId="0"/>
  </sheetViews>
  <sheetFormatPr defaultRowHeight="13.2"/>
  <cols>
    <col min="2" max="2" width="11.5546875" customWidth="1"/>
    <col min="11" max="11" width="15.5546875" customWidth="1"/>
    <col min="21" max="21" width="13.5546875" customWidth="1"/>
  </cols>
  <sheetData>
    <row r="1" spans="1:66" s="44" customFormat="1" ht="17.399999999999999">
      <c r="A1" s="44" t="s">
        <v>649</v>
      </c>
      <c r="B1" s="256" t="s">
        <v>668</v>
      </c>
      <c r="C1" s="257">
        <f>AVERAGE(BK12:BK67)</f>
        <v>4.7250000000000007E-2</v>
      </c>
      <c r="P1" s="258"/>
      <c r="BN1" s="259"/>
    </row>
    <row r="2" spans="1:66" s="44" customFormat="1" ht="17.399999999999999">
      <c r="B2" s="256" t="s">
        <v>669</v>
      </c>
      <c r="C2" s="257">
        <f>AVERAGE(BL12:BL67)</f>
        <v>7.0666666666666669E-2</v>
      </c>
      <c r="P2" s="258"/>
      <c r="BN2" s="259"/>
    </row>
    <row r="3" spans="1:66" ht="17.399999999999999">
      <c r="B3" s="256" t="s">
        <v>670</v>
      </c>
      <c r="C3" s="258">
        <f>COUNT(BK12:BK67)</f>
        <v>12</v>
      </c>
      <c r="P3" s="260"/>
      <c r="BN3" s="1"/>
    </row>
    <row r="5" spans="1:66" ht="17.399999999999999">
      <c r="A5" s="228"/>
      <c r="B5" s="229"/>
      <c r="C5" s="229"/>
      <c r="D5" s="229"/>
      <c r="E5" s="229"/>
      <c r="F5" s="229"/>
      <c r="G5" s="229"/>
      <c r="H5" s="229"/>
      <c r="I5" s="229"/>
      <c r="J5" s="229"/>
      <c r="K5" s="229"/>
      <c r="L5" s="229"/>
      <c r="M5" s="229"/>
      <c r="N5" s="229"/>
      <c r="O5" s="229"/>
      <c r="P5" s="230"/>
      <c r="Q5" s="229"/>
      <c r="R5" s="229"/>
      <c r="S5" s="229"/>
      <c r="T5" s="229"/>
      <c r="U5" s="229"/>
      <c r="V5" s="192" t="s">
        <v>46</v>
      </c>
      <c r="W5" s="193"/>
      <c r="X5" s="193"/>
      <c r="Y5" s="193"/>
      <c r="Z5" s="193"/>
      <c r="AA5" s="193"/>
      <c r="AB5" s="193"/>
      <c r="AC5" s="193"/>
      <c r="AD5" s="193"/>
      <c r="AE5" s="193"/>
      <c r="AF5" s="193"/>
      <c r="AG5" s="193"/>
      <c r="AH5" s="194" t="s">
        <v>47</v>
      </c>
      <c r="AI5" s="193"/>
      <c r="AJ5" s="193"/>
      <c r="AK5" s="193"/>
      <c r="AL5" s="193"/>
      <c r="AM5" s="193"/>
      <c r="AN5" s="193"/>
      <c r="AO5" s="195" t="s">
        <v>48</v>
      </c>
      <c r="AP5" s="193"/>
      <c r="AQ5" s="193"/>
      <c r="AR5" s="193"/>
      <c r="AS5" s="193"/>
      <c r="AT5" s="193"/>
      <c r="AU5" s="231" t="s">
        <v>49</v>
      </c>
      <c r="AV5" s="197" t="s">
        <v>51</v>
      </c>
      <c r="AW5" s="198"/>
      <c r="AX5" s="198"/>
      <c r="AY5" s="198"/>
      <c r="AZ5" s="198"/>
      <c r="BA5" s="198"/>
      <c r="BB5" s="198"/>
      <c r="BC5" s="198"/>
      <c r="BD5" s="199" t="s">
        <v>50</v>
      </c>
      <c r="BE5" s="198"/>
      <c r="BF5" s="198"/>
      <c r="BG5" s="198"/>
      <c r="BH5" s="198"/>
      <c r="BI5" s="198"/>
      <c r="BJ5" s="198"/>
      <c r="BK5" s="200" t="s">
        <v>649</v>
      </c>
      <c r="BL5" s="200" t="s">
        <v>649</v>
      </c>
    </row>
    <row r="6" spans="1:66">
      <c r="A6" s="232"/>
      <c r="B6" s="233"/>
      <c r="C6" s="233"/>
      <c r="D6" s="233"/>
      <c r="E6" s="233"/>
      <c r="F6" s="233"/>
      <c r="G6" s="233"/>
      <c r="H6" s="233"/>
      <c r="I6" s="233"/>
      <c r="J6" s="233"/>
      <c r="K6" s="233"/>
      <c r="L6" s="233"/>
      <c r="M6" s="233"/>
      <c r="N6" s="233"/>
      <c r="O6" s="233"/>
      <c r="P6" s="234"/>
      <c r="Q6" s="233"/>
      <c r="R6" s="233"/>
      <c r="S6" s="233"/>
      <c r="T6" s="233"/>
      <c r="U6" s="233"/>
      <c r="V6" s="235" t="s">
        <v>25</v>
      </c>
      <c r="W6" s="235" t="s">
        <v>25</v>
      </c>
      <c r="X6" s="235" t="s">
        <v>25</v>
      </c>
      <c r="Y6" s="235" t="s">
        <v>25</v>
      </c>
      <c r="Z6" s="235" t="s">
        <v>25</v>
      </c>
      <c r="AA6" s="235" t="s">
        <v>25</v>
      </c>
      <c r="AB6" s="235" t="s">
        <v>25</v>
      </c>
      <c r="AC6" s="235" t="s">
        <v>25</v>
      </c>
      <c r="AD6" s="235" t="s">
        <v>25</v>
      </c>
      <c r="AE6" s="235" t="s">
        <v>25</v>
      </c>
      <c r="AF6" s="235" t="s">
        <v>25</v>
      </c>
      <c r="AG6" s="235" t="s">
        <v>25</v>
      </c>
      <c r="AH6" s="236" t="s">
        <v>25</v>
      </c>
      <c r="AI6" s="236" t="s">
        <v>25</v>
      </c>
      <c r="AJ6" s="236" t="s">
        <v>25</v>
      </c>
      <c r="AK6" s="236" t="s">
        <v>25</v>
      </c>
      <c r="AL6" s="236" t="s">
        <v>25</v>
      </c>
      <c r="AM6" s="236" t="s">
        <v>25</v>
      </c>
      <c r="AN6" s="236" t="s">
        <v>25</v>
      </c>
      <c r="AO6" s="237" t="s">
        <v>25</v>
      </c>
      <c r="AP6" s="237" t="s">
        <v>25</v>
      </c>
      <c r="AQ6" s="237" t="s">
        <v>25</v>
      </c>
      <c r="AR6" s="237" t="s">
        <v>25</v>
      </c>
      <c r="AS6" s="238" t="s">
        <v>25</v>
      </c>
      <c r="AT6" s="238" t="s">
        <v>25</v>
      </c>
      <c r="AU6" s="239" t="s">
        <v>25</v>
      </c>
      <c r="AV6" s="240"/>
      <c r="AW6" s="241"/>
      <c r="AX6" s="241"/>
      <c r="AY6" s="241"/>
      <c r="AZ6" s="241"/>
      <c r="BA6" s="241"/>
      <c r="BB6" s="241"/>
      <c r="BC6" s="241"/>
      <c r="BD6" s="242"/>
      <c r="BE6" s="243"/>
      <c r="BF6" s="243"/>
      <c r="BG6" s="243"/>
      <c r="BH6" s="243"/>
      <c r="BI6" s="243"/>
      <c r="BJ6" s="243"/>
      <c r="BK6" s="244"/>
      <c r="BL6" s="244"/>
    </row>
    <row r="7" spans="1:66" ht="52.8">
      <c r="A7" s="131" t="s">
        <v>62</v>
      </c>
      <c r="B7" s="131" t="s">
        <v>248</v>
      </c>
      <c r="C7" s="131" t="s">
        <v>249</v>
      </c>
      <c r="D7" s="131" t="s">
        <v>250</v>
      </c>
      <c r="E7" s="131" t="s">
        <v>251</v>
      </c>
      <c r="F7" s="131" t="s">
        <v>252</v>
      </c>
      <c r="G7" s="131" t="s">
        <v>253</v>
      </c>
      <c r="H7" s="131" t="s">
        <v>254</v>
      </c>
      <c r="I7" s="131" t="s">
        <v>255</v>
      </c>
      <c r="J7" s="131" t="s">
        <v>256</v>
      </c>
      <c r="K7" s="131" t="s">
        <v>257</v>
      </c>
      <c r="L7" s="131" t="s">
        <v>258</v>
      </c>
      <c r="M7" s="131" t="s">
        <v>259</v>
      </c>
      <c r="N7" s="131" t="s">
        <v>260</v>
      </c>
      <c r="O7" s="131" t="s">
        <v>261</v>
      </c>
      <c r="P7" s="245" t="s">
        <v>262</v>
      </c>
      <c r="Q7" s="131" t="s">
        <v>263</v>
      </c>
      <c r="R7" s="131" t="s">
        <v>264</v>
      </c>
      <c r="S7" s="131" t="s">
        <v>265</v>
      </c>
      <c r="T7" s="131" t="s">
        <v>266</v>
      </c>
      <c r="U7" s="131" t="s">
        <v>267</v>
      </c>
      <c r="V7" s="132" t="s">
        <v>650</v>
      </c>
      <c r="W7" s="132" t="s">
        <v>651</v>
      </c>
      <c r="X7" s="132" t="s">
        <v>652</v>
      </c>
      <c r="Y7" s="132" t="s">
        <v>653</v>
      </c>
      <c r="Z7" s="132" t="s">
        <v>43</v>
      </c>
      <c r="AA7" s="132" t="s">
        <v>44</v>
      </c>
      <c r="AB7" s="132" t="s">
        <v>34</v>
      </c>
      <c r="AC7" s="132" t="s">
        <v>654</v>
      </c>
      <c r="AD7" s="132" t="s">
        <v>35</v>
      </c>
      <c r="AE7" s="132" t="s">
        <v>36</v>
      </c>
      <c r="AF7" s="132" t="s">
        <v>45</v>
      </c>
      <c r="AG7" s="132" t="s">
        <v>37</v>
      </c>
      <c r="AH7" s="133" t="s">
        <v>655</v>
      </c>
      <c r="AI7" s="133" t="s">
        <v>656</v>
      </c>
      <c r="AJ7" s="133" t="s">
        <v>657</v>
      </c>
      <c r="AK7" s="133" t="s">
        <v>658</v>
      </c>
      <c r="AL7" s="133" t="s">
        <v>659</v>
      </c>
      <c r="AM7" s="133" t="s">
        <v>660</v>
      </c>
      <c r="AN7" s="133" t="s">
        <v>661</v>
      </c>
      <c r="AO7" s="134" t="s">
        <v>38</v>
      </c>
      <c r="AP7" s="134" t="s">
        <v>39</v>
      </c>
      <c r="AQ7" s="134" t="s">
        <v>41</v>
      </c>
      <c r="AR7" s="134" t="s">
        <v>662</v>
      </c>
      <c r="AS7" s="134" t="s">
        <v>663</v>
      </c>
      <c r="AT7" s="134" t="s">
        <v>40</v>
      </c>
      <c r="AU7" s="135" t="s">
        <v>664</v>
      </c>
      <c r="AV7" s="210" t="s">
        <v>26</v>
      </c>
      <c r="AW7" s="210" t="s">
        <v>27</v>
      </c>
      <c r="AX7" s="210" t="s">
        <v>28</v>
      </c>
      <c r="AY7" s="210" t="s">
        <v>30</v>
      </c>
      <c r="AZ7" s="210" t="s">
        <v>276</v>
      </c>
      <c r="BA7" s="210" t="s">
        <v>31</v>
      </c>
      <c r="BB7" s="210" t="s">
        <v>161</v>
      </c>
      <c r="BC7" s="210" t="s">
        <v>42</v>
      </c>
      <c r="BD7" s="211" t="s">
        <v>29</v>
      </c>
      <c r="BE7" s="211" t="s">
        <v>167</v>
      </c>
      <c r="BF7" s="211" t="s">
        <v>277</v>
      </c>
      <c r="BG7" s="211" t="s">
        <v>278</v>
      </c>
      <c r="BH7" s="211" t="s">
        <v>163</v>
      </c>
      <c r="BI7" s="211" t="s">
        <v>162</v>
      </c>
      <c r="BJ7" s="211" t="s">
        <v>279</v>
      </c>
      <c r="BK7" s="212" t="s">
        <v>52</v>
      </c>
      <c r="BL7" s="200" t="s">
        <v>665</v>
      </c>
    </row>
    <row r="8" spans="1:66">
      <c r="A8" s="246" t="s">
        <v>301</v>
      </c>
      <c r="B8" s="246" t="s">
        <v>435</v>
      </c>
      <c r="C8" s="246" t="s">
        <v>436</v>
      </c>
      <c r="D8" s="246" t="s">
        <v>437</v>
      </c>
      <c r="E8" s="246" t="s">
        <v>272</v>
      </c>
      <c r="F8" s="246">
        <v>549</v>
      </c>
      <c r="G8" s="246">
        <v>1</v>
      </c>
      <c r="H8" s="246">
        <v>5</v>
      </c>
      <c r="I8" s="246">
        <v>11.6</v>
      </c>
      <c r="J8" s="246">
        <v>21</v>
      </c>
      <c r="K8" s="246" t="s">
        <v>570</v>
      </c>
      <c r="L8" s="246">
        <v>2018</v>
      </c>
      <c r="M8" s="246" t="s">
        <v>571</v>
      </c>
      <c r="N8" s="246">
        <v>31</v>
      </c>
      <c r="O8" s="246">
        <v>31</v>
      </c>
      <c r="P8" s="247" t="s">
        <v>572</v>
      </c>
      <c r="Q8" s="246">
        <v>-70.879000000000005</v>
      </c>
      <c r="R8" s="246">
        <v>41.197000000000003</v>
      </c>
      <c r="S8" s="246" t="s">
        <v>271</v>
      </c>
      <c r="T8" s="246">
        <v>25</v>
      </c>
      <c r="U8" s="246" t="s">
        <v>573</v>
      </c>
      <c r="V8" s="248">
        <v>4.8839999999999995</v>
      </c>
      <c r="W8" s="248">
        <v>5.3999999999999999E-2</v>
      </c>
      <c r="X8" s="248">
        <v>0.76400000000000001</v>
      </c>
      <c r="Y8" s="248">
        <v>0.14299999999999999</v>
      </c>
      <c r="Z8" s="248">
        <v>1.7000000000000001E-2</v>
      </c>
      <c r="AA8" s="248">
        <v>-8888</v>
      </c>
      <c r="AB8" s="248">
        <v>4.2000000000000003E-2</v>
      </c>
      <c r="AC8" s="248">
        <v>0.29299999999999998</v>
      </c>
      <c r="AD8" s="248">
        <v>3.4000000000000002E-2</v>
      </c>
      <c r="AE8" s="248">
        <v>1.8380000000000001</v>
      </c>
      <c r="AF8" s="248">
        <v>6.2E-2</v>
      </c>
      <c r="AG8" s="248">
        <v>6.0000000000000001E-3</v>
      </c>
      <c r="AH8" s="248">
        <v>4.4429999999999996</v>
      </c>
      <c r="AI8" s="248">
        <v>-8888</v>
      </c>
      <c r="AJ8" s="248">
        <v>0.441</v>
      </c>
      <c r="AK8" s="248">
        <v>5.3999999999999999E-2</v>
      </c>
      <c r="AL8" s="248">
        <v>-8888</v>
      </c>
      <c r="AM8" s="248">
        <v>0.71099999999999997</v>
      </c>
      <c r="AN8" s="248">
        <v>5.2999999999999999E-2</v>
      </c>
      <c r="AO8" s="248">
        <v>-8888</v>
      </c>
      <c r="AP8" s="248">
        <v>0.01</v>
      </c>
      <c r="AQ8" s="248">
        <v>1.4E-2</v>
      </c>
      <c r="AR8" s="248">
        <v>5.2999999999999999E-2</v>
      </c>
      <c r="AS8" s="248">
        <v>0.24199999999999999</v>
      </c>
      <c r="AT8" s="248">
        <v>1.2999999999999999E-2</v>
      </c>
      <c r="AU8" s="248">
        <v>-8888</v>
      </c>
      <c r="AV8" s="248">
        <v>5.702</v>
      </c>
      <c r="AW8" s="248">
        <v>0.51800000000000002</v>
      </c>
      <c r="AX8" s="248">
        <v>1.917</v>
      </c>
      <c r="AY8" s="248">
        <v>7.6189999999999998</v>
      </c>
      <c r="AZ8" s="248">
        <v>2.4350000000000001</v>
      </c>
      <c r="BA8" s="248">
        <v>3.2530000000000001</v>
      </c>
      <c r="BB8" s="248">
        <v>8.1370000000000005</v>
      </c>
      <c r="BC8" s="248">
        <v>2.0190000000000001</v>
      </c>
      <c r="BD8" s="249">
        <v>0.67</v>
      </c>
      <c r="BE8" s="249">
        <v>0.79</v>
      </c>
      <c r="BF8" s="249">
        <v>0.21</v>
      </c>
      <c r="BG8" s="249">
        <v>2.34</v>
      </c>
      <c r="BH8" s="249">
        <v>0.06</v>
      </c>
      <c r="BI8" s="249">
        <v>0.94</v>
      </c>
      <c r="BJ8" s="249">
        <v>0.6</v>
      </c>
      <c r="BK8" s="244"/>
      <c r="BL8" s="244"/>
    </row>
    <row r="9" spans="1:66">
      <c r="A9" s="246" t="s">
        <v>305</v>
      </c>
      <c r="B9" s="246" t="s">
        <v>435</v>
      </c>
      <c r="C9" s="246" t="s">
        <v>440</v>
      </c>
      <c r="D9" s="246" t="s">
        <v>437</v>
      </c>
      <c r="E9" s="246" t="s">
        <v>272</v>
      </c>
      <c r="F9" s="246">
        <v>535</v>
      </c>
      <c r="G9" s="246">
        <v>1</v>
      </c>
      <c r="H9" s="246">
        <v>5</v>
      </c>
      <c r="I9" s="246">
        <v>11.6</v>
      </c>
      <c r="J9" s="246">
        <v>21</v>
      </c>
      <c r="K9" s="246" t="s">
        <v>570</v>
      </c>
      <c r="L9" s="246">
        <v>2018</v>
      </c>
      <c r="M9" s="246" t="s">
        <v>571</v>
      </c>
      <c r="N9" s="246">
        <v>31</v>
      </c>
      <c r="O9" s="246">
        <v>31</v>
      </c>
      <c r="P9" s="247" t="s">
        <v>572</v>
      </c>
      <c r="Q9" s="246">
        <v>-70.879000000000005</v>
      </c>
      <c r="R9" s="246">
        <v>41.197000000000003</v>
      </c>
      <c r="S9" s="246" t="s">
        <v>271</v>
      </c>
      <c r="T9" s="246">
        <v>25</v>
      </c>
      <c r="U9" s="246" t="s">
        <v>573</v>
      </c>
      <c r="V9" s="248">
        <v>4.952</v>
      </c>
      <c r="W9" s="248">
        <v>5.3999999999999999E-2</v>
      </c>
      <c r="X9" s="248">
        <v>0.77800000000000002</v>
      </c>
      <c r="Y9" s="248">
        <v>0.13300000000000001</v>
      </c>
      <c r="Z9" s="248">
        <v>1.7000000000000001E-2</v>
      </c>
      <c r="AA9" s="248">
        <v>-8888</v>
      </c>
      <c r="AB9" s="248">
        <v>4.2000000000000003E-2</v>
      </c>
      <c r="AC9" s="248">
        <v>0.307</v>
      </c>
      <c r="AD9" s="248">
        <v>0.02</v>
      </c>
      <c r="AE9" s="248">
        <v>1.8979999999999999</v>
      </c>
      <c r="AF9" s="248">
        <v>5.8000000000000003E-2</v>
      </c>
      <c r="AG9" s="248">
        <v>6.0000000000000001E-3</v>
      </c>
      <c r="AH9" s="248">
        <v>4.6379999999999999</v>
      </c>
      <c r="AI9" s="248">
        <v>-8888</v>
      </c>
      <c r="AJ9" s="248">
        <v>0.314</v>
      </c>
      <c r="AK9" s="248">
        <v>5.3999999999999999E-2</v>
      </c>
      <c r="AL9" s="248">
        <v>-8888</v>
      </c>
      <c r="AM9" s="248">
        <v>0.71599999999999997</v>
      </c>
      <c r="AN9" s="248">
        <v>6.2E-2</v>
      </c>
      <c r="AO9" s="248">
        <v>-8888</v>
      </c>
      <c r="AP9" s="248">
        <v>0.01</v>
      </c>
      <c r="AQ9" s="248">
        <v>1.2999999999999999E-2</v>
      </c>
      <c r="AR9" s="248">
        <v>5.3999999999999999E-2</v>
      </c>
      <c r="AS9" s="248">
        <v>0.222</v>
      </c>
      <c r="AT9" s="248">
        <v>1.2999999999999999E-2</v>
      </c>
      <c r="AU9" s="248">
        <v>-8888</v>
      </c>
      <c r="AV9" s="248">
        <v>5.7840000000000007</v>
      </c>
      <c r="AW9" s="248">
        <v>0.50800000000000001</v>
      </c>
      <c r="AX9" s="248">
        <v>1.9729999999999999</v>
      </c>
      <c r="AY9" s="248">
        <v>7.7570000000000006</v>
      </c>
      <c r="AZ9" s="248">
        <v>2.4809999999999999</v>
      </c>
      <c r="BA9" s="248">
        <v>3.3129999999999997</v>
      </c>
      <c r="BB9" s="248">
        <v>8.2650000000000006</v>
      </c>
      <c r="BC9" s="248">
        <v>2.0749999999999997</v>
      </c>
      <c r="BD9" s="249">
        <v>0.67</v>
      </c>
      <c r="BE9" s="249">
        <v>0.8</v>
      </c>
      <c r="BF9" s="249">
        <v>0.2</v>
      </c>
      <c r="BG9" s="249">
        <v>2.33</v>
      </c>
      <c r="BH9" s="249">
        <v>0.06</v>
      </c>
      <c r="BI9" s="249">
        <v>0.94</v>
      </c>
      <c r="BJ9" s="249">
        <v>0.6</v>
      </c>
      <c r="BK9" s="244"/>
      <c r="BL9" s="244"/>
    </row>
    <row r="10" spans="1:66">
      <c r="A10" s="218"/>
      <c r="B10" s="250"/>
      <c r="C10" s="250"/>
      <c r="D10" s="250"/>
      <c r="E10" s="250"/>
      <c r="F10" s="250"/>
      <c r="G10" s="250"/>
      <c r="H10" s="250"/>
      <c r="I10" s="250"/>
      <c r="J10" s="250"/>
      <c r="K10" s="250"/>
      <c r="L10" s="250"/>
      <c r="M10" s="250"/>
      <c r="N10" s="250"/>
      <c r="O10" s="250"/>
      <c r="P10" s="251"/>
      <c r="Q10" s="250"/>
      <c r="R10" s="250"/>
      <c r="S10" s="250"/>
      <c r="T10" s="250"/>
      <c r="U10" s="218" t="s">
        <v>666</v>
      </c>
      <c r="V10" s="218">
        <f t="shared" ref="V10:BC10" si="0">ROUND(AVERAGE(V8:V9),3)</f>
        <v>4.9180000000000001</v>
      </c>
      <c r="W10" s="218">
        <f t="shared" si="0"/>
        <v>5.3999999999999999E-2</v>
      </c>
      <c r="X10" s="218">
        <f t="shared" si="0"/>
        <v>0.77100000000000002</v>
      </c>
      <c r="Y10" s="218">
        <f t="shared" si="0"/>
        <v>0.13800000000000001</v>
      </c>
      <c r="Z10" s="218">
        <f t="shared" si="0"/>
        <v>1.7000000000000001E-2</v>
      </c>
      <c r="AA10" s="218">
        <f t="shared" si="0"/>
        <v>-8888</v>
      </c>
      <c r="AB10" s="218">
        <f t="shared" si="0"/>
        <v>4.2000000000000003E-2</v>
      </c>
      <c r="AC10" s="218">
        <f t="shared" si="0"/>
        <v>0.3</v>
      </c>
      <c r="AD10" s="218">
        <f t="shared" si="0"/>
        <v>2.7E-2</v>
      </c>
      <c r="AE10" s="218">
        <f t="shared" si="0"/>
        <v>1.8680000000000001</v>
      </c>
      <c r="AF10" s="218">
        <f t="shared" si="0"/>
        <v>0.06</v>
      </c>
      <c r="AG10" s="218">
        <f t="shared" si="0"/>
        <v>6.0000000000000001E-3</v>
      </c>
      <c r="AH10" s="218">
        <f t="shared" si="0"/>
        <v>4.5410000000000004</v>
      </c>
      <c r="AI10" s="218">
        <f t="shared" si="0"/>
        <v>-8888</v>
      </c>
      <c r="AJ10" s="218">
        <f t="shared" si="0"/>
        <v>0.378</v>
      </c>
      <c r="AK10" s="218">
        <f t="shared" si="0"/>
        <v>5.3999999999999999E-2</v>
      </c>
      <c r="AL10" s="218">
        <f t="shared" si="0"/>
        <v>-8888</v>
      </c>
      <c r="AM10" s="218">
        <f t="shared" si="0"/>
        <v>0.71399999999999997</v>
      </c>
      <c r="AN10" s="218">
        <f t="shared" si="0"/>
        <v>5.8000000000000003E-2</v>
      </c>
      <c r="AO10" s="218">
        <f t="shared" si="0"/>
        <v>-8888</v>
      </c>
      <c r="AP10" s="218">
        <f t="shared" si="0"/>
        <v>0.01</v>
      </c>
      <c r="AQ10" s="218">
        <f t="shared" si="0"/>
        <v>1.4E-2</v>
      </c>
      <c r="AR10" s="218">
        <f t="shared" si="0"/>
        <v>5.3999999999999999E-2</v>
      </c>
      <c r="AS10" s="218">
        <f t="shared" si="0"/>
        <v>0.23200000000000001</v>
      </c>
      <c r="AT10" s="218">
        <f t="shared" si="0"/>
        <v>1.2999999999999999E-2</v>
      </c>
      <c r="AU10" s="218">
        <f t="shared" si="0"/>
        <v>-8888</v>
      </c>
      <c r="AV10" s="218">
        <f t="shared" si="0"/>
        <v>5.7430000000000003</v>
      </c>
      <c r="AW10" s="218">
        <f t="shared" si="0"/>
        <v>0.51300000000000001</v>
      </c>
      <c r="AX10" s="218">
        <f t="shared" si="0"/>
        <v>1.9450000000000001</v>
      </c>
      <c r="AY10" s="218">
        <f t="shared" si="0"/>
        <v>7.6879999999999997</v>
      </c>
      <c r="AZ10" s="218">
        <f t="shared" si="0"/>
        <v>2.4580000000000002</v>
      </c>
      <c r="BA10" s="218">
        <f t="shared" si="0"/>
        <v>3.2829999999999999</v>
      </c>
      <c r="BB10" s="218">
        <f t="shared" si="0"/>
        <v>8.2010000000000005</v>
      </c>
      <c r="BC10" s="218">
        <f t="shared" si="0"/>
        <v>2.0470000000000002</v>
      </c>
      <c r="BD10" s="217">
        <f t="shared" ref="BD10:BJ10" si="1">ROUND(AVERAGE(BD8:BD9),2)</f>
        <v>0.67</v>
      </c>
      <c r="BE10" s="217">
        <f t="shared" si="1"/>
        <v>0.8</v>
      </c>
      <c r="BF10" s="217">
        <f t="shared" si="1"/>
        <v>0.21</v>
      </c>
      <c r="BG10" s="217">
        <f t="shared" si="1"/>
        <v>2.34</v>
      </c>
      <c r="BH10" s="217">
        <f t="shared" si="1"/>
        <v>0.06</v>
      </c>
      <c r="BI10" s="217">
        <f t="shared" si="1"/>
        <v>0.94</v>
      </c>
      <c r="BJ10" s="217">
        <f t="shared" si="1"/>
        <v>0.6</v>
      </c>
      <c r="BK10" s="219"/>
      <c r="BL10" s="219"/>
    </row>
    <row r="11" spans="1:66">
      <c r="A11" s="222"/>
      <c r="B11" s="252"/>
      <c r="C11" s="252"/>
      <c r="D11" s="252"/>
      <c r="E11" s="252"/>
      <c r="F11" s="252"/>
      <c r="G11" s="252"/>
      <c r="H11" s="252"/>
      <c r="I11" s="252"/>
      <c r="J11" s="252"/>
      <c r="K11" s="252"/>
      <c r="L11" s="252"/>
      <c r="M11" s="252"/>
      <c r="N11" s="252"/>
      <c r="O11" s="252"/>
      <c r="P11" s="253"/>
      <c r="Q11" s="252"/>
      <c r="R11" s="252"/>
      <c r="S11" s="252"/>
      <c r="T11" s="252"/>
      <c r="U11" s="222" t="s">
        <v>667</v>
      </c>
      <c r="V11" s="222">
        <f t="shared" ref="V11:BC11" si="2">ROUND(STDEV(V8:V9),3)</f>
        <v>4.8000000000000001E-2</v>
      </c>
      <c r="W11" s="222">
        <f t="shared" si="2"/>
        <v>0</v>
      </c>
      <c r="X11" s="222">
        <f t="shared" si="2"/>
        <v>0.01</v>
      </c>
      <c r="Y11" s="222">
        <f t="shared" si="2"/>
        <v>7.0000000000000001E-3</v>
      </c>
      <c r="Z11" s="222">
        <f t="shared" si="2"/>
        <v>0</v>
      </c>
      <c r="AA11" s="222">
        <f t="shared" si="2"/>
        <v>0</v>
      </c>
      <c r="AB11" s="222">
        <f t="shared" si="2"/>
        <v>0</v>
      </c>
      <c r="AC11" s="222">
        <f t="shared" si="2"/>
        <v>0.01</v>
      </c>
      <c r="AD11" s="222">
        <f t="shared" si="2"/>
        <v>0.01</v>
      </c>
      <c r="AE11" s="222">
        <f t="shared" si="2"/>
        <v>4.2000000000000003E-2</v>
      </c>
      <c r="AF11" s="222">
        <f t="shared" si="2"/>
        <v>3.0000000000000001E-3</v>
      </c>
      <c r="AG11" s="222">
        <f t="shared" si="2"/>
        <v>0</v>
      </c>
      <c r="AH11" s="222">
        <f t="shared" si="2"/>
        <v>0.13800000000000001</v>
      </c>
      <c r="AI11" s="222">
        <f t="shared" si="2"/>
        <v>0</v>
      </c>
      <c r="AJ11" s="222">
        <f t="shared" si="2"/>
        <v>0.09</v>
      </c>
      <c r="AK11" s="222">
        <f t="shared" si="2"/>
        <v>0</v>
      </c>
      <c r="AL11" s="222">
        <f t="shared" si="2"/>
        <v>0</v>
      </c>
      <c r="AM11" s="222">
        <f t="shared" si="2"/>
        <v>4.0000000000000001E-3</v>
      </c>
      <c r="AN11" s="222">
        <f t="shared" si="2"/>
        <v>6.0000000000000001E-3</v>
      </c>
      <c r="AO11" s="222">
        <f t="shared" si="2"/>
        <v>0</v>
      </c>
      <c r="AP11" s="222">
        <f t="shared" si="2"/>
        <v>0</v>
      </c>
      <c r="AQ11" s="222">
        <f t="shared" si="2"/>
        <v>1E-3</v>
      </c>
      <c r="AR11" s="222">
        <f t="shared" si="2"/>
        <v>1E-3</v>
      </c>
      <c r="AS11" s="222">
        <f t="shared" si="2"/>
        <v>1.4E-2</v>
      </c>
      <c r="AT11" s="222">
        <f t="shared" si="2"/>
        <v>0</v>
      </c>
      <c r="AU11" s="222">
        <f t="shared" si="2"/>
        <v>0</v>
      </c>
      <c r="AV11" s="222">
        <f t="shared" si="2"/>
        <v>5.8000000000000003E-2</v>
      </c>
      <c r="AW11" s="222">
        <f t="shared" si="2"/>
        <v>7.0000000000000001E-3</v>
      </c>
      <c r="AX11" s="222">
        <f t="shared" si="2"/>
        <v>0.04</v>
      </c>
      <c r="AY11" s="222">
        <f t="shared" si="2"/>
        <v>9.8000000000000004E-2</v>
      </c>
      <c r="AZ11" s="222">
        <f t="shared" si="2"/>
        <v>3.3000000000000002E-2</v>
      </c>
      <c r="BA11" s="222">
        <f t="shared" si="2"/>
        <v>4.2000000000000003E-2</v>
      </c>
      <c r="BB11" s="222">
        <f t="shared" si="2"/>
        <v>9.0999999999999998E-2</v>
      </c>
      <c r="BC11" s="222">
        <f t="shared" si="2"/>
        <v>0.04</v>
      </c>
      <c r="BD11" s="221">
        <f t="shared" ref="BD11:BJ11" si="3">ROUND(STDEV(BD8:BD9),2)</f>
        <v>0</v>
      </c>
      <c r="BE11" s="221">
        <f t="shared" si="3"/>
        <v>0.01</v>
      </c>
      <c r="BF11" s="221">
        <f t="shared" si="3"/>
        <v>0.01</v>
      </c>
      <c r="BG11" s="221">
        <f t="shared" si="3"/>
        <v>0.01</v>
      </c>
      <c r="BH11" s="221">
        <f t="shared" si="3"/>
        <v>0</v>
      </c>
      <c r="BI11" s="221">
        <f t="shared" si="3"/>
        <v>0</v>
      </c>
      <c r="BJ11" s="221">
        <f t="shared" si="3"/>
        <v>0</v>
      </c>
      <c r="BK11" s="223"/>
      <c r="BL11" s="223"/>
    </row>
    <row r="12" spans="1:66">
      <c r="A12" s="224"/>
      <c r="B12" s="254"/>
      <c r="C12" s="254"/>
      <c r="D12" s="254"/>
      <c r="E12" s="254"/>
      <c r="F12" s="254"/>
      <c r="G12" s="254"/>
      <c r="H12" s="254"/>
      <c r="I12" s="254"/>
      <c r="J12" s="254"/>
      <c r="K12" s="254"/>
      <c r="L12" s="254"/>
      <c r="M12" s="254"/>
      <c r="N12" s="254"/>
      <c r="O12" s="254"/>
      <c r="P12" s="255"/>
      <c r="Q12" s="254"/>
      <c r="R12" s="254"/>
      <c r="S12" s="254"/>
      <c r="T12" s="254"/>
      <c r="U12" s="225" t="s">
        <v>649</v>
      </c>
      <c r="V12" s="226">
        <f t="shared" ref="V12:BJ12" si="4">ROUND((V11/V10),4)</f>
        <v>9.7999999999999997E-3</v>
      </c>
      <c r="W12" s="226">
        <f t="shared" si="4"/>
        <v>0</v>
      </c>
      <c r="X12" s="226">
        <f t="shared" si="4"/>
        <v>1.2999999999999999E-2</v>
      </c>
      <c r="Y12" s="226">
        <f t="shared" si="4"/>
        <v>5.0700000000000002E-2</v>
      </c>
      <c r="Z12" s="226">
        <f t="shared" si="4"/>
        <v>0</v>
      </c>
      <c r="AA12" s="226">
        <f t="shared" si="4"/>
        <v>0</v>
      </c>
      <c r="AB12" s="226">
        <f t="shared" si="4"/>
        <v>0</v>
      </c>
      <c r="AC12" s="226">
        <f t="shared" si="4"/>
        <v>3.3300000000000003E-2</v>
      </c>
      <c r="AD12" s="226">
        <f t="shared" si="4"/>
        <v>0.37040000000000001</v>
      </c>
      <c r="AE12" s="226">
        <f t="shared" si="4"/>
        <v>2.2499999999999999E-2</v>
      </c>
      <c r="AF12" s="226">
        <f t="shared" si="4"/>
        <v>0.05</v>
      </c>
      <c r="AG12" s="226">
        <f t="shared" si="4"/>
        <v>0</v>
      </c>
      <c r="AH12" s="226">
        <f t="shared" si="4"/>
        <v>3.04E-2</v>
      </c>
      <c r="AI12" s="226">
        <f t="shared" si="4"/>
        <v>0</v>
      </c>
      <c r="AJ12" s="226">
        <f t="shared" si="4"/>
        <v>0.23810000000000001</v>
      </c>
      <c r="AK12" s="226">
        <f t="shared" si="4"/>
        <v>0</v>
      </c>
      <c r="AL12" s="226">
        <f t="shared" si="4"/>
        <v>0</v>
      </c>
      <c r="AM12" s="226">
        <f t="shared" si="4"/>
        <v>5.5999999999999999E-3</v>
      </c>
      <c r="AN12" s="226">
        <f t="shared" si="4"/>
        <v>0.10340000000000001</v>
      </c>
      <c r="AO12" s="226">
        <f t="shared" si="4"/>
        <v>0</v>
      </c>
      <c r="AP12" s="226">
        <f t="shared" si="4"/>
        <v>0</v>
      </c>
      <c r="AQ12" s="226">
        <f t="shared" si="4"/>
        <v>7.1400000000000005E-2</v>
      </c>
      <c r="AR12" s="226">
        <f t="shared" si="4"/>
        <v>1.8499999999999999E-2</v>
      </c>
      <c r="AS12" s="226">
        <f t="shared" si="4"/>
        <v>6.0299999999999999E-2</v>
      </c>
      <c r="AT12" s="226">
        <f t="shared" si="4"/>
        <v>0</v>
      </c>
      <c r="AU12" s="226">
        <f t="shared" si="4"/>
        <v>0</v>
      </c>
      <c r="AV12" s="226">
        <f t="shared" si="4"/>
        <v>1.01E-2</v>
      </c>
      <c r="AW12" s="226">
        <f t="shared" si="4"/>
        <v>1.3599999999999999E-2</v>
      </c>
      <c r="AX12" s="226">
        <f t="shared" si="4"/>
        <v>2.06E-2</v>
      </c>
      <c r="AY12" s="226">
        <f t="shared" si="4"/>
        <v>1.2699999999999999E-2</v>
      </c>
      <c r="AZ12" s="226">
        <f t="shared" si="4"/>
        <v>1.34E-2</v>
      </c>
      <c r="BA12" s="226">
        <f t="shared" si="4"/>
        <v>1.2800000000000001E-2</v>
      </c>
      <c r="BB12" s="226">
        <f t="shared" si="4"/>
        <v>1.11E-2</v>
      </c>
      <c r="BC12" s="226">
        <f t="shared" si="4"/>
        <v>1.95E-2</v>
      </c>
      <c r="BD12" s="226">
        <f t="shared" si="4"/>
        <v>0</v>
      </c>
      <c r="BE12" s="226">
        <f t="shared" si="4"/>
        <v>1.2500000000000001E-2</v>
      </c>
      <c r="BF12" s="226">
        <f t="shared" si="4"/>
        <v>4.7600000000000003E-2</v>
      </c>
      <c r="BG12" s="226">
        <f t="shared" si="4"/>
        <v>4.3E-3</v>
      </c>
      <c r="BH12" s="226">
        <f t="shared" si="4"/>
        <v>0</v>
      </c>
      <c r="BI12" s="226">
        <f t="shared" si="4"/>
        <v>0</v>
      </c>
      <c r="BJ12" s="226">
        <f t="shared" si="4"/>
        <v>0</v>
      </c>
      <c r="BK12" s="227">
        <f>V12</f>
        <v>9.7999999999999997E-3</v>
      </c>
      <c r="BL12" s="227">
        <f t="array" ref="BL12">AVERAGE(IF(V12:AG12&gt;-0.001,V12:AG12,""))</f>
        <v>4.580833333333334E-2</v>
      </c>
    </row>
    <row r="13" spans="1:66">
      <c r="A13" s="246" t="s">
        <v>303</v>
      </c>
      <c r="B13" s="246" t="s">
        <v>435</v>
      </c>
      <c r="C13" s="246" t="s">
        <v>438</v>
      </c>
      <c r="D13" s="246" t="s">
        <v>437</v>
      </c>
      <c r="E13" s="246" t="s">
        <v>272</v>
      </c>
      <c r="F13" s="246">
        <v>547</v>
      </c>
      <c r="G13" s="246">
        <v>1</v>
      </c>
      <c r="H13" s="246">
        <v>9</v>
      </c>
      <c r="I13" s="246">
        <v>7</v>
      </c>
      <c r="J13" s="246">
        <v>21</v>
      </c>
      <c r="K13" s="246" t="s">
        <v>570</v>
      </c>
      <c r="L13" s="246">
        <v>2018</v>
      </c>
      <c r="M13" s="246" t="s">
        <v>571</v>
      </c>
      <c r="N13" s="246">
        <v>31</v>
      </c>
      <c r="O13" s="246">
        <v>31</v>
      </c>
      <c r="P13" s="247" t="s">
        <v>572</v>
      </c>
      <c r="Q13" s="246">
        <v>-70.879000000000005</v>
      </c>
      <c r="R13" s="246">
        <v>41.197000000000003</v>
      </c>
      <c r="S13" s="246" t="s">
        <v>271</v>
      </c>
      <c r="T13" s="246">
        <v>25</v>
      </c>
      <c r="U13" s="246" t="s">
        <v>573</v>
      </c>
      <c r="V13" s="248">
        <v>4.8499999999999996</v>
      </c>
      <c r="W13" s="248">
        <v>5.2999999999999999E-2</v>
      </c>
      <c r="X13" s="248">
        <v>0.76100000000000001</v>
      </c>
      <c r="Y13" s="248">
        <v>0.14000000000000001</v>
      </c>
      <c r="Z13" s="248">
        <v>1.7000000000000001E-2</v>
      </c>
      <c r="AA13" s="248">
        <v>-8888</v>
      </c>
      <c r="AB13" s="248">
        <v>4.2000000000000003E-2</v>
      </c>
      <c r="AC13" s="248">
        <v>0.28699999999999998</v>
      </c>
      <c r="AD13" s="248">
        <v>3.6999999999999998E-2</v>
      </c>
      <c r="AE13" s="248">
        <v>1.82</v>
      </c>
      <c r="AF13" s="248">
        <v>5.5E-2</v>
      </c>
      <c r="AG13" s="248">
        <v>8.0000000000000002E-3</v>
      </c>
      <c r="AH13" s="248">
        <v>4.3819999999999997</v>
      </c>
      <c r="AI13" s="248">
        <v>-8888</v>
      </c>
      <c r="AJ13" s="248">
        <v>0.46800000000000003</v>
      </c>
      <c r="AK13" s="248">
        <v>5.2999999999999999E-2</v>
      </c>
      <c r="AL13" s="248">
        <v>-8888</v>
      </c>
      <c r="AM13" s="248">
        <v>0.70799999999999996</v>
      </c>
      <c r="AN13" s="248">
        <v>5.2999999999999999E-2</v>
      </c>
      <c r="AO13" s="248">
        <v>-8888</v>
      </c>
      <c r="AP13" s="248">
        <v>0.01</v>
      </c>
      <c r="AQ13" s="248">
        <v>1.4E-2</v>
      </c>
      <c r="AR13" s="248">
        <v>5.0999999999999997E-2</v>
      </c>
      <c r="AS13" s="248">
        <v>0.22700000000000001</v>
      </c>
      <c r="AT13" s="248">
        <v>1.2999999999999999E-2</v>
      </c>
      <c r="AU13" s="248">
        <v>-8888</v>
      </c>
      <c r="AV13" s="248">
        <v>5.6639999999999997</v>
      </c>
      <c r="AW13" s="248">
        <v>0.51400000000000001</v>
      </c>
      <c r="AX13" s="248">
        <v>1.8919999999999999</v>
      </c>
      <c r="AY13" s="248">
        <v>7.5559999999999992</v>
      </c>
      <c r="AZ13" s="248">
        <v>2.4059999999999997</v>
      </c>
      <c r="BA13" s="248">
        <v>3.2199999999999998</v>
      </c>
      <c r="BB13" s="248">
        <v>8.07</v>
      </c>
      <c r="BC13" s="248">
        <v>1.9949999999999999</v>
      </c>
      <c r="BD13" s="249">
        <v>0.66</v>
      </c>
      <c r="BE13" s="249">
        <v>0.79</v>
      </c>
      <c r="BF13" s="249">
        <v>0.21</v>
      </c>
      <c r="BG13" s="249">
        <v>2.35</v>
      </c>
      <c r="BH13" s="249">
        <v>0.06</v>
      </c>
      <c r="BI13" s="249">
        <v>0.94</v>
      </c>
      <c r="BJ13" s="249">
        <v>0.6</v>
      </c>
      <c r="BK13" s="244"/>
      <c r="BL13" s="244"/>
    </row>
    <row r="14" spans="1:66">
      <c r="A14" s="246" t="s">
        <v>306</v>
      </c>
      <c r="B14" s="246" t="s">
        <v>435</v>
      </c>
      <c r="C14" s="246" t="s">
        <v>441</v>
      </c>
      <c r="D14" s="246" t="s">
        <v>437</v>
      </c>
      <c r="E14" s="246" t="s">
        <v>272</v>
      </c>
      <c r="F14" s="246">
        <v>535</v>
      </c>
      <c r="G14" s="246">
        <v>1</v>
      </c>
      <c r="H14" s="246">
        <v>9</v>
      </c>
      <c r="I14" s="246">
        <v>7</v>
      </c>
      <c r="J14" s="246">
        <v>21</v>
      </c>
      <c r="K14" s="246" t="s">
        <v>570</v>
      </c>
      <c r="L14" s="246">
        <v>2018</v>
      </c>
      <c r="M14" s="246" t="s">
        <v>571</v>
      </c>
      <c r="N14" s="246">
        <v>31</v>
      </c>
      <c r="O14" s="246">
        <v>31</v>
      </c>
      <c r="P14" s="247" t="s">
        <v>572</v>
      </c>
      <c r="Q14" s="246">
        <v>-70.879000000000005</v>
      </c>
      <c r="R14" s="246">
        <v>41.197000000000003</v>
      </c>
      <c r="S14" s="246" t="s">
        <v>271</v>
      </c>
      <c r="T14" s="246">
        <v>25</v>
      </c>
      <c r="U14" s="246" t="s">
        <v>573</v>
      </c>
      <c r="V14" s="248">
        <v>5.1480000000000006</v>
      </c>
      <c r="W14" s="248">
        <v>5.5E-2</v>
      </c>
      <c r="X14" s="248">
        <v>0.79900000000000004</v>
      </c>
      <c r="Y14" s="248">
        <v>0.13800000000000001</v>
      </c>
      <c r="Z14" s="248">
        <v>1.6E-2</v>
      </c>
      <c r="AA14" s="248">
        <v>-8888</v>
      </c>
      <c r="AB14" s="248">
        <v>4.2999999999999997E-2</v>
      </c>
      <c r="AC14" s="248">
        <v>0.32400000000000001</v>
      </c>
      <c r="AD14" s="248">
        <v>2.4E-2</v>
      </c>
      <c r="AE14" s="248">
        <v>2.0190000000000001</v>
      </c>
      <c r="AF14" s="248">
        <v>5.5E-2</v>
      </c>
      <c r="AG14" s="248">
        <v>7.0000000000000001E-3</v>
      </c>
      <c r="AH14" s="248">
        <v>4.7990000000000004</v>
      </c>
      <c r="AI14" s="248">
        <v>-8888</v>
      </c>
      <c r="AJ14" s="248">
        <v>0.34899999999999998</v>
      </c>
      <c r="AK14" s="248">
        <v>5.5E-2</v>
      </c>
      <c r="AL14" s="248">
        <v>-8888</v>
      </c>
      <c r="AM14" s="248">
        <v>0.74199999999999999</v>
      </c>
      <c r="AN14" s="248">
        <v>5.7000000000000002E-2</v>
      </c>
      <c r="AO14" s="248">
        <v>-8888</v>
      </c>
      <c r="AP14" s="248">
        <v>0.01</v>
      </c>
      <c r="AQ14" s="248">
        <v>1.2999999999999999E-2</v>
      </c>
      <c r="AR14" s="248">
        <v>0.06</v>
      </c>
      <c r="AS14" s="248">
        <v>0.22</v>
      </c>
      <c r="AT14" s="248">
        <v>1.2999999999999999E-2</v>
      </c>
      <c r="AU14" s="248">
        <v>-8888</v>
      </c>
      <c r="AV14" s="248">
        <v>6.0020000000000007</v>
      </c>
      <c r="AW14" s="248">
        <v>0.53600000000000003</v>
      </c>
      <c r="AX14" s="248">
        <v>2.0900000000000003</v>
      </c>
      <c r="AY14" s="248">
        <v>8.0920000000000005</v>
      </c>
      <c r="AZ14" s="248">
        <v>2.6260000000000003</v>
      </c>
      <c r="BA14" s="248">
        <v>3.4800000000000004</v>
      </c>
      <c r="BB14" s="248">
        <v>8.6280000000000001</v>
      </c>
      <c r="BC14" s="248">
        <v>2.1950000000000003</v>
      </c>
      <c r="BD14" s="249">
        <v>0.68</v>
      </c>
      <c r="BE14" s="249">
        <v>0.8</v>
      </c>
      <c r="BF14" s="249">
        <v>0.2</v>
      </c>
      <c r="BG14" s="249">
        <v>2.29</v>
      </c>
      <c r="BH14" s="249">
        <v>0.06</v>
      </c>
      <c r="BI14" s="249">
        <v>0.94</v>
      </c>
      <c r="BJ14" s="249">
        <v>0.6</v>
      </c>
      <c r="BK14" s="244"/>
      <c r="BL14" s="244"/>
    </row>
    <row r="15" spans="1:66">
      <c r="A15" s="218"/>
      <c r="B15" s="250"/>
      <c r="C15" s="250"/>
      <c r="D15" s="250"/>
      <c r="E15" s="250"/>
      <c r="F15" s="250"/>
      <c r="G15" s="250"/>
      <c r="H15" s="250"/>
      <c r="I15" s="250"/>
      <c r="J15" s="250"/>
      <c r="K15" s="250"/>
      <c r="L15" s="250"/>
      <c r="M15" s="250"/>
      <c r="N15" s="250"/>
      <c r="O15" s="250"/>
      <c r="P15" s="251"/>
      <c r="Q15" s="250"/>
      <c r="R15" s="250"/>
      <c r="S15" s="250"/>
      <c r="T15" s="250"/>
      <c r="U15" s="218" t="s">
        <v>666</v>
      </c>
      <c r="V15" s="218">
        <f t="shared" ref="V15:BC15" si="5">ROUND(AVERAGE(V13:V14),3)</f>
        <v>4.9989999999999997</v>
      </c>
      <c r="W15" s="218">
        <f t="shared" si="5"/>
        <v>5.3999999999999999E-2</v>
      </c>
      <c r="X15" s="218">
        <f t="shared" si="5"/>
        <v>0.78</v>
      </c>
      <c r="Y15" s="218">
        <f t="shared" si="5"/>
        <v>0.13900000000000001</v>
      </c>
      <c r="Z15" s="218">
        <f t="shared" si="5"/>
        <v>1.7000000000000001E-2</v>
      </c>
      <c r="AA15" s="218">
        <f t="shared" si="5"/>
        <v>-8888</v>
      </c>
      <c r="AB15" s="218">
        <f t="shared" si="5"/>
        <v>4.2999999999999997E-2</v>
      </c>
      <c r="AC15" s="218">
        <f t="shared" si="5"/>
        <v>0.30599999999999999</v>
      </c>
      <c r="AD15" s="218">
        <f t="shared" si="5"/>
        <v>3.1E-2</v>
      </c>
      <c r="AE15" s="218">
        <f t="shared" si="5"/>
        <v>1.92</v>
      </c>
      <c r="AF15" s="218">
        <f t="shared" si="5"/>
        <v>5.5E-2</v>
      </c>
      <c r="AG15" s="218">
        <f t="shared" si="5"/>
        <v>8.0000000000000002E-3</v>
      </c>
      <c r="AH15" s="218">
        <f t="shared" si="5"/>
        <v>4.5910000000000002</v>
      </c>
      <c r="AI15" s="218">
        <f t="shared" si="5"/>
        <v>-8888</v>
      </c>
      <c r="AJ15" s="218">
        <f t="shared" si="5"/>
        <v>0.40899999999999997</v>
      </c>
      <c r="AK15" s="218">
        <f t="shared" si="5"/>
        <v>5.3999999999999999E-2</v>
      </c>
      <c r="AL15" s="218">
        <f t="shared" si="5"/>
        <v>-8888</v>
      </c>
      <c r="AM15" s="218">
        <f t="shared" si="5"/>
        <v>0.72499999999999998</v>
      </c>
      <c r="AN15" s="218">
        <f t="shared" si="5"/>
        <v>5.5E-2</v>
      </c>
      <c r="AO15" s="218">
        <f t="shared" si="5"/>
        <v>-8888</v>
      </c>
      <c r="AP15" s="218">
        <f t="shared" si="5"/>
        <v>0.01</v>
      </c>
      <c r="AQ15" s="218">
        <f t="shared" si="5"/>
        <v>1.4E-2</v>
      </c>
      <c r="AR15" s="218">
        <f t="shared" si="5"/>
        <v>5.6000000000000001E-2</v>
      </c>
      <c r="AS15" s="218">
        <f t="shared" si="5"/>
        <v>0.224</v>
      </c>
      <c r="AT15" s="218">
        <f t="shared" si="5"/>
        <v>1.2999999999999999E-2</v>
      </c>
      <c r="AU15" s="218">
        <f t="shared" si="5"/>
        <v>-8888</v>
      </c>
      <c r="AV15" s="218">
        <f t="shared" si="5"/>
        <v>5.8330000000000002</v>
      </c>
      <c r="AW15" s="218">
        <f t="shared" si="5"/>
        <v>0.52500000000000002</v>
      </c>
      <c r="AX15" s="218">
        <f t="shared" si="5"/>
        <v>1.9910000000000001</v>
      </c>
      <c r="AY15" s="218">
        <f t="shared" si="5"/>
        <v>7.8239999999999998</v>
      </c>
      <c r="AZ15" s="218">
        <f t="shared" si="5"/>
        <v>2.516</v>
      </c>
      <c r="BA15" s="218">
        <f t="shared" si="5"/>
        <v>3.35</v>
      </c>
      <c r="BB15" s="218">
        <f t="shared" si="5"/>
        <v>8.3490000000000002</v>
      </c>
      <c r="BC15" s="218">
        <f t="shared" si="5"/>
        <v>2.0950000000000002</v>
      </c>
      <c r="BD15" s="217">
        <f t="shared" ref="BD15:BJ15" si="6">ROUND(AVERAGE(BD13:BD14),2)</f>
        <v>0.67</v>
      </c>
      <c r="BE15" s="217">
        <f t="shared" si="6"/>
        <v>0.8</v>
      </c>
      <c r="BF15" s="217">
        <f t="shared" si="6"/>
        <v>0.21</v>
      </c>
      <c r="BG15" s="217">
        <f t="shared" si="6"/>
        <v>2.3199999999999998</v>
      </c>
      <c r="BH15" s="217">
        <f t="shared" si="6"/>
        <v>0.06</v>
      </c>
      <c r="BI15" s="217">
        <f t="shared" si="6"/>
        <v>0.94</v>
      </c>
      <c r="BJ15" s="217">
        <f t="shared" si="6"/>
        <v>0.6</v>
      </c>
      <c r="BK15" s="219"/>
      <c r="BL15" s="219"/>
    </row>
    <row r="16" spans="1:66">
      <c r="A16" s="222"/>
      <c r="B16" s="252"/>
      <c r="C16" s="252"/>
      <c r="D16" s="252"/>
      <c r="E16" s="252"/>
      <c r="F16" s="252"/>
      <c r="G16" s="252"/>
      <c r="H16" s="252"/>
      <c r="I16" s="252"/>
      <c r="J16" s="252"/>
      <c r="K16" s="252"/>
      <c r="L16" s="252"/>
      <c r="M16" s="252"/>
      <c r="N16" s="252"/>
      <c r="O16" s="252"/>
      <c r="P16" s="253"/>
      <c r="Q16" s="252"/>
      <c r="R16" s="252"/>
      <c r="S16" s="252"/>
      <c r="T16" s="252"/>
      <c r="U16" s="222" t="s">
        <v>667</v>
      </c>
      <c r="V16" s="222">
        <f t="shared" ref="V16:BC16" si="7">ROUND(STDEV(V13:V14),3)</f>
        <v>0.21099999999999999</v>
      </c>
      <c r="W16" s="222">
        <f t="shared" si="7"/>
        <v>1E-3</v>
      </c>
      <c r="X16" s="222">
        <f t="shared" si="7"/>
        <v>2.7E-2</v>
      </c>
      <c r="Y16" s="222">
        <f t="shared" si="7"/>
        <v>1E-3</v>
      </c>
      <c r="Z16" s="222">
        <f t="shared" si="7"/>
        <v>1E-3</v>
      </c>
      <c r="AA16" s="222">
        <f t="shared" si="7"/>
        <v>0</v>
      </c>
      <c r="AB16" s="222">
        <f t="shared" si="7"/>
        <v>1E-3</v>
      </c>
      <c r="AC16" s="222">
        <f t="shared" si="7"/>
        <v>2.5999999999999999E-2</v>
      </c>
      <c r="AD16" s="222">
        <f t="shared" si="7"/>
        <v>8.9999999999999993E-3</v>
      </c>
      <c r="AE16" s="222">
        <f t="shared" si="7"/>
        <v>0.14099999999999999</v>
      </c>
      <c r="AF16" s="222">
        <f t="shared" si="7"/>
        <v>0</v>
      </c>
      <c r="AG16" s="222">
        <f t="shared" si="7"/>
        <v>1E-3</v>
      </c>
      <c r="AH16" s="222">
        <f t="shared" si="7"/>
        <v>0.29499999999999998</v>
      </c>
      <c r="AI16" s="222">
        <f t="shared" si="7"/>
        <v>0</v>
      </c>
      <c r="AJ16" s="222">
        <f t="shared" si="7"/>
        <v>8.4000000000000005E-2</v>
      </c>
      <c r="AK16" s="222">
        <f t="shared" si="7"/>
        <v>1E-3</v>
      </c>
      <c r="AL16" s="222">
        <f t="shared" si="7"/>
        <v>0</v>
      </c>
      <c r="AM16" s="222">
        <f t="shared" si="7"/>
        <v>2.4E-2</v>
      </c>
      <c r="AN16" s="222">
        <f t="shared" si="7"/>
        <v>3.0000000000000001E-3</v>
      </c>
      <c r="AO16" s="222">
        <f t="shared" si="7"/>
        <v>0</v>
      </c>
      <c r="AP16" s="222">
        <f t="shared" si="7"/>
        <v>0</v>
      </c>
      <c r="AQ16" s="222">
        <f t="shared" si="7"/>
        <v>1E-3</v>
      </c>
      <c r="AR16" s="222">
        <f t="shared" si="7"/>
        <v>6.0000000000000001E-3</v>
      </c>
      <c r="AS16" s="222">
        <f t="shared" si="7"/>
        <v>5.0000000000000001E-3</v>
      </c>
      <c r="AT16" s="222">
        <f t="shared" si="7"/>
        <v>0</v>
      </c>
      <c r="AU16" s="222">
        <f t="shared" si="7"/>
        <v>0</v>
      </c>
      <c r="AV16" s="222">
        <f t="shared" si="7"/>
        <v>0.23899999999999999</v>
      </c>
      <c r="AW16" s="222">
        <f t="shared" si="7"/>
        <v>1.6E-2</v>
      </c>
      <c r="AX16" s="222">
        <f t="shared" si="7"/>
        <v>0.14000000000000001</v>
      </c>
      <c r="AY16" s="222">
        <f t="shared" si="7"/>
        <v>0.379</v>
      </c>
      <c r="AZ16" s="222">
        <f t="shared" si="7"/>
        <v>0.156</v>
      </c>
      <c r="BA16" s="222">
        <f t="shared" si="7"/>
        <v>0.184</v>
      </c>
      <c r="BB16" s="222">
        <f t="shared" si="7"/>
        <v>0.39500000000000002</v>
      </c>
      <c r="BC16" s="222">
        <f t="shared" si="7"/>
        <v>0.14099999999999999</v>
      </c>
      <c r="BD16" s="221">
        <f t="shared" ref="BD16:BJ16" si="8">ROUND(STDEV(BD13:BD14),2)</f>
        <v>0.01</v>
      </c>
      <c r="BE16" s="221">
        <f t="shared" si="8"/>
        <v>0.01</v>
      </c>
      <c r="BF16" s="221">
        <f t="shared" si="8"/>
        <v>0.01</v>
      </c>
      <c r="BG16" s="221">
        <f t="shared" si="8"/>
        <v>0.04</v>
      </c>
      <c r="BH16" s="221">
        <f t="shared" si="8"/>
        <v>0</v>
      </c>
      <c r="BI16" s="221">
        <f t="shared" si="8"/>
        <v>0</v>
      </c>
      <c r="BJ16" s="221">
        <f t="shared" si="8"/>
        <v>0</v>
      </c>
      <c r="BK16" s="223"/>
      <c r="BL16" s="223"/>
    </row>
    <row r="17" spans="1:64">
      <c r="A17" s="224"/>
      <c r="B17" s="254"/>
      <c r="C17" s="254"/>
      <c r="D17" s="254"/>
      <c r="E17" s="254"/>
      <c r="F17" s="254"/>
      <c r="G17" s="254"/>
      <c r="H17" s="254"/>
      <c r="I17" s="254"/>
      <c r="J17" s="254"/>
      <c r="K17" s="254"/>
      <c r="L17" s="254"/>
      <c r="M17" s="254"/>
      <c r="N17" s="254"/>
      <c r="O17" s="254"/>
      <c r="P17" s="255"/>
      <c r="Q17" s="254"/>
      <c r="R17" s="254"/>
      <c r="S17" s="254"/>
      <c r="T17" s="254"/>
      <c r="U17" s="225" t="s">
        <v>649</v>
      </c>
      <c r="V17" s="226">
        <f t="shared" ref="V17:BJ17" si="9">ROUND((V16/V15),4)</f>
        <v>4.2200000000000001E-2</v>
      </c>
      <c r="W17" s="226">
        <f t="shared" si="9"/>
        <v>1.8499999999999999E-2</v>
      </c>
      <c r="X17" s="226">
        <f t="shared" si="9"/>
        <v>3.4599999999999999E-2</v>
      </c>
      <c r="Y17" s="226">
        <f t="shared" si="9"/>
        <v>7.1999999999999998E-3</v>
      </c>
      <c r="Z17" s="226">
        <f t="shared" si="9"/>
        <v>5.8799999999999998E-2</v>
      </c>
      <c r="AA17" s="226">
        <f t="shared" si="9"/>
        <v>0</v>
      </c>
      <c r="AB17" s="226">
        <f t="shared" si="9"/>
        <v>2.3300000000000001E-2</v>
      </c>
      <c r="AC17" s="226">
        <f t="shared" si="9"/>
        <v>8.5000000000000006E-2</v>
      </c>
      <c r="AD17" s="226">
        <f t="shared" si="9"/>
        <v>0.2903</v>
      </c>
      <c r="AE17" s="226">
        <f t="shared" si="9"/>
        <v>7.3400000000000007E-2</v>
      </c>
      <c r="AF17" s="226">
        <f t="shared" si="9"/>
        <v>0</v>
      </c>
      <c r="AG17" s="226">
        <f t="shared" si="9"/>
        <v>0.125</v>
      </c>
      <c r="AH17" s="226">
        <f t="shared" si="9"/>
        <v>6.4299999999999996E-2</v>
      </c>
      <c r="AI17" s="226">
        <f t="shared" si="9"/>
        <v>0</v>
      </c>
      <c r="AJ17" s="226">
        <f t="shared" si="9"/>
        <v>0.2054</v>
      </c>
      <c r="AK17" s="226">
        <f t="shared" si="9"/>
        <v>1.8499999999999999E-2</v>
      </c>
      <c r="AL17" s="226">
        <f t="shared" si="9"/>
        <v>0</v>
      </c>
      <c r="AM17" s="226">
        <f t="shared" si="9"/>
        <v>3.3099999999999997E-2</v>
      </c>
      <c r="AN17" s="226">
        <f t="shared" si="9"/>
        <v>5.45E-2</v>
      </c>
      <c r="AO17" s="226">
        <f t="shared" si="9"/>
        <v>0</v>
      </c>
      <c r="AP17" s="226">
        <f t="shared" si="9"/>
        <v>0</v>
      </c>
      <c r="AQ17" s="226">
        <f t="shared" si="9"/>
        <v>7.1400000000000005E-2</v>
      </c>
      <c r="AR17" s="226">
        <f t="shared" si="9"/>
        <v>0.1071</v>
      </c>
      <c r="AS17" s="226">
        <f t="shared" si="9"/>
        <v>2.23E-2</v>
      </c>
      <c r="AT17" s="226">
        <f t="shared" si="9"/>
        <v>0</v>
      </c>
      <c r="AU17" s="226">
        <f t="shared" si="9"/>
        <v>0</v>
      </c>
      <c r="AV17" s="226">
        <f t="shared" si="9"/>
        <v>4.1000000000000002E-2</v>
      </c>
      <c r="AW17" s="226">
        <f t="shared" si="9"/>
        <v>3.0499999999999999E-2</v>
      </c>
      <c r="AX17" s="226">
        <f t="shared" si="9"/>
        <v>7.0300000000000001E-2</v>
      </c>
      <c r="AY17" s="226">
        <f t="shared" si="9"/>
        <v>4.8399999999999999E-2</v>
      </c>
      <c r="AZ17" s="226">
        <f t="shared" si="9"/>
        <v>6.2E-2</v>
      </c>
      <c r="BA17" s="226">
        <f t="shared" si="9"/>
        <v>5.4899999999999997E-2</v>
      </c>
      <c r="BB17" s="226">
        <f t="shared" si="9"/>
        <v>4.7300000000000002E-2</v>
      </c>
      <c r="BC17" s="226">
        <f t="shared" si="9"/>
        <v>6.7299999999999999E-2</v>
      </c>
      <c r="BD17" s="226">
        <f t="shared" si="9"/>
        <v>1.49E-2</v>
      </c>
      <c r="BE17" s="226">
        <f t="shared" si="9"/>
        <v>1.2500000000000001E-2</v>
      </c>
      <c r="BF17" s="226">
        <f t="shared" si="9"/>
        <v>4.7600000000000003E-2</v>
      </c>
      <c r="BG17" s="226">
        <f t="shared" si="9"/>
        <v>1.72E-2</v>
      </c>
      <c r="BH17" s="226">
        <f t="shared" si="9"/>
        <v>0</v>
      </c>
      <c r="BI17" s="226">
        <f t="shared" si="9"/>
        <v>0</v>
      </c>
      <c r="BJ17" s="226">
        <f t="shared" si="9"/>
        <v>0</v>
      </c>
      <c r="BK17" s="227">
        <f>V17</f>
        <v>4.2200000000000001E-2</v>
      </c>
      <c r="BL17" s="227">
        <f t="array" ref="BL17">AVERAGE(IF(V17:AG17&gt;-0.001,V17:AG17,""))</f>
        <v>6.3191666666666674E-2</v>
      </c>
    </row>
    <row r="18" spans="1:64">
      <c r="A18" s="246" t="s">
        <v>304</v>
      </c>
      <c r="B18" s="246" t="s">
        <v>435</v>
      </c>
      <c r="C18" s="246" t="s">
        <v>439</v>
      </c>
      <c r="D18" s="246" t="s">
        <v>437</v>
      </c>
      <c r="E18" s="246" t="s">
        <v>272</v>
      </c>
      <c r="F18" s="246">
        <v>535</v>
      </c>
      <c r="G18" s="246">
        <v>1</v>
      </c>
      <c r="H18" s="246">
        <v>19</v>
      </c>
      <c r="I18" s="246">
        <v>2.7</v>
      </c>
      <c r="J18" s="246">
        <v>21</v>
      </c>
      <c r="K18" s="246" t="s">
        <v>570</v>
      </c>
      <c r="L18" s="246">
        <v>2018</v>
      </c>
      <c r="M18" s="246" t="s">
        <v>571</v>
      </c>
      <c r="N18" s="246">
        <v>31</v>
      </c>
      <c r="O18" s="246">
        <v>31</v>
      </c>
      <c r="P18" s="247" t="s">
        <v>572</v>
      </c>
      <c r="Q18" s="246">
        <v>-70.879000000000005</v>
      </c>
      <c r="R18" s="246">
        <v>41.197000000000003</v>
      </c>
      <c r="S18" s="246" t="s">
        <v>271</v>
      </c>
      <c r="T18" s="246">
        <v>25</v>
      </c>
      <c r="U18" s="246" t="s">
        <v>573</v>
      </c>
      <c r="V18" s="248">
        <v>5.024</v>
      </c>
      <c r="W18" s="248">
        <v>6.4000000000000001E-2</v>
      </c>
      <c r="X18" s="248">
        <v>0.78700000000000003</v>
      </c>
      <c r="Y18" s="248">
        <v>0.15</v>
      </c>
      <c r="Z18" s="248">
        <v>1.7999999999999999E-2</v>
      </c>
      <c r="AA18" s="248">
        <v>-8888</v>
      </c>
      <c r="AB18" s="248">
        <v>4.2000000000000003E-2</v>
      </c>
      <c r="AC18" s="248">
        <v>0.29399999999999998</v>
      </c>
      <c r="AD18" s="248">
        <v>4.4999999999999998E-2</v>
      </c>
      <c r="AE18" s="248">
        <v>1.92</v>
      </c>
      <c r="AF18" s="248">
        <v>5.2999999999999999E-2</v>
      </c>
      <c r="AG18" s="248">
        <v>8.0000000000000002E-3</v>
      </c>
      <c r="AH18" s="248">
        <v>4.4749999999999996</v>
      </c>
      <c r="AI18" s="248">
        <v>-8888</v>
      </c>
      <c r="AJ18" s="248">
        <v>0.54900000000000004</v>
      </c>
      <c r="AK18" s="248">
        <v>6.4000000000000001E-2</v>
      </c>
      <c r="AL18" s="248">
        <v>-8888</v>
      </c>
      <c r="AM18" s="248">
        <v>0.73499999999999999</v>
      </c>
      <c r="AN18" s="248">
        <v>5.1999999999999998E-2</v>
      </c>
      <c r="AO18" s="248">
        <v>-8888</v>
      </c>
      <c r="AP18" s="248">
        <v>8.9999999999999993E-3</v>
      </c>
      <c r="AQ18" s="248">
        <v>1.4999999999999999E-2</v>
      </c>
      <c r="AR18" s="248">
        <v>5.1999999999999998E-2</v>
      </c>
      <c r="AS18" s="248">
        <v>0.254</v>
      </c>
      <c r="AT18" s="248">
        <v>1.4999999999999999E-2</v>
      </c>
      <c r="AU18" s="248">
        <v>-8888</v>
      </c>
      <c r="AV18" s="248">
        <v>5.875</v>
      </c>
      <c r="AW18" s="248">
        <v>0.53899999999999992</v>
      </c>
      <c r="AX18" s="248">
        <v>1.9909999999999999</v>
      </c>
      <c r="AY18" s="248">
        <v>7.8659999999999997</v>
      </c>
      <c r="AZ18" s="248">
        <v>2.5299999999999998</v>
      </c>
      <c r="BA18" s="248">
        <v>3.3809999999999998</v>
      </c>
      <c r="BB18" s="248">
        <v>8.4049999999999994</v>
      </c>
      <c r="BC18" s="248">
        <v>2.105</v>
      </c>
      <c r="BD18" s="249">
        <v>0.67</v>
      </c>
      <c r="BE18" s="249">
        <v>0.79</v>
      </c>
      <c r="BF18" s="249">
        <v>0.21</v>
      </c>
      <c r="BG18" s="249">
        <v>2.3199999999999998</v>
      </c>
      <c r="BH18" s="249">
        <v>0.06</v>
      </c>
      <c r="BI18" s="249">
        <v>0.94</v>
      </c>
      <c r="BJ18" s="249">
        <v>0.6</v>
      </c>
      <c r="BK18" s="244"/>
      <c r="BL18" s="244"/>
    </row>
    <row r="19" spans="1:64">
      <c r="A19" s="246" t="s">
        <v>307</v>
      </c>
      <c r="B19" s="246" t="s">
        <v>435</v>
      </c>
      <c r="C19" s="246" t="s">
        <v>442</v>
      </c>
      <c r="D19" s="246" t="s">
        <v>437</v>
      </c>
      <c r="E19" s="246" t="s">
        <v>272</v>
      </c>
      <c r="F19" s="246">
        <v>540</v>
      </c>
      <c r="G19" s="246">
        <v>1</v>
      </c>
      <c r="H19" s="246">
        <v>19</v>
      </c>
      <c r="I19" s="246">
        <v>2.7</v>
      </c>
      <c r="J19" s="246">
        <v>21</v>
      </c>
      <c r="K19" s="246" t="s">
        <v>570</v>
      </c>
      <c r="L19" s="246">
        <v>2018</v>
      </c>
      <c r="M19" s="246" t="s">
        <v>571</v>
      </c>
      <c r="N19" s="246">
        <v>31</v>
      </c>
      <c r="O19" s="246">
        <v>31</v>
      </c>
      <c r="P19" s="247" t="s">
        <v>572</v>
      </c>
      <c r="Q19" s="246">
        <v>-70.879000000000005</v>
      </c>
      <c r="R19" s="246">
        <v>41.197000000000003</v>
      </c>
      <c r="S19" s="246" t="s">
        <v>271</v>
      </c>
      <c r="T19" s="246">
        <v>25</v>
      </c>
      <c r="U19" s="246" t="s">
        <v>573</v>
      </c>
      <c r="V19" s="248">
        <v>5.17</v>
      </c>
      <c r="W19" s="248">
        <v>7.4999999999999997E-2</v>
      </c>
      <c r="X19" s="248">
        <v>0.81</v>
      </c>
      <c r="Y19" s="248">
        <v>0.13900000000000001</v>
      </c>
      <c r="Z19" s="248">
        <v>1.6E-2</v>
      </c>
      <c r="AA19" s="248">
        <v>-8888</v>
      </c>
      <c r="AB19" s="248">
        <v>5.1999999999999998E-2</v>
      </c>
      <c r="AC19" s="248">
        <v>0.317</v>
      </c>
      <c r="AD19" s="248">
        <v>3.5000000000000003E-2</v>
      </c>
      <c r="AE19" s="248">
        <v>2.048</v>
      </c>
      <c r="AF19" s="248">
        <v>4.9000000000000002E-2</v>
      </c>
      <c r="AG19" s="248">
        <v>8.0000000000000002E-3</v>
      </c>
      <c r="AH19" s="248">
        <v>4.8419999999999996</v>
      </c>
      <c r="AI19" s="248">
        <v>-8888</v>
      </c>
      <c r="AJ19" s="248">
        <v>0.32800000000000001</v>
      </c>
      <c r="AK19" s="248">
        <v>7.4999999999999997E-2</v>
      </c>
      <c r="AL19" s="248">
        <v>-8888</v>
      </c>
      <c r="AM19" s="248">
        <v>0.748</v>
      </c>
      <c r="AN19" s="248">
        <v>6.2E-2</v>
      </c>
      <c r="AO19" s="248">
        <v>-8888</v>
      </c>
      <c r="AP19" s="248">
        <v>8.9999999999999993E-3</v>
      </c>
      <c r="AQ19" s="248">
        <v>1.7000000000000001E-2</v>
      </c>
      <c r="AR19" s="248">
        <v>6.0999999999999999E-2</v>
      </c>
      <c r="AS19" s="248">
        <v>0.245</v>
      </c>
      <c r="AT19" s="248">
        <v>1.9E-2</v>
      </c>
      <c r="AU19" s="248">
        <v>-8888</v>
      </c>
      <c r="AV19" s="248">
        <v>6.0549999999999997</v>
      </c>
      <c r="AW19" s="248">
        <v>0.55100000000000005</v>
      </c>
      <c r="AX19" s="248">
        <v>2.113</v>
      </c>
      <c r="AY19" s="248">
        <v>8.1679999999999993</v>
      </c>
      <c r="AZ19" s="248">
        <v>2.6640000000000001</v>
      </c>
      <c r="BA19" s="248">
        <v>3.5490000000000004</v>
      </c>
      <c r="BB19" s="248">
        <v>8.7190000000000012</v>
      </c>
      <c r="BC19" s="248">
        <v>2.2480000000000002</v>
      </c>
      <c r="BD19" s="249">
        <v>0.69</v>
      </c>
      <c r="BE19" s="249">
        <v>0.79</v>
      </c>
      <c r="BF19" s="249">
        <v>0.21</v>
      </c>
      <c r="BG19" s="249">
        <v>2.27</v>
      </c>
      <c r="BH19" s="249">
        <v>0.06</v>
      </c>
      <c r="BI19" s="249">
        <v>0.94</v>
      </c>
      <c r="BJ19" s="249">
        <v>0.59</v>
      </c>
      <c r="BK19" s="244"/>
      <c r="BL19" s="244"/>
    </row>
    <row r="20" spans="1:64">
      <c r="A20" s="218"/>
      <c r="B20" s="250"/>
      <c r="C20" s="250"/>
      <c r="D20" s="250"/>
      <c r="E20" s="250"/>
      <c r="F20" s="250"/>
      <c r="G20" s="250"/>
      <c r="H20" s="250"/>
      <c r="I20" s="250"/>
      <c r="J20" s="250"/>
      <c r="K20" s="250"/>
      <c r="L20" s="250"/>
      <c r="M20" s="250"/>
      <c r="N20" s="250"/>
      <c r="O20" s="250"/>
      <c r="P20" s="251"/>
      <c r="Q20" s="250"/>
      <c r="R20" s="250"/>
      <c r="S20" s="250"/>
      <c r="T20" s="250"/>
      <c r="U20" s="218" t="s">
        <v>666</v>
      </c>
      <c r="V20" s="218">
        <f t="shared" ref="V20:BC20" si="10">ROUND(AVERAGE(V18:V19),3)</f>
        <v>5.0970000000000004</v>
      </c>
      <c r="W20" s="218">
        <f t="shared" si="10"/>
        <v>7.0000000000000007E-2</v>
      </c>
      <c r="X20" s="218">
        <f t="shared" si="10"/>
        <v>0.79900000000000004</v>
      </c>
      <c r="Y20" s="218">
        <f t="shared" si="10"/>
        <v>0.14499999999999999</v>
      </c>
      <c r="Z20" s="218">
        <f t="shared" si="10"/>
        <v>1.7000000000000001E-2</v>
      </c>
      <c r="AA20" s="218">
        <f t="shared" si="10"/>
        <v>-8888</v>
      </c>
      <c r="AB20" s="218">
        <f t="shared" si="10"/>
        <v>4.7E-2</v>
      </c>
      <c r="AC20" s="218">
        <f t="shared" si="10"/>
        <v>0.30599999999999999</v>
      </c>
      <c r="AD20" s="218">
        <f t="shared" si="10"/>
        <v>0.04</v>
      </c>
      <c r="AE20" s="218">
        <f t="shared" si="10"/>
        <v>1.984</v>
      </c>
      <c r="AF20" s="218">
        <f t="shared" si="10"/>
        <v>5.0999999999999997E-2</v>
      </c>
      <c r="AG20" s="218">
        <f t="shared" si="10"/>
        <v>8.0000000000000002E-3</v>
      </c>
      <c r="AH20" s="218">
        <f t="shared" si="10"/>
        <v>4.6589999999999998</v>
      </c>
      <c r="AI20" s="218">
        <f t="shared" si="10"/>
        <v>-8888</v>
      </c>
      <c r="AJ20" s="218">
        <f t="shared" si="10"/>
        <v>0.439</v>
      </c>
      <c r="AK20" s="218">
        <f t="shared" si="10"/>
        <v>7.0000000000000007E-2</v>
      </c>
      <c r="AL20" s="218">
        <f t="shared" si="10"/>
        <v>-8888</v>
      </c>
      <c r="AM20" s="218">
        <f t="shared" si="10"/>
        <v>0.74199999999999999</v>
      </c>
      <c r="AN20" s="218">
        <f t="shared" si="10"/>
        <v>5.7000000000000002E-2</v>
      </c>
      <c r="AO20" s="218">
        <f t="shared" si="10"/>
        <v>-8888</v>
      </c>
      <c r="AP20" s="218">
        <f t="shared" si="10"/>
        <v>8.9999999999999993E-3</v>
      </c>
      <c r="AQ20" s="218">
        <f t="shared" si="10"/>
        <v>1.6E-2</v>
      </c>
      <c r="AR20" s="218">
        <f t="shared" si="10"/>
        <v>5.7000000000000002E-2</v>
      </c>
      <c r="AS20" s="218">
        <f t="shared" si="10"/>
        <v>0.25</v>
      </c>
      <c r="AT20" s="218">
        <f t="shared" si="10"/>
        <v>1.7000000000000001E-2</v>
      </c>
      <c r="AU20" s="218">
        <f t="shared" si="10"/>
        <v>-8888</v>
      </c>
      <c r="AV20" s="218">
        <f t="shared" si="10"/>
        <v>5.9649999999999999</v>
      </c>
      <c r="AW20" s="218">
        <f t="shared" si="10"/>
        <v>0.54500000000000004</v>
      </c>
      <c r="AX20" s="218">
        <f t="shared" si="10"/>
        <v>2.052</v>
      </c>
      <c r="AY20" s="218">
        <f t="shared" si="10"/>
        <v>8.0169999999999995</v>
      </c>
      <c r="AZ20" s="218">
        <f t="shared" si="10"/>
        <v>2.597</v>
      </c>
      <c r="BA20" s="218">
        <f t="shared" si="10"/>
        <v>3.4649999999999999</v>
      </c>
      <c r="BB20" s="218">
        <f t="shared" si="10"/>
        <v>8.5619999999999994</v>
      </c>
      <c r="BC20" s="218">
        <f t="shared" si="10"/>
        <v>2.177</v>
      </c>
      <c r="BD20" s="217">
        <f t="shared" ref="BD20:BJ20" si="11">ROUND(AVERAGE(BD18:BD19),2)</f>
        <v>0.68</v>
      </c>
      <c r="BE20" s="217">
        <f t="shared" si="11"/>
        <v>0.79</v>
      </c>
      <c r="BF20" s="217">
        <f t="shared" si="11"/>
        <v>0.21</v>
      </c>
      <c r="BG20" s="217">
        <f t="shared" si="11"/>
        <v>2.2999999999999998</v>
      </c>
      <c r="BH20" s="217">
        <f t="shared" si="11"/>
        <v>0.06</v>
      </c>
      <c r="BI20" s="217">
        <f t="shared" si="11"/>
        <v>0.94</v>
      </c>
      <c r="BJ20" s="217">
        <f t="shared" si="11"/>
        <v>0.6</v>
      </c>
      <c r="BK20" s="219"/>
      <c r="BL20" s="219"/>
    </row>
    <row r="21" spans="1:64">
      <c r="A21" s="222"/>
      <c r="B21" s="252"/>
      <c r="C21" s="252"/>
      <c r="D21" s="252"/>
      <c r="E21" s="252"/>
      <c r="F21" s="252"/>
      <c r="G21" s="252"/>
      <c r="H21" s="252"/>
      <c r="I21" s="252"/>
      <c r="J21" s="252"/>
      <c r="K21" s="252"/>
      <c r="L21" s="252"/>
      <c r="M21" s="252"/>
      <c r="N21" s="252"/>
      <c r="O21" s="252"/>
      <c r="P21" s="253"/>
      <c r="Q21" s="252"/>
      <c r="R21" s="252"/>
      <c r="S21" s="252"/>
      <c r="T21" s="252"/>
      <c r="U21" s="222" t="s">
        <v>667</v>
      </c>
      <c r="V21" s="222">
        <f t="shared" ref="V21:BC21" si="12">ROUND(STDEV(V18:V19),3)</f>
        <v>0.10299999999999999</v>
      </c>
      <c r="W21" s="222">
        <f t="shared" si="12"/>
        <v>8.0000000000000002E-3</v>
      </c>
      <c r="X21" s="222">
        <f t="shared" si="12"/>
        <v>1.6E-2</v>
      </c>
      <c r="Y21" s="222">
        <f t="shared" si="12"/>
        <v>8.0000000000000002E-3</v>
      </c>
      <c r="Z21" s="222">
        <f t="shared" si="12"/>
        <v>1E-3</v>
      </c>
      <c r="AA21" s="222">
        <f t="shared" si="12"/>
        <v>0</v>
      </c>
      <c r="AB21" s="222">
        <f t="shared" si="12"/>
        <v>7.0000000000000001E-3</v>
      </c>
      <c r="AC21" s="222">
        <f t="shared" si="12"/>
        <v>1.6E-2</v>
      </c>
      <c r="AD21" s="222">
        <f t="shared" si="12"/>
        <v>7.0000000000000001E-3</v>
      </c>
      <c r="AE21" s="222">
        <f t="shared" si="12"/>
        <v>9.0999999999999998E-2</v>
      </c>
      <c r="AF21" s="222">
        <f t="shared" si="12"/>
        <v>3.0000000000000001E-3</v>
      </c>
      <c r="AG21" s="222">
        <f t="shared" si="12"/>
        <v>0</v>
      </c>
      <c r="AH21" s="222">
        <f t="shared" si="12"/>
        <v>0.26</v>
      </c>
      <c r="AI21" s="222">
        <f t="shared" si="12"/>
        <v>0</v>
      </c>
      <c r="AJ21" s="222">
        <f t="shared" si="12"/>
        <v>0.156</v>
      </c>
      <c r="AK21" s="222">
        <f t="shared" si="12"/>
        <v>8.0000000000000002E-3</v>
      </c>
      <c r="AL21" s="222">
        <f t="shared" si="12"/>
        <v>0</v>
      </c>
      <c r="AM21" s="222">
        <f t="shared" si="12"/>
        <v>8.9999999999999993E-3</v>
      </c>
      <c r="AN21" s="222">
        <f t="shared" si="12"/>
        <v>7.0000000000000001E-3</v>
      </c>
      <c r="AO21" s="222">
        <f t="shared" si="12"/>
        <v>0</v>
      </c>
      <c r="AP21" s="222">
        <f t="shared" si="12"/>
        <v>0</v>
      </c>
      <c r="AQ21" s="222">
        <f t="shared" si="12"/>
        <v>1E-3</v>
      </c>
      <c r="AR21" s="222">
        <f t="shared" si="12"/>
        <v>6.0000000000000001E-3</v>
      </c>
      <c r="AS21" s="222">
        <f t="shared" si="12"/>
        <v>6.0000000000000001E-3</v>
      </c>
      <c r="AT21" s="222">
        <f t="shared" si="12"/>
        <v>3.0000000000000001E-3</v>
      </c>
      <c r="AU21" s="222">
        <f t="shared" si="12"/>
        <v>0</v>
      </c>
      <c r="AV21" s="222">
        <f t="shared" si="12"/>
        <v>0.127</v>
      </c>
      <c r="AW21" s="222">
        <f t="shared" si="12"/>
        <v>8.0000000000000002E-3</v>
      </c>
      <c r="AX21" s="222">
        <f t="shared" si="12"/>
        <v>8.5999999999999993E-2</v>
      </c>
      <c r="AY21" s="222">
        <f t="shared" si="12"/>
        <v>0.214</v>
      </c>
      <c r="AZ21" s="222">
        <f t="shared" si="12"/>
        <v>9.5000000000000001E-2</v>
      </c>
      <c r="BA21" s="222">
        <f t="shared" si="12"/>
        <v>0.11899999999999999</v>
      </c>
      <c r="BB21" s="222">
        <f t="shared" si="12"/>
        <v>0.222</v>
      </c>
      <c r="BC21" s="222">
        <f t="shared" si="12"/>
        <v>0.10100000000000001</v>
      </c>
      <c r="BD21" s="221">
        <f t="shared" ref="BD21:BJ21" si="13">ROUND(STDEV(BD18:BD19),2)</f>
        <v>0.01</v>
      </c>
      <c r="BE21" s="221">
        <f t="shared" si="13"/>
        <v>0</v>
      </c>
      <c r="BF21" s="221">
        <f t="shared" si="13"/>
        <v>0</v>
      </c>
      <c r="BG21" s="221">
        <f t="shared" si="13"/>
        <v>0.04</v>
      </c>
      <c r="BH21" s="221">
        <f t="shared" si="13"/>
        <v>0</v>
      </c>
      <c r="BI21" s="221">
        <f t="shared" si="13"/>
        <v>0</v>
      </c>
      <c r="BJ21" s="221">
        <f t="shared" si="13"/>
        <v>0.01</v>
      </c>
      <c r="BK21" s="223"/>
      <c r="BL21" s="223"/>
    </row>
    <row r="22" spans="1:64">
      <c r="A22" s="224"/>
      <c r="B22" s="254"/>
      <c r="C22" s="254"/>
      <c r="D22" s="254"/>
      <c r="E22" s="254"/>
      <c r="F22" s="254"/>
      <c r="G22" s="254"/>
      <c r="H22" s="254"/>
      <c r="I22" s="254"/>
      <c r="J22" s="254"/>
      <c r="K22" s="254"/>
      <c r="L22" s="254"/>
      <c r="M22" s="254"/>
      <c r="N22" s="254"/>
      <c r="O22" s="254"/>
      <c r="P22" s="255"/>
      <c r="Q22" s="254"/>
      <c r="R22" s="254"/>
      <c r="S22" s="254"/>
      <c r="T22" s="254"/>
      <c r="U22" s="225" t="s">
        <v>649</v>
      </c>
      <c r="V22" s="226">
        <f t="shared" ref="V22:BJ22" si="14">ROUND((V21/V20),4)</f>
        <v>2.0199999999999999E-2</v>
      </c>
      <c r="W22" s="226">
        <f t="shared" si="14"/>
        <v>0.1143</v>
      </c>
      <c r="X22" s="226">
        <f t="shared" si="14"/>
        <v>0.02</v>
      </c>
      <c r="Y22" s="226">
        <f t="shared" si="14"/>
        <v>5.5199999999999999E-2</v>
      </c>
      <c r="Z22" s="226">
        <f t="shared" si="14"/>
        <v>5.8799999999999998E-2</v>
      </c>
      <c r="AA22" s="226">
        <f t="shared" si="14"/>
        <v>0</v>
      </c>
      <c r="AB22" s="226">
        <f t="shared" si="14"/>
        <v>0.1489</v>
      </c>
      <c r="AC22" s="226">
        <f t="shared" si="14"/>
        <v>5.2299999999999999E-2</v>
      </c>
      <c r="AD22" s="226">
        <f t="shared" si="14"/>
        <v>0.17499999999999999</v>
      </c>
      <c r="AE22" s="226">
        <f t="shared" si="14"/>
        <v>4.5900000000000003E-2</v>
      </c>
      <c r="AF22" s="226">
        <f t="shared" si="14"/>
        <v>5.8799999999999998E-2</v>
      </c>
      <c r="AG22" s="226">
        <f t="shared" si="14"/>
        <v>0</v>
      </c>
      <c r="AH22" s="226">
        <f t="shared" si="14"/>
        <v>5.5800000000000002E-2</v>
      </c>
      <c r="AI22" s="226">
        <f t="shared" si="14"/>
        <v>0</v>
      </c>
      <c r="AJ22" s="226">
        <f t="shared" si="14"/>
        <v>0.35539999999999999</v>
      </c>
      <c r="AK22" s="226">
        <f t="shared" si="14"/>
        <v>0.1143</v>
      </c>
      <c r="AL22" s="226">
        <f t="shared" si="14"/>
        <v>0</v>
      </c>
      <c r="AM22" s="226">
        <f t="shared" si="14"/>
        <v>1.21E-2</v>
      </c>
      <c r="AN22" s="226">
        <f t="shared" si="14"/>
        <v>0.12280000000000001</v>
      </c>
      <c r="AO22" s="226">
        <f t="shared" si="14"/>
        <v>0</v>
      </c>
      <c r="AP22" s="226">
        <f t="shared" si="14"/>
        <v>0</v>
      </c>
      <c r="AQ22" s="226">
        <f t="shared" si="14"/>
        <v>6.25E-2</v>
      </c>
      <c r="AR22" s="226">
        <f t="shared" si="14"/>
        <v>0.1053</v>
      </c>
      <c r="AS22" s="226">
        <f t="shared" si="14"/>
        <v>2.4E-2</v>
      </c>
      <c r="AT22" s="226">
        <f t="shared" si="14"/>
        <v>0.17649999999999999</v>
      </c>
      <c r="AU22" s="226">
        <f t="shared" si="14"/>
        <v>0</v>
      </c>
      <c r="AV22" s="226">
        <f t="shared" si="14"/>
        <v>2.1299999999999999E-2</v>
      </c>
      <c r="AW22" s="226">
        <f t="shared" si="14"/>
        <v>1.47E-2</v>
      </c>
      <c r="AX22" s="226">
        <f t="shared" si="14"/>
        <v>4.19E-2</v>
      </c>
      <c r="AY22" s="226">
        <f t="shared" si="14"/>
        <v>2.6700000000000002E-2</v>
      </c>
      <c r="AZ22" s="226">
        <f t="shared" si="14"/>
        <v>3.6600000000000001E-2</v>
      </c>
      <c r="BA22" s="226">
        <f t="shared" si="14"/>
        <v>3.4299999999999997E-2</v>
      </c>
      <c r="BB22" s="226">
        <f t="shared" si="14"/>
        <v>2.5899999999999999E-2</v>
      </c>
      <c r="BC22" s="226">
        <f t="shared" si="14"/>
        <v>4.6399999999999997E-2</v>
      </c>
      <c r="BD22" s="226">
        <f t="shared" si="14"/>
        <v>1.47E-2</v>
      </c>
      <c r="BE22" s="226">
        <f t="shared" si="14"/>
        <v>0</v>
      </c>
      <c r="BF22" s="226">
        <f t="shared" si="14"/>
        <v>0</v>
      </c>
      <c r="BG22" s="226">
        <f t="shared" si="14"/>
        <v>1.7399999999999999E-2</v>
      </c>
      <c r="BH22" s="226">
        <f t="shared" si="14"/>
        <v>0</v>
      </c>
      <c r="BI22" s="226">
        <f t="shared" si="14"/>
        <v>0</v>
      </c>
      <c r="BJ22" s="226">
        <f t="shared" si="14"/>
        <v>1.67E-2</v>
      </c>
      <c r="BK22" s="227">
        <f>V22</f>
        <v>2.0199999999999999E-2</v>
      </c>
      <c r="BL22" s="227">
        <f t="array" ref="BL22">AVERAGE(IF(V22:AG22&gt;-0.001,V22:AG22,""))</f>
        <v>6.2450000000000006E-2</v>
      </c>
    </row>
    <row r="23" spans="1:64">
      <c r="A23" s="246" t="s">
        <v>335</v>
      </c>
      <c r="B23" s="246" t="s">
        <v>435</v>
      </c>
      <c r="C23" s="246" t="s">
        <v>469</v>
      </c>
      <c r="D23" s="246" t="s">
        <v>437</v>
      </c>
      <c r="E23" s="246" t="s">
        <v>272</v>
      </c>
      <c r="F23" s="246">
        <v>535</v>
      </c>
      <c r="G23" s="246">
        <v>30</v>
      </c>
      <c r="H23" s="246">
        <v>9</v>
      </c>
      <c r="I23" s="246">
        <v>4</v>
      </c>
      <c r="J23" s="246">
        <v>17</v>
      </c>
      <c r="K23" s="246" t="s">
        <v>570</v>
      </c>
      <c r="L23" s="246">
        <v>2018</v>
      </c>
      <c r="M23" s="246" t="s">
        <v>270</v>
      </c>
      <c r="N23" s="246">
        <v>5</v>
      </c>
      <c r="O23" s="246">
        <v>36</v>
      </c>
      <c r="P23" s="247" t="s">
        <v>595</v>
      </c>
      <c r="Q23" s="246">
        <v>-70.575999999999993</v>
      </c>
      <c r="R23" s="246">
        <v>41.322000000000003</v>
      </c>
      <c r="S23" s="246" t="s">
        <v>271</v>
      </c>
      <c r="T23" s="246">
        <v>25</v>
      </c>
      <c r="U23" s="246" t="s">
        <v>573</v>
      </c>
      <c r="V23" s="248">
        <v>3.6280000000000001</v>
      </c>
      <c r="W23" s="248">
        <v>4.4999999999999998E-2</v>
      </c>
      <c r="X23" s="248">
        <v>0.58000000000000007</v>
      </c>
      <c r="Y23" s="248">
        <v>0.109</v>
      </c>
      <c r="Z23" s="248">
        <v>-8888</v>
      </c>
      <c r="AA23" s="248">
        <v>6.0000000000000001E-3</v>
      </c>
      <c r="AB23" s="248">
        <v>3.2000000000000001E-2</v>
      </c>
      <c r="AC23" s="248">
        <v>0.36099999999999999</v>
      </c>
      <c r="AD23" s="248">
        <v>4.4999999999999998E-2</v>
      </c>
      <c r="AE23" s="248">
        <v>1.393</v>
      </c>
      <c r="AF23" s="248">
        <v>4.2000000000000003E-2</v>
      </c>
      <c r="AG23" s="248">
        <v>1.4E-2</v>
      </c>
      <c r="AH23" s="248">
        <v>3.3210000000000002</v>
      </c>
      <c r="AI23" s="248">
        <v>-8888</v>
      </c>
      <c r="AJ23" s="248">
        <v>0.307</v>
      </c>
      <c r="AK23" s="248">
        <v>4.4999999999999998E-2</v>
      </c>
      <c r="AL23" s="248">
        <v>-8888</v>
      </c>
      <c r="AM23" s="248">
        <v>0.51800000000000002</v>
      </c>
      <c r="AN23" s="248">
        <v>6.2E-2</v>
      </c>
      <c r="AO23" s="248">
        <v>-8888</v>
      </c>
      <c r="AP23" s="248">
        <v>7.0000000000000001E-3</v>
      </c>
      <c r="AQ23" s="248">
        <v>0.02</v>
      </c>
      <c r="AR23" s="248">
        <v>5.8000000000000003E-2</v>
      </c>
      <c r="AS23" s="248">
        <v>0.23</v>
      </c>
      <c r="AT23" s="248">
        <v>1.6E-2</v>
      </c>
      <c r="AU23" s="248">
        <v>-8888</v>
      </c>
      <c r="AV23" s="248">
        <v>4.2530000000000001</v>
      </c>
      <c r="AW23" s="248">
        <v>0.56100000000000005</v>
      </c>
      <c r="AX23" s="248">
        <v>1.4410000000000001</v>
      </c>
      <c r="AY23" s="248">
        <v>5.694</v>
      </c>
      <c r="AZ23" s="248">
        <v>2.0020000000000002</v>
      </c>
      <c r="BA23" s="248">
        <v>2.6270000000000002</v>
      </c>
      <c r="BB23" s="248">
        <v>6.2550000000000008</v>
      </c>
      <c r="BC23" s="248">
        <v>1.532</v>
      </c>
      <c r="BD23" s="249">
        <v>0.72</v>
      </c>
      <c r="BE23" s="249">
        <v>0.72</v>
      </c>
      <c r="BF23" s="249">
        <v>0.28000000000000003</v>
      </c>
      <c r="BG23" s="249">
        <v>2.12</v>
      </c>
      <c r="BH23" s="249">
        <v>0.09</v>
      </c>
      <c r="BI23" s="249">
        <v>0.91</v>
      </c>
      <c r="BJ23" s="249">
        <v>0.57999999999999996</v>
      </c>
      <c r="BK23" s="244"/>
      <c r="BL23" s="244"/>
    </row>
    <row r="24" spans="1:64">
      <c r="A24" s="246" t="s">
        <v>336</v>
      </c>
      <c r="B24" s="246" t="s">
        <v>435</v>
      </c>
      <c r="C24" s="246" t="s">
        <v>470</v>
      </c>
      <c r="D24" s="246" t="s">
        <v>437</v>
      </c>
      <c r="E24" s="246" t="s">
        <v>272</v>
      </c>
      <c r="F24" s="246">
        <v>540</v>
      </c>
      <c r="G24" s="246">
        <v>30</v>
      </c>
      <c r="H24" s="246">
        <v>9</v>
      </c>
      <c r="I24" s="246">
        <v>4</v>
      </c>
      <c r="J24" s="246">
        <v>17</v>
      </c>
      <c r="K24" s="246" t="s">
        <v>570</v>
      </c>
      <c r="L24" s="246">
        <v>2018</v>
      </c>
      <c r="M24" s="246" t="s">
        <v>270</v>
      </c>
      <c r="N24" s="246">
        <v>5</v>
      </c>
      <c r="O24" s="246">
        <v>36</v>
      </c>
      <c r="P24" s="247" t="s">
        <v>595</v>
      </c>
      <c r="Q24" s="246">
        <v>-70.575999999999993</v>
      </c>
      <c r="R24" s="246">
        <v>41.322000000000003</v>
      </c>
      <c r="S24" s="246" t="s">
        <v>271</v>
      </c>
      <c r="T24" s="246">
        <v>25</v>
      </c>
      <c r="U24" s="246" t="s">
        <v>573</v>
      </c>
      <c r="V24" s="248">
        <v>3.343</v>
      </c>
      <c r="W24" s="248">
        <v>0.04</v>
      </c>
      <c r="X24" s="248">
        <v>0.54499999999999993</v>
      </c>
      <c r="Y24" s="248">
        <v>9.9000000000000005E-2</v>
      </c>
      <c r="Z24" s="248">
        <v>-8888</v>
      </c>
      <c r="AA24" s="248">
        <v>5.0000000000000001E-3</v>
      </c>
      <c r="AB24" s="248">
        <v>2.9000000000000001E-2</v>
      </c>
      <c r="AC24" s="248">
        <v>0.315</v>
      </c>
      <c r="AD24" s="248">
        <v>7.4999999999999997E-2</v>
      </c>
      <c r="AE24" s="248">
        <v>1.2789999999999999</v>
      </c>
      <c r="AF24" s="248">
        <v>4.3999999999999997E-2</v>
      </c>
      <c r="AG24" s="248">
        <v>1.4999999999999999E-2</v>
      </c>
      <c r="AH24" s="248">
        <v>3.008</v>
      </c>
      <c r="AI24" s="248">
        <v>-8888</v>
      </c>
      <c r="AJ24" s="248">
        <v>0.33500000000000002</v>
      </c>
      <c r="AK24" s="248">
        <v>0.04</v>
      </c>
      <c r="AL24" s="248">
        <v>-8888</v>
      </c>
      <c r="AM24" s="248">
        <v>0.48099999999999998</v>
      </c>
      <c r="AN24" s="248">
        <v>6.4000000000000001E-2</v>
      </c>
      <c r="AO24" s="248">
        <v>-8888</v>
      </c>
      <c r="AP24" s="248">
        <v>6.0000000000000001E-3</v>
      </c>
      <c r="AQ24" s="248">
        <v>1.7999999999999999E-2</v>
      </c>
      <c r="AR24" s="248">
        <v>5.0999999999999997E-2</v>
      </c>
      <c r="AS24" s="248">
        <v>0.20799999999999999</v>
      </c>
      <c r="AT24" s="248">
        <v>1.4999999999999999E-2</v>
      </c>
      <c r="AU24" s="248">
        <v>-8888</v>
      </c>
      <c r="AV24" s="248">
        <v>3.9279999999999999</v>
      </c>
      <c r="AW24" s="248">
        <v>0.53300000000000003</v>
      </c>
      <c r="AX24" s="248">
        <v>1.3279999999999998</v>
      </c>
      <c r="AY24" s="248">
        <v>5.2560000000000002</v>
      </c>
      <c r="AZ24" s="248">
        <v>1.8609999999999998</v>
      </c>
      <c r="BA24" s="248">
        <v>2.4459999999999997</v>
      </c>
      <c r="BB24" s="248">
        <v>5.7889999999999997</v>
      </c>
      <c r="BC24" s="248">
        <v>1.4119999999999999</v>
      </c>
      <c r="BD24" s="249">
        <v>0.73</v>
      </c>
      <c r="BE24" s="249">
        <v>0.71</v>
      </c>
      <c r="BF24" s="249">
        <v>0.28999999999999998</v>
      </c>
      <c r="BG24" s="249">
        <v>2.11</v>
      </c>
      <c r="BH24" s="249">
        <v>0.09</v>
      </c>
      <c r="BI24" s="249">
        <v>0.91</v>
      </c>
      <c r="BJ24" s="249">
        <v>0.57999999999999996</v>
      </c>
      <c r="BK24" s="244"/>
      <c r="BL24" s="244"/>
    </row>
    <row r="25" spans="1:64">
      <c r="A25" s="218"/>
      <c r="B25" s="250"/>
      <c r="C25" s="250"/>
      <c r="D25" s="250"/>
      <c r="E25" s="250"/>
      <c r="F25" s="250"/>
      <c r="G25" s="250"/>
      <c r="H25" s="250"/>
      <c r="I25" s="250"/>
      <c r="J25" s="250"/>
      <c r="K25" s="250"/>
      <c r="L25" s="250"/>
      <c r="M25" s="250"/>
      <c r="N25" s="250"/>
      <c r="O25" s="250"/>
      <c r="P25" s="251"/>
      <c r="Q25" s="250"/>
      <c r="R25" s="250"/>
      <c r="S25" s="250"/>
      <c r="T25" s="250"/>
      <c r="U25" s="218" t="s">
        <v>666</v>
      </c>
      <c r="V25" s="218">
        <f t="shared" ref="V25:BC25" si="15">ROUND(AVERAGE(V23:V24),3)</f>
        <v>3.4860000000000002</v>
      </c>
      <c r="W25" s="218">
        <f t="shared" si="15"/>
        <v>4.2999999999999997E-2</v>
      </c>
      <c r="X25" s="218">
        <f t="shared" si="15"/>
        <v>0.56299999999999994</v>
      </c>
      <c r="Y25" s="218">
        <f t="shared" si="15"/>
        <v>0.104</v>
      </c>
      <c r="Z25" s="218">
        <f t="shared" si="15"/>
        <v>-8888</v>
      </c>
      <c r="AA25" s="218">
        <f t="shared" si="15"/>
        <v>6.0000000000000001E-3</v>
      </c>
      <c r="AB25" s="218">
        <f t="shared" si="15"/>
        <v>3.1E-2</v>
      </c>
      <c r="AC25" s="218">
        <f t="shared" si="15"/>
        <v>0.33800000000000002</v>
      </c>
      <c r="AD25" s="218">
        <f t="shared" si="15"/>
        <v>0.06</v>
      </c>
      <c r="AE25" s="218">
        <f t="shared" si="15"/>
        <v>1.3360000000000001</v>
      </c>
      <c r="AF25" s="218">
        <f t="shared" si="15"/>
        <v>4.2999999999999997E-2</v>
      </c>
      <c r="AG25" s="218">
        <f t="shared" si="15"/>
        <v>1.4999999999999999E-2</v>
      </c>
      <c r="AH25" s="218">
        <f t="shared" si="15"/>
        <v>3.165</v>
      </c>
      <c r="AI25" s="218">
        <f t="shared" si="15"/>
        <v>-8888</v>
      </c>
      <c r="AJ25" s="218">
        <f t="shared" si="15"/>
        <v>0.32100000000000001</v>
      </c>
      <c r="AK25" s="218">
        <f t="shared" si="15"/>
        <v>4.2999999999999997E-2</v>
      </c>
      <c r="AL25" s="218">
        <f t="shared" si="15"/>
        <v>-8888</v>
      </c>
      <c r="AM25" s="218">
        <f t="shared" si="15"/>
        <v>0.5</v>
      </c>
      <c r="AN25" s="218">
        <f t="shared" si="15"/>
        <v>6.3E-2</v>
      </c>
      <c r="AO25" s="218">
        <f t="shared" si="15"/>
        <v>-8888</v>
      </c>
      <c r="AP25" s="218">
        <f t="shared" si="15"/>
        <v>7.0000000000000001E-3</v>
      </c>
      <c r="AQ25" s="218">
        <f t="shared" si="15"/>
        <v>1.9E-2</v>
      </c>
      <c r="AR25" s="218">
        <f t="shared" si="15"/>
        <v>5.5E-2</v>
      </c>
      <c r="AS25" s="218">
        <f t="shared" si="15"/>
        <v>0.219</v>
      </c>
      <c r="AT25" s="218">
        <f t="shared" si="15"/>
        <v>1.6E-2</v>
      </c>
      <c r="AU25" s="218">
        <f t="shared" si="15"/>
        <v>-8888</v>
      </c>
      <c r="AV25" s="218">
        <f t="shared" si="15"/>
        <v>4.0910000000000002</v>
      </c>
      <c r="AW25" s="218">
        <f t="shared" si="15"/>
        <v>0.54700000000000004</v>
      </c>
      <c r="AX25" s="218">
        <f t="shared" si="15"/>
        <v>1.385</v>
      </c>
      <c r="AY25" s="218">
        <f t="shared" si="15"/>
        <v>5.4749999999999996</v>
      </c>
      <c r="AZ25" s="218">
        <f t="shared" si="15"/>
        <v>1.9319999999999999</v>
      </c>
      <c r="BA25" s="218">
        <f t="shared" si="15"/>
        <v>2.5369999999999999</v>
      </c>
      <c r="BB25" s="218">
        <f t="shared" si="15"/>
        <v>6.0220000000000002</v>
      </c>
      <c r="BC25" s="218">
        <f t="shared" si="15"/>
        <v>1.472</v>
      </c>
      <c r="BD25" s="217">
        <f t="shared" ref="BD25:BJ25" si="16">ROUND(AVERAGE(BD23:BD24),2)</f>
        <v>0.73</v>
      </c>
      <c r="BE25" s="217">
        <f t="shared" si="16"/>
        <v>0.72</v>
      </c>
      <c r="BF25" s="217">
        <f t="shared" si="16"/>
        <v>0.28999999999999998</v>
      </c>
      <c r="BG25" s="217">
        <f t="shared" si="16"/>
        <v>2.12</v>
      </c>
      <c r="BH25" s="217">
        <f t="shared" si="16"/>
        <v>0.09</v>
      </c>
      <c r="BI25" s="217">
        <f t="shared" si="16"/>
        <v>0.91</v>
      </c>
      <c r="BJ25" s="217">
        <f t="shared" si="16"/>
        <v>0.57999999999999996</v>
      </c>
      <c r="BK25" s="219"/>
      <c r="BL25" s="219"/>
    </row>
    <row r="26" spans="1:64">
      <c r="A26" s="222"/>
      <c r="B26" s="252"/>
      <c r="C26" s="252"/>
      <c r="D26" s="252"/>
      <c r="E26" s="252"/>
      <c r="F26" s="252"/>
      <c r="G26" s="252"/>
      <c r="H26" s="252"/>
      <c r="I26" s="252"/>
      <c r="J26" s="252"/>
      <c r="K26" s="252"/>
      <c r="L26" s="252"/>
      <c r="M26" s="252"/>
      <c r="N26" s="252"/>
      <c r="O26" s="252"/>
      <c r="P26" s="253"/>
      <c r="Q26" s="252"/>
      <c r="R26" s="252"/>
      <c r="S26" s="252"/>
      <c r="T26" s="252"/>
      <c r="U26" s="222" t="s">
        <v>667</v>
      </c>
      <c r="V26" s="222">
        <f t="shared" ref="V26:BC26" si="17">ROUND(STDEV(V23:V24),3)</f>
        <v>0.20200000000000001</v>
      </c>
      <c r="W26" s="222">
        <f t="shared" si="17"/>
        <v>4.0000000000000001E-3</v>
      </c>
      <c r="X26" s="222">
        <f t="shared" si="17"/>
        <v>2.5000000000000001E-2</v>
      </c>
      <c r="Y26" s="222">
        <f t="shared" si="17"/>
        <v>7.0000000000000001E-3</v>
      </c>
      <c r="Z26" s="222">
        <f t="shared" si="17"/>
        <v>0</v>
      </c>
      <c r="AA26" s="222">
        <f t="shared" si="17"/>
        <v>1E-3</v>
      </c>
      <c r="AB26" s="222">
        <f t="shared" si="17"/>
        <v>2E-3</v>
      </c>
      <c r="AC26" s="222">
        <f t="shared" si="17"/>
        <v>3.3000000000000002E-2</v>
      </c>
      <c r="AD26" s="222">
        <f t="shared" si="17"/>
        <v>2.1000000000000001E-2</v>
      </c>
      <c r="AE26" s="222">
        <f t="shared" si="17"/>
        <v>8.1000000000000003E-2</v>
      </c>
      <c r="AF26" s="222">
        <f t="shared" si="17"/>
        <v>1E-3</v>
      </c>
      <c r="AG26" s="222">
        <f t="shared" si="17"/>
        <v>1E-3</v>
      </c>
      <c r="AH26" s="222">
        <f t="shared" si="17"/>
        <v>0.221</v>
      </c>
      <c r="AI26" s="222">
        <f t="shared" si="17"/>
        <v>0</v>
      </c>
      <c r="AJ26" s="222">
        <f t="shared" si="17"/>
        <v>0.02</v>
      </c>
      <c r="AK26" s="222">
        <f t="shared" si="17"/>
        <v>4.0000000000000001E-3</v>
      </c>
      <c r="AL26" s="222">
        <f t="shared" si="17"/>
        <v>0</v>
      </c>
      <c r="AM26" s="222">
        <f t="shared" si="17"/>
        <v>2.5999999999999999E-2</v>
      </c>
      <c r="AN26" s="222">
        <f t="shared" si="17"/>
        <v>1E-3</v>
      </c>
      <c r="AO26" s="222">
        <f t="shared" si="17"/>
        <v>0</v>
      </c>
      <c r="AP26" s="222">
        <f t="shared" si="17"/>
        <v>1E-3</v>
      </c>
      <c r="AQ26" s="222">
        <f t="shared" si="17"/>
        <v>1E-3</v>
      </c>
      <c r="AR26" s="222">
        <f t="shared" si="17"/>
        <v>5.0000000000000001E-3</v>
      </c>
      <c r="AS26" s="222">
        <f t="shared" si="17"/>
        <v>1.6E-2</v>
      </c>
      <c r="AT26" s="222">
        <f t="shared" si="17"/>
        <v>1E-3</v>
      </c>
      <c r="AU26" s="222">
        <f t="shared" si="17"/>
        <v>0</v>
      </c>
      <c r="AV26" s="222">
        <f t="shared" si="17"/>
        <v>0.23</v>
      </c>
      <c r="AW26" s="222">
        <f t="shared" si="17"/>
        <v>0.02</v>
      </c>
      <c r="AX26" s="222">
        <f t="shared" si="17"/>
        <v>0.08</v>
      </c>
      <c r="AY26" s="222">
        <f t="shared" si="17"/>
        <v>0.31</v>
      </c>
      <c r="AZ26" s="222">
        <f t="shared" si="17"/>
        <v>0.1</v>
      </c>
      <c r="BA26" s="222">
        <f t="shared" si="17"/>
        <v>0.128</v>
      </c>
      <c r="BB26" s="222">
        <f t="shared" si="17"/>
        <v>0.33</v>
      </c>
      <c r="BC26" s="222">
        <f t="shared" si="17"/>
        <v>8.5000000000000006E-2</v>
      </c>
      <c r="BD26" s="221">
        <f t="shared" ref="BD26:BJ26" si="18">ROUND(STDEV(BD23:BD24),2)</f>
        <v>0.01</v>
      </c>
      <c r="BE26" s="221">
        <f t="shared" si="18"/>
        <v>0.01</v>
      </c>
      <c r="BF26" s="221">
        <f t="shared" si="18"/>
        <v>0.01</v>
      </c>
      <c r="BG26" s="221">
        <f t="shared" si="18"/>
        <v>0.01</v>
      </c>
      <c r="BH26" s="221">
        <f t="shared" si="18"/>
        <v>0</v>
      </c>
      <c r="BI26" s="221">
        <f t="shared" si="18"/>
        <v>0</v>
      </c>
      <c r="BJ26" s="221">
        <f t="shared" si="18"/>
        <v>0</v>
      </c>
      <c r="BK26" s="223"/>
      <c r="BL26" s="223"/>
    </row>
    <row r="27" spans="1:64">
      <c r="A27" s="224"/>
      <c r="B27" s="254"/>
      <c r="C27" s="254"/>
      <c r="D27" s="254"/>
      <c r="E27" s="254"/>
      <c r="F27" s="254"/>
      <c r="G27" s="254"/>
      <c r="H27" s="254"/>
      <c r="I27" s="254"/>
      <c r="J27" s="254"/>
      <c r="K27" s="254"/>
      <c r="L27" s="254"/>
      <c r="M27" s="254"/>
      <c r="N27" s="254"/>
      <c r="O27" s="254"/>
      <c r="P27" s="255"/>
      <c r="Q27" s="254"/>
      <c r="R27" s="254"/>
      <c r="S27" s="254"/>
      <c r="T27" s="254"/>
      <c r="U27" s="225" t="s">
        <v>649</v>
      </c>
      <c r="V27" s="226">
        <f t="shared" ref="V27:BJ27" si="19">ROUND((V26/V25),4)</f>
        <v>5.79E-2</v>
      </c>
      <c r="W27" s="226">
        <f t="shared" si="19"/>
        <v>9.2999999999999999E-2</v>
      </c>
      <c r="X27" s="226">
        <f t="shared" si="19"/>
        <v>4.4400000000000002E-2</v>
      </c>
      <c r="Y27" s="226">
        <f t="shared" si="19"/>
        <v>6.7299999999999999E-2</v>
      </c>
      <c r="Z27" s="226">
        <f t="shared" si="19"/>
        <v>0</v>
      </c>
      <c r="AA27" s="226">
        <f t="shared" si="19"/>
        <v>0.16669999999999999</v>
      </c>
      <c r="AB27" s="226">
        <f t="shared" si="19"/>
        <v>6.4500000000000002E-2</v>
      </c>
      <c r="AC27" s="226">
        <f t="shared" si="19"/>
        <v>9.7600000000000006E-2</v>
      </c>
      <c r="AD27" s="226">
        <f t="shared" si="19"/>
        <v>0.35</v>
      </c>
      <c r="AE27" s="226">
        <f t="shared" si="19"/>
        <v>6.0600000000000001E-2</v>
      </c>
      <c r="AF27" s="226">
        <f t="shared" si="19"/>
        <v>2.3300000000000001E-2</v>
      </c>
      <c r="AG27" s="226">
        <f t="shared" si="19"/>
        <v>6.6699999999999995E-2</v>
      </c>
      <c r="AH27" s="226">
        <f t="shared" si="19"/>
        <v>6.9800000000000001E-2</v>
      </c>
      <c r="AI27" s="226">
        <f t="shared" si="19"/>
        <v>0</v>
      </c>
      <c r="AJ27" s="226">
        <f t="shared" si="19"/>
        <v>6.2300000000000001E-2</v>
      </c>
      <c r="AK27" s="226">
        <f t="shared" si="19"/>
        <v>9.2999999999999999E-2</v>
      </c>
      <c r="AL27" s="226">
        <f t="shared" si="19"/>
        <v>0</v>
      </c>
      <c r="AM27" s="226">
        <f t="shared" si="19"/>
        <v>5.1999999999999998E-2</v>
      </c>
      <c r="AN27" s="226">
        <f t="shared" si="19"/>
        <v>1.5900000000000001E-2</v>
      </c>
      <c r="AO27" s="226">
        <f t="shared" si="19"/>
        <v>0</v>
      </c>
      <c r="AP27" s="226">
        <f t="shared" si="19"/>
        <v>0.1429</v>
      </c>
      <c r="AQ27" s="226">
        <f t="shared" si="19"/>
        <v>5.2600000000000001E-2</v>
      </c>
      <c r="AR27" s="226">
        <f t="shared" si="19"/>
        <v>9.0899999999999995E-2</v>
      </c>
      <c r="AS27" s="226">
        <f t="shared" si="19"/>
        <v>7.3099999999999998E-2</v>
      </c>
      <c r="AT27" s="226">
        <f t="shared" si="19"/>
        <v>6.25E-2</v>
      </c>
      <c r="AU27" s="226">
        <f t="shared" si="19"/>
        <v>0</v>
      </c>
      <c r="AV27" s="226">
        <f t="shared" si="19"/>
        <v>5.62E-2</v>
      </c>
      <c r="AW27" s="226">
        <f t="shared" si="19"/>
        <v>3.6600000000000001E-2</v>
      </c>
      <c r="AX27" s="226">
        <f t="shared" si="19"/>
        <v>5.7799999999999997E-2</v>
      </c>
      <c r="AY27" s="226">
        <f t="shared" si="19"/>
        <v>5.6599999999999998E-2</v>
      </c>
      <c r="AZ27" s="226">
        <f t="shared" si="19"/>
        <v>5.1799999999999999E-2</v>
      </c>
      <c r="BA27" s="226">
        <f t="shared" si="19"/>
        <v>5.0500000000000003E-2</v>
      </c>
      <c r="BB27" s="226">
        <f t="shared" si="19"/>
        <v>5.4800000000000001E-2</v>
      </c>
      <c r="BC27" s="226">
        <f t="shared" si="19"/>
        <v>5.7700000000000001E-2</v>
      </c>
      <c r="BD27" s="226">
        <f t="shared" si="19"/>
        <v>1.37E-2</v>
      </c>
      <c r="BE27" s="226">
        <f t="shared" si="19"/>
        <v>1.3899999999999999E-2</v>
      </c>
      <c r="BF27" s="226">
        <f t="shared" si="19"/>
        <v>3.4500000000000003E-2</v>
      </c>
      <c r="BG27" s="226">
        <f t="shared" si="19"/>
        <v>4.7000000000000002E-3</v>
      </c>
      <c r="BH27" s="226">
        <f t="shared" si="19"/>
        <v>0</v>
      </c>
      <c r="BI27" s="226">
        <f t="shared" si="19"/>
        <v>0</v>
      </c>
      <c r="BJ27" s="226">
        <f t="shared" si="19"/>
        <v>0</v>
      </c>
      <c r="BK27" s="227">
        <f>V27</f>
        <v>5.79E-2</v>
      </c>
      <c r="BL27" s="227">
        <f t="array" ref="BL27">AVERAGE(IF(V27:AG27&gt;-0.001,V27:AG27,""))</f>
        <v>9.1000000000000011E-2</v>
      </c>
    </row>
    <row r="28" spans="1:64">
      <c r="A28" s="246" t="s">
        <v>364</v>
      </c>
      <c r="B28" s="246" t="s">
        <v>435</v>
      </c>
      <c r="C28" s="246" t="s">
        <v>501</v>
      </c>
      <c r="D28" s="246" t="s">
        <v>495</v>
      </c>
      <c r="E28" s="246" t="s">
        <v>272</v>
      </c>
      <c r="F28" s="246">
        <v>547</v>
      </c>
      <c r="G28" s="246">
        <v>5</v>
      </c>
      <c r="H28" s="246">
        <v>16</v>
      </c>
      <c r="I28" s="246">
        <v>1.6</v>
      </c>
      <c r="J28" s="246">
        <v>55</v>
      </c>
      <c r="K28" s="246" t="s">
        <v>570</v>
      </c>
      <c r="L28" s="246">
        <v>2018</v>
      </c>
      <c r="M28" s="246" t="s">
        <v>614</v>
      </c>
      <c r="N28" s="246">
        <v>21</v>
      </c>
      <c r="O28" s="246">
        <v>202</v>
      </c>
      <c r="P28" s="247" t="s">
        <v>617</v>
      </c>
      <c r="Q28" s="246">
        <v>-70.882999999999996</v>
      </c>
      <c r="R28" s="246">
        <v>40.863999999999997</v>
      </c>
      <c r="S28" s="246" t="s">
        <v>271</v>
      </c>
      <c r="T28" s="246">
        <v>25</v>
      </c>
      <c r="U28" s="246" t="s">
        <v>573</v>
      </c>
      <c r="V28" s="248">
        <v>0.33100000000000002</v>
      </c>
      <c r="W28" s="248">
        <v>1.0999999999999999E-2</v>
      </c>
      <c r="X28" s="248">
        <v>8.6999999999999994E-2</v>
      </c>
      <c r="Y28" s="248">
        <v>2.1999999999999999E-2</v>
      </c>
      <c r="Z28" s="248">
        <v>0.04</v>
      </c>
      <c r="AA28" s="248">
        <v>0.114</v>
      </c>
      <c r="AB28" s="248">
        <v>2E-3</v>
      </c>
      <c r="AC28" s="248">
        <v>5.2999999999999999E-2</v>
      </c>
      <c r="AD28" s="248">
        <v>4.0000000000000001E-3</v>
      </c>
      <c r="AE28" s="248">
        <v>4.3999999999999997E-2</v>
      </c>
      <c r="AF28" s="248">
        <v>0.01</v>
      </c>
      <c r="AG28" s="248">
        <v>0.01</v>
      </c>
      <c r="AH28" s="248">
        <v>0.32300000000000001</v>
      </c>
      <c r="AI28" s="248">
        <v>5.0000000000000001E-3</v>
      </c>
      <c r="AJ28" s="248">
        <v>4.0000000000000001E-3</v>
      </c>
      <c r="AK28" s="248">
        <v>1.0999999999999999E-2</v>
      </c>
      <c r="AL28" s="248">
        <v>-8888</v>
      </c>
      <c r="AM28" s="248">
        <v>4.2999999999999997E-2</v>
      </c>
      <c r="AN28" s="248">
        <v>4.3999999999999997E-2</v>
      </c>
      <c r="AO28" s="248">
        <v>-8888</v>
      </c>
      <c r="AP28" s="248">
        <v>-8888</v>
      </c>
      <c r="AQ28" s="248">
        <v>5.0000000000000001E-3</v>
      </c>
      <c r="AR28" s="248">
        <v>3.0000000000000001E-3</v>
      </c>
      <c r="AS28" s="248">
        <v>-8888</v>
      </c>
      <c r="AT28" s="248">
        <v>4.0000000000000001E-3</v>
      </c>
      <c r="AU28" s="248">
        <v>-8888</v>
      </c>
      <c r="AV28" s="248">
        <v>0.42900000000000005</v>
      </c>
      <c r="AW28" s="248">
        <v>9.0999999999999998E-2</v>
      </c>
      <c r="AX28" s="248">
        <v>0.20800000000000002</v>
      </c>
      <c r="AY28" s="248">
        <v>0.63700000000000001</v>
      </c>
      <c r="AZ28" s="248">
        <v>0.29900000000000004</v>
      </c>
      <c r="BA28" s="248">
        <v>0.39700000000000002</v>
      </c>
      <c r="BB28" s="248">
        <v>0.72799999999999998</v>
      </c>
      <c r="BC28" s="248">
        <v>0.23100000000000001</v>
      </c>
      <c r="BD28" s="249">
        <v>1.2</v>
      </c>
      <c r="BE28" s="249">
        <v>0.7</v>
      </c>
      <c r="BF28" s="249">
        <v>0.3</v>
      </c>
      <c r="BG28" s="249">
        <v>1.43</v>
      </c>
      <c r="BH28" s="249">
        <v>0.13</v>
      </c>
      <c r="BI28" s="249">
        <v>0.88</v>
      </c>
      <c r="BJ28" s="249">
        <v>0.45</v>
      </c>
      <c r="BK28" s="244"/>
      <c r="BL28" s="244"/>
    </row>
    <row r="29" spans="1:64">
      <c r="A29" s="246" t="s">
        <v>365</v>
      </c>
      <c r="B29" s="246" t="s">
        <v>435</v>
      </c>
      <c r="C29" s="246" t="s">
        <v>502</v>
      </c>
      <c r="D29" s="246" t="s">
        <v>495</v>
      </c>
      <c r="E29" s="246" t="s">
        <v>272</v>
      </c>
      <c r="F29" s="246">
        <v>547</v>
      </c>
      <c r="G29" s="246">
        <v>5</v>
      </c>
      <c r="H29" s="246">
        <v>16</v>
      </c>
      <c r="I29" s="246">
        <v>1.6</v>
      </c>
      <c r="J29" s="246">
        <v>55</v>
      </c>
      <c r="K29" s="246" t="s">
        <v>570</v>
      </c>
      <c r="L29" s="246">
        <v>2018</v>
      </c>
      <c r="M29" s="246" t="s">
        <v>614</v>
      </c>
      <c r="N29" s="246">
        <v>21</v>
      </c>
      <c r="O29" s="246">
        <v>202</v>
      </c>
      <c r="P29" s="247" t="s">
        <v>617</v>
      </c>
      <c r="Q29" s="246">
        <v>-70.882999999999996</v>
      </c>
      <c r="R29" s="246">
        <v>40.863999999999997</v>
      </c>
      <c r="S29" s="246" t="s">
        <v>271</v>
      </c>
      <c r="T29" s="246">
        <v>25</v>
      </c>
      <c r="U29" s="246" t="s">
        <v>573</v>
      </c>
      <c r="V29" s="248">
        <v>0.32800000000000001</v>
      </c>
      <c r="W29" s="248">
        <v>0.01</v>
      </c>
      <c r="X29" s="248">
        <v>8.4999999999999992E-2</v>
      </c>
      <c r="Y29" s="248">
        <v>2.1999999999999999E-2</v>
      </c>
      <c r="Z29" s="248">
        <v>0.04</v>
      </c>
      <c r="AA29" s="248">
        <v>0.112</v>
      </c>
      <c r="AB29" s="248">
        <v>2E-3</v>
      </c>
      <c r="AC29" s="248">
        <v>5.3999999999999999E-2</v>
      </c>
      <c r="AD29" s="248">
        <v>5.0000000000000001E-3</v>
      </c>
      <c r="AE29" s="248">
        <v>4.3999999999999997E-2</v>
      </c>
      <c r="AF29" s="248">
        <v>8.9999999999999993E-3</v>
      </c>
      <c r="AG29" s="248">
        <v>1.0999999999999999E-2</v>
      </c>
      <c r="AH29" s="248">
        <v>0.31900000000000001</v>
      </c>
      <c r="AI29" s="248">
        <v>5.0000000000000001E-3</v>
      </c>
      <c r="AJ29" s="248">
        <v>4.0000000000000001E-3</v>
      </c>
      <c r="AK29" s="248">
        <v>0.01</v>
      </c>
      <c r="AL29" s="248">
        <v>-8888</v>
      </c>
      <c r="AM29" s="248">
        <v>4.2000000000000003E-2</v>
      </c>
      <c r="AN29" s="248">
        <v>4.2999999999999997E-2</v>
      </c>
      <c r="AO29" s="248">
        <v>-8888</v>
      </c>
      <c r="AP29" s="248">
        <v>-8888</v>
      </c>
      <c r="AQ29" s="248">
        <v>5.0000000000000001E-3</v>
      </c>
      <c r="AR29" s="248">
        <v>2E-3</v>
      </c>
      <c r="AS29" s="248">
        <v>-8888</v>
      </c>
      <c r="AT29" s="248">
        <v>4.0000000000000001E-3</v>
      </c>
      <c r="AU29" s="248">
        <v>-8888</v>
      </c>
      <c r="AV29" s="248">
        <v>0.42300000000000004</v>
      </c>
      <c r="AW29" s="248">
        <v>9.4E-2</v>
      </c>
      <c r="AX29" s="248">
        <v>0.20500000000000002</v>
      </c>
      <c r="AY29" s="248">
        <v>0.62800000000000011</v>
      </c>
      <c r="AZ29" s="248">
        <v>0.29900000000000004</v>
      </c>
      <c r="BA29" s="248">
        <v>0.39400000000000002</v>
      </c>
      <c r="BB29" s="248">
        <v>0.72199999999999998</v>
      </c>
      <c r="BC29" s="248">
        <v>0.22800000000000001</v>
      </c>
      <c r="BD29" s="249">
        <v>1.2</v>
      </c>
      <c r="BE29" s="249">
        <v>0.69</v>
      </c>
      <c r="BF29" s="249">
        <v>0.31</v>
      </c>
      <c r="BG29" s="249">
        <v>1.41</v>
      </c>
      <c r="BH29" s="249">
        <v>0.13</v>
      </c>
      <c r="BI29" s="249">
        <v>0.87</v>
      </c>
      <c r="BJ29" s="249">
        <v>0.45</v>
      </c>
      <c r="BK29" s="244"/>
      <c r="BL29" s="244"/>
    </row>
    <row r="30" spans="1:64">
      <c r="A30" s="218"/>
      <c r="B30" s="250"/>
      <c r="C30" s="250"/>
      <c r="D30" s="250"/>
      <c r="E30" s="250"/>
      <c r="F30" s="250"/>
      <c r="G30" s="250"/>
      <c r="H30" s="250"/>
      <c r="I30" s="250"/>
      <c r="J30" s="250"/>
      <c r="K30" s="250"/>
      <c r="L30" s="250"/>
      <c r="M30" s="250"/>
      <c r="N30" s="250"/>
      <c r="O30" s="250"/>
      <c r="P30" s="251"/>
      <c r="Q30" s="250"/>
      <c r="R30" s="250"/>
      <c r="S30" s="250"/>
      <c r="T30" s="250"/>
      <c r="U30" s="218" t="s">
        <v>666</v>
      </c>
      <c r="V30" s="218">
        <f t="shared" ref="V30:BC30" si="20">ROUND(AVERAGE(V28:V29),3)</f>
        <v>0.33</v>
      </c>
      <c r="W30" s="218">
        <f t="shared" si="20"/>
        <v>1.0999999999999999E-2</v>
      </c>
      <c r="X30" s="218">
        <f t="shared" si="20"/>
        <v>8.5999999999999993E-2</v>
      </c>
      <c r="Y30" s="218">
        <f t="shared" si="20"/>
        <v>2.1999999999999999E-2</v>
      </c>
      <c r="Z30" s="218">
        <f t="shared" si="20"/>
        <v>0.04</v>
      </c>
      <c r="AA30" s="218">
        <f t="shared" si="20"/>
        <v>0.113</v>
      </c>
      <c r="AB30" s="218">
        <f t="shared" si="20"/>
        <v>2E-3</v>
      </c>
      <c r="AC30" s="218">
        <f t="shared" si="20"/>
        <v>5.3999999999999999E-2</v>
      </c>
      <c r="AD30" s="218">
        <f t="shared" si="20"/>
        <v>5.0000000000000001E-3</v>
      </c>
      <c r="AE30" s="218">
        <f t="shared" si="20"/>
        <v>4.3999999999999997E-2</v>
      </c>
      <c r="AF30" s="218">
        <f t="shared" si="20"/>
        <v>0.01</v>
      </c>
      <c r="AG30" s="218">
        <f t="shared" si="20"/>
        <v>1.0999999999999999E-2</v>
      </c>
      <c r="AH30" s="218">
        <f t="shared" si="20"/>
        <v>0.32100000000000001</v>
      </c>
      <c r="AI30" s="218">
        <f t="shared" si="20"/>
        <v>5.0000000000000001E-3</v>
      </c>
      <c r="AJ30" s="218">
        <f t="shared" si="20"/>
        <v>4.0000000000000001E-3</v>
      </c>
      <c r="AK30" s="218">
        <f t="shared" si="20"/>
        <v>1.0999999999999999E-2</v>
      </c>
      <c r="AL30" s="218">
        <f t="shared" si="20"/>
        <v>-8888</v>
      </c>
      <c r="AM30" s="218">
        <f t="shared" si="20"/>
        <v>4.2999999999999997E-2</v>
      </c>
      <c r="AN30" s="218">
        <f t="shared" si="20"/>
        <v>4.3999999999999997E-2</v>
      </c>
      <c r="AO30" s="218">
        <f t="shared" si="20"/>
        <v>-8888</v>
      </c>
      <c r="AP30" s="218">
        <f t="shared" si="20"/>
        <v>-8888</v>
      </c>
      <c r="AQ30" s="218">
        <f t="shared" si="20"/>
        <v>5.0000000000000001E-3</v>
      </c>
      <c r="AR30" s="218">
        <f t="shared" si="20"/>
        <v>3.0000000000000001E-3</v>
      </c>
      <c r="AS30" s="218">
        <f t="shared" si="20"/>
        <v>-8888</v>
      </c>
      <c r="AT30" s="218">
        <f t="shared" si="20"/>
        <v>4.0000000000000001E-3</v>
      </c>
      <c r="AU30" s="218">
        <f t="shared" si="20"/>
        <v>-8888</v>
      </c>
      <c r="AV30" s="218">
        <f t="shared" si="20"/>
        <v>0.42599999999999999</v>
      </c>
      <c r="AW30" s="218">
        <f t="shared" si="20"/>
        <v>9.2999999999999999E-2</v>
      </c>
      <c r="AX30" s="218">
        <f t="shared" si="20"/>
        <v>0.20699999999999999</v>
      </c>
      <c r="AY30" s="218">
        <f t="shared" si="20"/>
        <v>0.63300000000000001</v>
      </c>
      <c r="AZ30" s="218">
        <f t="shared" si="20"/>
        <v>0.29899999999999999</v>
      </c>
      <c r="BA30" s="218">
        <f t="shared" si="20"/>
        <v>0.39600000000000002</v>
      </c>
      <c r="BB30" s="218">
        <f t="shared" si="20"/>
        <v>0.72499999999999998</v>
      </c>
      <c r="BC30" s="218">
        <f t="shared" si="20"/>
        <v>0.23</v>
      </c>
      <c r="BD30" s="217">
        <f t="shared" ref="BD30:BJ30" si="21">ROUND(AVERAGE(BD28:BD29),2)</f>
        <v>1.2</v>
      </c>
      <c r="BE30" s="217">
        <f t="shared" si="21"/>
        <v>0.7</v>
      </c>
      <c r="BF30" s="217">
        <f t="shared" si="21"/>
        <v>0.31</v>
      </c>
      <c r="BG30" s="217">
        <f t="shared" si="21"/>
        <v>1.42</v>
      </c>
      <c r="BH30" s="217">
        <f t="shared" si="21"/>
        <v>0.13</v>
      </c>
      <c r="BI30" s="217">
        <f t="shared" si="21"/>
        <v>0.88</v>
      </c>
      <c r="BJ30" s="217">
        <f t="shared" si="21"/>
        <v>0.45</v>
      </c>
      <c r="BK30" s="219"/>
      <c r="BL30" s="219"/>
    </row>
    <row r="31" spans="1:64">
      <c r="A31" s="222"/>
      <c r="B31" s="252"/>
      <c r="C31" s="252"/>
      <c r="D31" s="252"/>
      <c r="E31" s="252"/>
      <c r="F31" s="252"/>
      <c r="G31" s="252"/>
      <c r="H31" s="252"/>
      <c r="I31" s="252"/>
      <c r="J31" s="252"/>
      <c r="K31" s="252"/>
      <c r="L31" s="252"/>
      <c r="M31" s="252"/>
      <c r="N31" s="252"/>
      <c r="O31" s="252"/>
      <c r="P31" s="253"/>
      <c r="Q31" s="252"/>
      <c r="R31" s="252"/>
      <c r="S31" s="252"/>
      <c r="T31" s="252"/>
      <c r="U31" s="222" t="s">
        <v>667</v>
      </c>
      <c r="V31" s="222">
        <f t="shared" ref="V31:BC31" si="22">ROUND(STDEV(V28:V29),3)</f>
        <v>2E-3</v>
      </c>
      <c r="W31" s="222">
        <f t="shared" si="22"/>
        <v>1E-3</v>
      </c>
      <c r="X31" s="222">
        <f t="shared" si="22"/>
        <v>1E-3</v>
      </c>
      <c r="Y31" s="222">
        <f t="shared" si="22"/>
        <v>0</v>
      </c>
      <c r="Z31" s="222">
        <f t="shared" si="22"/>
        <v>0</v>
      </c>
      <c r="AA31" s="222">
        <f t="shared" si="22"/>
        <v>1E-3</v>
      </c>
      <c r="AB31" s="222">
        <f t="shared" si="22"/>
        <v>0</v>
      </c>
      <c r="AC31" s="222">
        <f t="shared" si="22"/>
        <v>1E-3</v>
      </c>
      <c r="AD31" s="222">
        <f t="shared" si="22"/>
        <v>1E-3</v>
      </c>
      <c r="AE31" s="222">
        <f t="shared" si="22"/>
        <v>0</v>
      </c>
      <c r="AF31" s="222">
        <f t="shared" si="22"/>
        <v>1E-3</v>
      </c>
      <c r="AG31" s="222">
        <f t="shared" si="22"/>
        <v>1E-3</v>
      </c>
      <c r="AH31" s="222">
        <f t="shared" si="22"/>
        <v>3.0000000000000001E-3</v>
      </c>
      <c r="AI31" s="222">
        <f t="shared" si="22"/>
        <v>0</v>
      </c>
      <c r="AJ31" s="222">
        <f t="shared" si="22"/>
        <v>0</v>
      </c>
      <c r="AK31" s="222">
        <f t="shared" si="22"/>
        <v>1E-3</v>
      </c>
      <c r="AL31" s="222">
        <f t="shared" si="22"/>
        <v>0</v>
      </c>
      <c r="AM31" s="222">
        <f t="shared" si="22"/>
        <v>1E-3</v>
      </c>
      <c r="AN31" s="222">
        <f t="shared" si="22"/>
        <v>1E-3</v>
      </c>
      <c r="AO31" s="222">
        <f t="shared" si="22"/>
        <v>0</v>
      </c>
      <c r="AP31" s="222">
        <f t="shared" si="22"/>
        <v>0</v>
      </c>
      <c r="AQ31" s="222">
        <f t="shared" si="22"/>
        <v>0</v>
      </c>
      <c r="AR31" s="222">
        <f t="shared" si="22"/>
        <v>1E-3</v>
      </c>
      <c r="AS31" s="222">
        <f t="shared" si="22"/>
        <v>0</v>
      </c>
      <c r="AT31" s="222">
        <f t="shared" si="22"/>
        <v>0</v>
      </c>
      <c r="AU31" s="222">
        <f t="shared" si="22"/>
        <v>0</v>
      </c>
      <c r="AV31" s="222">
        <f t="shared" si="22"/>
        <v>4.0000000000000001E-3</v>
      </c>
      <c r="AW31" s="222">
        <f t="shared" si="22"/>
        <v>2E-3</v>
      </c>
      <c r="AX31" s="222">
        <f t="shared" si="22"/>
        <v>2E-3</v>
      </c>
      <c r="AY31" s="222">
        <f t="shared" si="22"/>
        <v>6.0000000000000001E-3</v>
      </c>
      <c r="AZ31" s="222">
        <f t="shared" si="22"/>
        <v>0</v>
      </c>
      <c r="BA31" s="222">
        <f t="shared" si="22"/>
        <v>2E-3</v>
      </c>
      <c r="BB31" s="222">
        <f t="shared" si="22"/>
        <v>4.0000000000000001E-3</v>
      </c>
      <c r="BC31" s="222">
        <f t="shared" si="22"/>
        <v>2E-3</v>
      </c>
      <c r="BD31" s="221">
        <f t="shared" ref="BD31:BJ31" si="23">ROUND(STDEV(BD28:BD29),2)</f>
        <v>0</v>
      </c>
      <c r="BE31" s="221">
        <f t="shared" si="23"/>
        <v>0.01</v>
      </c>
      <c r="BF31" s="221">
        <f t="shared" si="23"/>
        <v>0.01</v>
      </c>
      <c r="BG31" s="221">
        <f t="shared" si="23"/>
        <v>0.01</v>
      </c>
      <c r="BH31" s="221">
        <f t="shared" si="23"/>
        <v>0</v>
      </c>
      <c r="BI31" s="221">
        <f t="shared" si="23"/>
        <v>0.01</v>
      </c>
      <c r="BJ31" s="221">
        <f t="shared" si="23"/>
        <v>0</v>
      </c>
      <c r="BK31" s="223"/>
      <c r="BL31" s="223"/>
    </row>
    <row r="32" spans="1:64">
      <c r="A32" s="224"/>
      <c r="B32" s="254"/>
      <c r="C32" s="254"/>
      <c r="D32" s="254"/>
      <c r="E32" s="254"/>
      <c r="F32" s="254"/>
      <c r="G32" s="254"/>
      <c r="H32" s="254"/>
      <c r="I32" s="254"/>
      <c r="J32" s="254"/>
      <c r="K32" s="254"/>
      <c r="L32" s="254"/>
      <c r="M32" s="254"/>
      <c r="N32" s="254"/>
      <c r="O32" s="254"/>
      <c r="P32" s="255"/>
      <c r="Q32" s="254"/>
      <c r="R32" s="254"/>
      <c r="S32" s="254"/>
      <c r="T32" s="254"/>
      <c r="U32" s="225" t="s">
        <v>649</v>
      </c>
      <c r="V32" s="226">
        <f t="shared" ref="V32:BJ32" si="24">ROUND((V31/V30),4)</f>
        <v>6.1000000000000004E-3</v>
      </c>
      <c r="W32" s="226">
        <f t="shared" si="24"/>
        <v>9.0899999999999995E-2</v>
      </c>
      <c r="X32" s="226">
        <f t="shared" si="24"/>
        <v>1.1599999999999999E-2</v>
      </c>
      <c r="Y32" s="226">
        <f t="shared" si="24"/>
        <v>0</v>
      </c>
      <c r="Z32" s="226">
        <f t="shared" si="24"/>
        <v>0</v>
      </c>
      <c r="AA32" s="226">
        <f t="shared" si="24"/>
        <v>8.8000000000000005E-3</v>
      </c>
      <c r="AB32" s="226">
        <f t="shared" si="24"/>
        <v>0</v>
      </c>
      <c r="AC32" s="226">
        <f t="shared" si="24"/>
        <v>1.8499999999999999E-2</v>
      </c>
      <c r="AD32" s="226">
        <f t="shared" si="24"/>
        <v>0.2</v>
      </c>
      <c r="AE32" s="226">
        <f t="shared" si="24"/>
        <v>0</v>
      </c>
      <c r="AF32" s="226">
        <f t="shared" si="24"/>
        <v>0.1</v>
      </c>
      <c r="AG32" s="226">
        <f t="shared" si="24"/>
        <v>9.0899999999999995E-2</v>
      </c>
      <c r="AH32" s="226">
        <f t="shared" si="24"/>
        <v>9.2999999999999992E-3</v>
      </c>
      <c r="AI32" s="226">
        <f t="shared" si="24"/>
        <v>0</v>
      </c>
      <c r="AJ32" s="226">
        <f t="shared" si="24"/>
        <v>0</v>
      </c>
      <c r="AK32" s="226">
        <f t="shared" si="24"/>
        <v>9.0899999999999995E-2</v>
      </c>
      <c r="AL32" s="226">
        <f t="shared" si="24"/>
        <v>0</v>
      </c>
      <c r="AM32" s="226">
        <f t="shared" si="24"/>
        <v>2.3300000000000001E-2</v>
      </c>
      <c r="AN32" s="226">
        <f t="shared" si="24"/>
        <v>2.2700000000000001E-2</v>
      </c>
      <c r="AO32" s="226">
        <f t="shared" si="24"/>
        <v>0</v>
      </c>
      <c r="AP32" s="226">
        <f t="shared" si="24"/>
        <v>0</v>
      </c>
      <c r="AQ32" s="226">
        <f t="shared" si="24"/>
        <v>0</v>
      </c>
      <c r="AR32" s="226">
        <f t="shared" si="24"/>
        <v>0.33329999999999999</v>
      </c>
      <c r="AS32" s="226">
        <f t="shared" si="24"/>
        <v>0</v>
      </c>
      <c r="AT32" s="226">
        <f t="shared" si="24"/>
        <v>0</v>
      </c>
      <c r="AU32" s="226">
        <f t="shared" si="24"/>
        <v>0</v>
      </c>
      <c r="AV32" s="226">
        <f t="shared" si="24"/>
        <v>9.4000000000000004E-3</v>
      </c>
      <c r="AW32" s="226">
        <f t="shared" si="24"/>
        <v>2.1499999999999998E-2</v>
      </c>
      <c r="AX32" s="226">
        <f t="shared" si="24"/>
        <v>9.7000000000000003E-3</v>
      </c>
      <c r="AY32" s="226">
        <f t="shared" si="24"/>
        <v>9.4999999999999998E-3</v>
      </c>
      <c r="AZ32" s="226">
        <f t="shared" si="24"/>
        <v>0</v>
      </c>
      <c r="BA32" s="226">
        <f t="shared" si="24"/>
        <v>5.1000000000000004E-3</v>
      </c>
      <c r="BB32" s="226">
        <f t="shared" si="24"/>
        <v>5.4999999999999997E-3</v>
      </c>
      <c r="BC32" s="226">
        <f t="shared" si="24"/>
        <v>8.6999999999999994E-3</v>
      </c>
      <c r="BD32" s="226">
        <f t="shared" si="24"/>
        <v>0</v>
      </c>
      <c r="BE32" s="226">
        <f t="shared" si="24"/>
        <v>1.43E-2</v>
      </c>
      <c r="BF32" s="226">
        <f t="shared" si="24"/>
        <v>3.2300000000000002E-2</v>
      </c>
      <c r="BG32" s="226">
        <f t="shared" si="24"/>
        <v>7.0000000000000001E-3</v>
      </c>
      <c r="BH32" s="226">
        <f t="shared" si="24"/>
        <v>0</v>
      </c>
      <c r="BI32" s="226">
        <f t="shared" si="24"/>
        <v>1.14E-2</v>
      </c>
      <c r="BJ32" s="226">
        <f t="shared" si="24"/>
        <v>0</v>
      </c>
      <c r="BK32" s="227">
        <f>V32</f>
        <v>6.1000000000000004E-3</v>
      </c>
      <c r="BL32" s="227">
        <f t="array" ref="BL32">AVERAGE(IF(V32:AG32&gt;-0.001,V32:AG32,""))</f>
        <v>4.3899999999999995E-2</v>
      </c>
    </row>
    <row r="33" spans="1:64">
      <c r="A33" s="246" t="s">
        <v>376</v>
      </c>
      <c r="B33" s="246" t="s">
        <v>435</v>
      </c>
      <c r="C33" s="246" t="s">
        <v>512</v>
      </c>
      <c r="D33" s="246" t="s">
        <v>495</v>
      </c>
      <c r="E33" s="246" t="s">
        <v>272</v>
      </c>
      <c r="F33" s="246">
        <v>547</v>
      </c>
      <c r="G33" s="246">
        <v>14</v>
      </c>
      <c r="H33" s="246">
        <v>17</v>
      </c>
      <c r="I33" s="246">
        <v>6.8</v>
      </c>
      <c r="J33" s="246">
        <v>130</v>
      </c>
      <c r="K33" s="246" t="s">
        <v>570</v>
      </c>
      <c r="L33" s="246">
        <v>2018</v>
      </c>
      <c r="M33" s="246" t="s">
        <v>614</v>
      </c>
      <c r="N33" s="246">
        <v>22</v>
      </c>
      <c r="O33" s="246">
        <v>203</v>
      </c>
      <c r="P33" s="247" t="s">
        <v>621</v>
      </c>
      <c r="Q33" s="246">
        <v>-70.757999999999996</v>
      </c>
      <c r="R33" s="246">
        <v>40.139000000000003</v>
      </c>
      <c r="S33" s="246" t="s">
        <v>271</v>
      </c>
      <c r="T33" s="246">
        <v>25</v>
      </c>
      <c r="U33" s="246" t="s">
        <v>573</v>
      </c>
      <c r="V33" s="248">
        <v>0.246</v>
      </c>
      <c r="W33" s="248">
        <v>1.7000000000000001E-2</v>
      </c>
      <c r="X33" s="248">
        <v>4.5999999999999999E-2</v>
      </c>
      <c r="Y33" s="248">
        <v>2.1000000000000001E-2</v>
      </c>
      <c r="Z33" s="248">
        <v>1.6E-2</v>
      </c>
      <c r="AA33" s="248">
        <v>4.7E-2</v>
      </c>
      <c r="AB33" s="248">
        <v>-8888</v>
      </c>
      <c r="AC33" s="248">
        <v>1.7999999999999999E-2</v>
      </c>
      <c r="AD33" s="248">
        <v>1E-3</v>
      </c>
      <c r="AE33" s="248">
        <v>2.3E-2</v>
      </c>
      <c r="AF33" s="248">
        <v>3.1E-2</v>
      </c>
      <c r="AG33" s="248">
        <v>5.8000000000000003E-2</v>
      </c>
      <c r="AH33" s="248">
        <v>0.20699999999999999</v>
      </c>
      <c r="AI33" s="248">
        <v>3.6999999999999998E-2</v>
      </c>
      <c r="AJ33" s="248">
        <v>2E-3</v>
      </c>
      <c r="AK33" s="248">
        <v>1.2999999999999999E-2</v>
      </c>
      <c r="AL33" s="248">
        <v>4.0000000000000001E-3</v>
      </c>
      <c r="AM33" s="248">
        <v>2.8000000000000001E-2</v>
      </c>
      <c r="AN33" s="248">
        <v>1.7999999999999999E-2</v>
      </c>
      <c r="AO33" s="248">
        <v>-8888</v>
      </c>
      <c r="AP33" s="248">
        <v>-8888</v>
      </c>
      <c r="AQ33" s="248">
        <v>3.0000000000000001E-3</v>
      </c>
      <c r="AR33" s="248">
        <v>3.0000000000000001E-3</v>
      </c>
      <c r="AS33" s="248">
        <v>-8888</v>
      </c>
      <c r="AT33" s="248">
        <v>-8888</v>
      </c>
      <c r="AU33" s="248">
        <v>-8888</v>
      </c>
      <c r="AV33" s="248">
        <v>0.309</v>
      </c>
      <c r="AW33" s="248">
        <v>9.8000000000000004E-2</v>
      </c>
      <c r="AX33" s="248">
        <v>0.11699999999999999</v>
      </c>
      <c r="AY33" s="248">
        <v>0.42599999999999999</v>
      </c>
      <c r="AZ33" s="248">
        <v>0.215</v>
      </c>
      <c r="BA33" s="248">
        <v>0.27799999999999997</v>
      </c>
      <c r="BB33" s="248">
        <v>0.52400000000000002</v>
      </c>
      <c r="BC33" s="248">
        <v>0.192</v>
      </c>
      <c r="BD33" s="249">
        <v>1.1299999999999999</v>
      </c>
      <c r="BE33" s="249">
        <v>0.54</v>
      </c>
      <c r="BF33" s="249">
        <v>0.46</v>
      </c>
      <c r="BG33" s="249">
        <v>1.44</v>
      </c>
      <c r="BH33" s="249">
        <v>0.19</v>
      </c>
      <c r="BI33" s="249">
        <v>0.81</v>
      </c>
      <c r="BJ33" s="249">
        <v>0.47</v>
      </c>
      <c r="BK33" s="244"/>
      <c r="BL33" s="244"/>
    </row>
    <row r="34" spans="1:64">
      <c r="A34" s="246" t="s">
        <v>377</v>
      </c>
      <c r="B34" s="246" t="s">
        <v>435</v>
      </c>
      <c r="C34" s="246" t="s">
        <v>513</v>
      </c>
      <c r="D34" s="246" t="s">
        <v>495</v>
      </c>
      <c r="E34" s="246" t="s">
        <v>272</v>
      </c>
      <c r="F34" s="246">
        <v>547</v>
      </c>
      <c r="G34" s="246">
        <v>14</v>
      </c>
      <c r="H34" s="246">
        <v>17</v>
      </c>
      <c r="I34" s="246">
        <v>6.8</v>
      </c>
      <c r="J34" s="246">
        <v>130</v>
      </c>
      <c r="K34" s="246" t="s">
        <v>570</v>
      </c>
      <c r="L34" s="246">
        <v>2018</v>
      </c>
      <c r="M34" s="246" t="s">
        <v>614</v>
      </c>
      <c r="N34" s="246">
        <v>22</v>
      </c>
      <c r="O34" s="246">
        <v>203</v>
      </c>
      <c r="P34" s="247" t="s">
        <v>621</v>
      </c>
      <c r="Q34" s="246">
        <v>-70.757999999999996</v>
      </c>
      <c r="R34" s="246">
        <v>40.139000000000003</v>
      </c>
      <c r="S34" s="246" t="s">
        <v>271</v>
      </c>
      <c r="T34" s="246">
        <v>25</v>
      </c>
      <c r="U34" s="246" t="s">
        <v>573</v>
      </c>
      <c r="V34" s="248">
        <v>0.249</v>
      </c>
      <c r="W34" s="248">
        <v>1.7000000000000001E-2</v>
      </c>
      <c r="X34" s="248">
        <v>4.8000000000000001E-2</v>
      </c>
      <c r="Y34" s="248">
        <v>2.1999999999999999E-2</v>
      </c>
      <c r="Z34" s="248">
        <v>1.6E-2</v>
      </c>
      <c r="AA34" s="248">
        <v>4.9000000000000002E-2</v>
      </c>
      <c r="AB34" s="248">
        <v>-8888</v>
      </c>
      <c r="AC34" s="248">
        <v>1.7999999999999999E-2</v>
      </c>
      <c r="AD34" s="248">
        <v>1E-3</v>
      </c>
      <c r="AE34" s="248">
        <v>2.3E-2</v>
      </c>
      <c r="AF34" s="248">
        <v>2.7E-2</v>
      </c>
      <c r="AG34" s="248">
        <v>6.0999999999999999E-2</v>
      </c>
      <c r="AH34" s="248">
        <v>0.20899999999999999</v>
      </c>
      <c r="AI34" s="248">
        <v>3.7999999999999999E-2</v>
      </c>
      <c r="AJ34" s="248">
        <v>2E-3</v>
      </c>
      <c r="AK34" s="248">
        <v>1.2999999999999999E-2</v>
      </c>
      <c r="AL34" s="248">
        <v>4.0000000000000001E-3</v>
      </c>
      <c r="AM34" s="248">
        <v>2.9000000000000001E-2</v>
      </c>
      <c r="AN34" s="248">
        <v>1.9E-2</v>
      </c>
      <c r="AO34" s="248">
        <v>-8888</v>
      </c>
      <c r="AP34" s="248">
        <v>-8888</v>
      </c>
      <c r="AQ34" s="248">
        <v>2E-3</v>
      </c>
      <c r="AR34" s="248">
        <v>2E-3</v>
      </c>
      <c r="AS34" s="248">
        <v>-8888</v>
      </c>
      <c r="AT34" s="248">
        <v>-8888</v>
      </c>
      <c r="AU34" s="248">
        <v>-8888</v>
      </c>
      <c r="AV34" s="248">
        <v>0.314</v>
      </c>
      <c r="AW34" s="248">
        <v>0.10200000000000001</v>
      </c>
      <c r="AX34" s="248">
        <v>0.11499999999999999</v>
      </c>
      <c r="AY34" s="248">
        <v>0.42899999999999999</v>
      </c>
      <c r="AZ34" s="248">
        <v>0.217</v>
      </c>
      <c r="BA34" s="248">
        <v>0.28199999999999997</v>
      </c>
      <c r="BB34" s="248">
        <v>0.53099999999999992</v>
      </c>
      <c r="BC34" s="248">
        <v>0.193</v>
      </c>
      <c r="BD34" s="249">
        <v>1.1299999999999999</v>
      </c>
      <c r="BE34" s="249">
        <v>0.53</v>
      </c>
      <c r="BF34" s="249">
        <v>0.47</v>
      </c>
      <c r="BG34" s="249">
        <v>1.45</v>
      </c>
      <c r="BH34" s="249">
        <v>0.19</v>
      </c>
      <c r="BI34" s="249">
        <v>0.81</v>
      </c>
      <c r="BJ34" s="249">
        <v>0.47</v>
      </c>
      <c r="BK34" s="244"/>
      <c r="BL34" s="244"/>
    </row>
    <row r="35" spans="1:64">
      <c r="A35" s="218"/>
      <c r="B35" s="250"/>
      <c r="C35" s="250"/>
      <c r="D35" s="250"/>
      <c r="E35" s="250"/>
      <c r="F35" s="250"/>
      <c r="G35" s="250"/>
      <c r="H35" s="250"/>
      <c r="I35" s="250"/>
      <c r="J35" s="250"/>
      <c r="K35" s="250"/>
      <c r="L35" s="250"/>
      <c r="M35" s="250"/>
      <c r="N35" s="250"/>
      <c r="O35" s="250"/>
      <c r="P35" s="251"/>
      <c r="Q35" s="250"/>
      <c r="R35" s="250"/>
      <c r="S35" s="250"/>
      <c r="T35" s="250"/>
      <c r="U35" s="218" t="s">
        <v>666</v>
      </c>
      <c r="V35" s="218">
        <f t="shared" ref="V35:BC35" si="25">ROUND(AVERAGE(V33:V34),3)</f>
        <v>0.248</v>
      </c>
      <c r="W35" s="218">
        <f t="shared" si="25"/>
        <v>1.7000000000000001E-2</v>
      </c>
      <c r="X35" s="218">
        <f t="shared" si="25"/>
        <v>4.7E-2</v>
      </c>
      <c r="Y35" s="218">
        <f t="shared" si="25"/>
        <v>2.1999999999999999E-2</v>
      </c>
      <c r="Z35" s="218">
        <f t="shared" si="25"/>
        <v>1.6E-2</v>
      </c>
      <c r="AA35" s="218">
        <f t="shared" si="25"/>
        <v>4.8000000000000001E-2</v>
      </c>
      <c r="AB35" s="218">
        <f t="shared" si="25"/>
        <v>-8888</v>
      </c>
      <c r="AC35" s="218">
        <f t="shared" si="25"/>
        <v>1.7999999999999999E-2</v>
      </c>
      <c r="AD35" s="218">
        <f t="shared" si="25"/>
        <v>1E-3</v>
      </c>
      <c r="AE35" s="218">
        <f t="shared" si="25"/>
        <v>2.3E-2</v>
      </c>
      <c r="AF35" s="218">
        <f t="shared" si="25"/>
        <v>2.9000000000000001E-2</v>
      </c>
      <c r="AG35" s="218">
        <f t="shared" si="25"/>
        <v>0.06</v>
      </c>
      <c r="AH35" s="218">
        <f t="shared" si="25"/>
        <v>0.20799999999999999</v>
      </c>
      <c r="AI35" s="218">
        <f t="shared" si="25"/>
        <v>3.7999999999999999E-2</v>
      </c>
      <c r="AJ35" s="218">
        <f t="shared" si="25"/>
        <v>2E-3</v>
      </c>
      <c r="AK35" s="218">
        <f t="shared" si="25"/>
        <v>1.2999999999999999E-2</v>
      </c>
      <c r="AL35" s="218">
        <f t="shared" si="25"/>
        <v>4.0000000000000001E-3</v>
      </c>
      <c r="AM35" s="218">
        <f t="shared" si="25"/>
        <v>2.9000000000000001E-2</v>
      </c>
      <c r="AN35" s="218">
        <f t="shared" si="25"/>
        <v>1.9E-2</v>
      </c>
      <c r="AO35" s="218">
        <f t="shared" si="25"/>
        <v>-8888</v>
      </c>
      <c r="AP35" s="218">
        <f t="shared" si="25"/>
        <v>-8888</v>
      </c>
      <c r="AQ35" s="218">
        <f t="shared" si="25"/>
        <v>3.0000000000000001E-3</v>
      </c>
      <c r="AR35" s="218">
        <f t="shared" si="25"/>
        <v>3.0000000000000001E-3</v>
      </c>
      <c r="AS35" s="218">
        <f t="shared" si="25"/>
        <v>-8888</v>
      </c>
      <c r="AT35" s="218">
        <f t="shared" si="25"/>
        <v>-8888</v>
      </c>
      <c r="AU35" s="218">
        <f t="shared" si="25"/>
        <v>-8888</v>
      </c>
      <c r="AV35" s="218">
        <f t="shared" si="25"/>
        <v>0.312</v>
      </c>
      <c r="AW35" s="218">
        <f t="shared" si="25"/>
        <v>0.1</v>
      </c>
      <c r="AX35" s="218">
        <f t="shared" si="25"/>
        <v>0.11600000000000001</v>
      </c>
      <c r="AY35" s="218">
        <f t="shared" si="25"/>
        <v>0.42799999999999999</v>
      </c>
      <c r="AZ35" s="218">
        <f t="shared" si="25"/>
        <v>0.216</v>
      </c>
      <c r="BA35" s="218">
        <f t="shared" si="25"/>
        <v>0.28000000000000003</v>
      </c>
      <c r="BB35" s="218">
        <f t="shared" si="25"/>
        <v>0.52800000000000002</v>
      </c>
      <c r="BC35" s="218">
        <f t="shared" si="25"/>
        <v>0.193</v>
      </c>
      <c r="BD35" s="217">
        <f t="shared" ref="BD35:BJ35" si="26">ROUND(AVERAGE(BD33:BD34),2)</f>
        <v>1.1299999999999999</v>
      </c>
      <c r="BE35" s="217">
        <f t="shared" si="26"/>
        <v>0.54</v>
      </c>
      <c r="BF35" s="217">
        <f t="shared" si="26"/>
        <v>0.47</v>
      </c>
      <c r="BG35" s="217">
        <f t="shared" si="26"/>
        <v>1.45</v>
      </c>
      <c r="BH35" s="217">
        <f t="shared" si="26"/>
        <v>0.19</v>
      </c>
      <c r="BI35" s="217">
        <f t="shared" si="26"/>
        <v>0.81</v>
      </c>
      <c r="BJ35" s="217">
        <f t="shared" si="26"/>
        <v>0.47</v>
      </c>
      <c r="BK35" s="219"/>
      <c r="BL35" s="219"/>
    </row>
    <row r="36" spans="1:64">
      <c r="A36" s="222"/>
      <c r="B36" s="252"/>
      <c r="C36" s="252"/>
      <c r="D36" s="252"/>
      <c r="E36" s="252"/>
      <c r="F36" s="252"/>
      <c r="G36" s="252"/>
      <c r="H36" s="252"/>
      <c r="I36" s="252"/>
      <c r="J36" s="252"/>
      <c r="K36" s="252"/>
      <c r="L36" s="252"/>
      <c r="M36" s="252"/>
      <c r="N36" s="252"/>
      <c r="O36" s="252"/>
      <c r="P36" s="253"/>
      <c r="Q36" s="252"/>
      <c r="R36" s="252"/>
      <c r="S36" s="252"/>
      <c r="T36" s="252"/>
      <c r="U36" s="222" t="s">
        <v>667</v>
      </c>
      <c r="V36" s="222">
        <f t="shared" ref="V36:BC36" si="27">ROUND(STDEV(V33:V34),3)</f>
        <v>2E-3</v>
      </c>
      <c r="W36" s="222">
        <f t="shared" si="27"/>
        <v>0</v>
      </c>
      <c r="X36" s="222">
        <f t="shared" si="27"/>
        <v>1E-3</v>
      </c>
      <c r="Y36" s="222">
        <f t="shared" si="27"/>
        <v>1E-3</v>
      </c>
      <c r="Z36" s="222">
        <f t="shared" si="27"/>
        <v>0</v>
      </c>
      <c r="AA36" s="222">
        <f t="shared" si="27"/>
        <v>1E-3</v>
      </c>
      <c r="AB36" s="222">
        <f t="shared" si="27"/>
        <v>0</v>
      </c>
      <c r="AC36" s="222">
        <f t="shared" si="27"/>
        <v>0</v>
      </c>
      <c r="AD36" s="222">
        <f t="shared" si="27"/>
        <v>0</v>
      </c>
      <c r="AE36" s="222">
        <f t="shared" si="27"/>
        <v>0</v>
      </c>
      <c r="AF36" s="222">
        <f t="shared" si="27"/>
        <v>3.0000000000000001E-3</v>
      </c>
      <c r="AG36" s="222">
        <f t="shared" si="27"/>
        <v>2E-3</v>
      </c>
      <c r="AH36" s="222">
        <f t="shared" si="27"/>
        <v>1E-3</v>
      </c>
      <c r="AI36" s="222">
        <f t="shared" si="27"/>
        <v>1E-3</v>
      </c>
      <c r="AJ36" s="222">
        <f t="shared" si="27"/>
        <v>0</v>
      </c>
      <c r="AK36" s="222">
        <f t="shared" si="27"/>
        <v>0</v>
      </c>
      <c r="AL36" s="222">
        <f t="shared" si="27"/>
        <v>0</v>
      </c>
      <c r="AM36" s="222">
        <f t="shared" si="27"/>
        <v>1E-3</v>
      </c>
      <c r="AN36" s="222">
        <f t="shared" si="27"/>
        <v>1E-3</v>
      </c>
      <c r="AO36" s="222">
        <f t="shared" si="27"/>
        <v>0</v>
      </c>
      <c r="AP36" s="222">
        <f t="shared" si="27"/>
        <v>0</v>
      </c>
      <c r="AQ36" s="222">
        <f t="shared" si="27"/>
        <v>1E-3</v>
      </c>
      <c r="AR36" s="222">
        <f t="shared" si="27"/>
        <v>1E-3</v>
      </c>
      <c r="AS36" s="222">
        <f t="shared" si="27"/>
        <v>0</v>
      </c>
      <c r="AT36" s="222">
        <f t="shared" si="27"/>
        <v>0</v>
      </c>
      <c r="AU36" s="222">
        <f t="shared" si="27"/>
        <v>0</v>
      </c>
      <c r="AV36" s="222">
        <f t="shared" si="27"/>
        <v>4.0000000000000001E-3</v>
      </c>
      <c r="AW36" s="222">
        <f t="shared" si="27"/>
        <v>3.0000000000000001E-3</v>
      </c>
      <c r="AX36" s="222">
        <f t="shared" si="27"/>
        <v>1E-3</v>
      </c>
      <c r="AY36" s="222">
        <f t="shared" si="27"/>
        <v>2E-3</v>
      </c>
      <c r="AZ36" s="222">
        <f t="shared" si="27"/>
        <v>1E-3</v>
      </c>
      <c r="BA36" s="222">
        <f t="shared" si="27"/>
        <v>3.0000000000000001E-3</v>
      </c>
      <c r="BB36" s="222">
        <f t="shared" si="27"/>
        <v>5.0000000000000001E-3</v>
      </c>
      <c r="BC36" s="222">
        <f t="shared" si="27"/>
        <v>1E-3</v>
      </c>
      <c r="BD36" s="221">
        <f t="shared" ref="BD36:BJ36" si="28">ROUND(STDEV(BD33:BD34),2)</f>
        <v>0</v>
      </c>
      <c r="BE36" s="221">
        <f t="shared" si="28"/>
        <v>0.01</v>
      </c>
      <c r="BF36" s="221">
        <f t="shared" si="28"/>
        <v>0.01</v>
      </c>
      <c r="BG36" s="221">
        <f t="shared" si="28"/>
        <v>0.01</v>
      </c>
      <c r="BH36" s="221">
        <f t="shared" si="28"/>
        <v>0</v>
      </c>
      <c r="BI36" s="221">
        <f t="shared" si="28"/>
        <v>0</v>
      </c>
      <c r="BJ36" s="221">
        <f t="shared" si="28"/>
        <v>0</v>
      </c>
      <c r="BK36" s="223"/>
      <c r="BL36" s="223"/>
    </row>
    <row r="37" spans="1:64">
      <c r="A37" s="224"/>
      <c r="B37" s="254"/>
      <c r="C37" s="254"/>
      <c r="D37" s="254"/>
      <c r="E37" s="254"/>
      <c r="F37" s="254"/>
      <c r="G37" s="254"/>
      <c r="H37" s="254"/>
      <c r="I37" s="254"/>
      <c r="J37" s="254"/>
      <c r="K37" s="254"/>
      <c r="L37" s="254"/>
      <c r="M37" s="254"/>
      <c r="N37" s="254"/>
      <c r="O37" s="254"/>
      <c r="P37" s="255"/>
      <c r="Q37" s="254"/>
      <c r="R37" s="254"/>
      <c r="S37" s="254"/>
      <c r="T37" s="254"/>
      <c r="U37" s="225" t="s">
        <v>649</v>
      </c>
      <c r="V37" s="226">
        <f t="shared" ref="V37:BJ37" si="29">ROUND((V36/V35),4)</f>
        <v>8.0999999999999996E-3</v>
      </c>
      <c r="W37" s="226">
        <f t="shared" si="29"/>
        <v>0</v>
      </c>
      <c r="X37" s="226">
        <f t="shared" si="29"/>
        <v>2.1299999999999999E-2</v>
      </c>
      <c r="Y37" s="226">
        <f t="shared" si="29"/>
        <v>4.5499999999999999E-2</v>
      </c>
      <c r="Z37" s="226">
        <f t="shared" si="29"/>
        <v>0</v>
      </c>
      <c r="AA37" s="226">
        <f t="shared" si="29"/>
        <v>2.0799999999999999E-2</v>
      </c>
      <c r="AB37" s="226">
        <f t="shared" si="29"/>
        <v>0</v>
      </c>
      <c r="AC37" s="226">
        <f t="shared" si="29"/>
        <v>0</v>
      </c>
      <c r="AD37" s="226">
        <f t="shared" si="29"/>
        <v>0</v>
      </c>
      <c r="AE37" s="226">
        <f t="shared" si="29"/>
        <v>0</v>
      </c>
      <c r="AF37" s="226">
        <f t="shared" si="29"/>
        <v>0.10340000000000001</v>
      </c>
      <c r="AG37" s="226">
        <f t="shared" si="29"/>
        <v>3.3300000000000003E-2</v>
      </c>
      <c r="AH37" s="226">
        <f t="shared" si="29"/>
        <v>4.7999999999999996E-3</v>
      </c>
      <c r="AI37" s="226">
        <f t="shared" si="29"/>
        <v>2.63E-2</v>
      </c>
      <c r="AJ37" s="226">
        <f t="shared" si="29"/>
        <v>0</v>
      </c>
      <c r="AK37" s="226">
        <f t="shared" si="29"/>
        <v>0</v>
      </c>
      <c r="AL37" s="226">
        <f t="shared" si="29"/>
        <v>0</v>
      </c>
      <c r="AM37" s="226">
        <f t="shared" si="29"/>
        <v>3.4500000000000003E-2</v>
      </c>
      <c r="AN37" s="226">
        <f t="shared" si="29"/>
        <v>5.2600000000000001E-2</v>
      </c>
      <c r="AO37" s="226">
        <f t="shared" si="29"/>
        <v>0</v>
      </c>
      <c r="AP37" s="226">
        <f t="shared" si="29"/>
        <v>0</v>
      </c>
      <c r="AQ37" s="226">
        <f t="shared" si="29"/>
        <v>0.33329999999999999</v>
      </c>
      <c r="AR37" s="226">
        <f t="shared" si="29"/>
        <v>0.33329999999999999</v>
      </c>
      <c r="AS37" s="226">
        <f t="shared" si="29"/>
        <v>0</v>
      </c>
      <c r="AT37" s="226">
        <f t="shared" si="29"/>
        <v>0</v>
      </c>
      <c r="AU37" s="226">
        <f t="shared" si="29"/>
        <v>0</v>
      </c>
      <c r="AV37" s="226">
        <f t="shared" si="29"/>
        <v>1.2800000000000001E-2</v>
      </c>
      <c r="AW37" s="226">
        <f t="shared" si="29"/>
        <v>0.03</v>
      </c>
      <c r="AX37" s="226">
        <f t="shared" si="29"/>
        <v>8.6E-3</v>
      </c>
      <c r="AY37" s="226">
        <f t="shared" si="29"/>
        <v>4.7000000000000002E-3</v>
      </c>
      <c r="AZ37" s="226">
        <f t="shared" si="29"/>
        <v>4.5999999999999999E-3</v>
      </c>
      <c r="BA37" s="226">
        <f t="shared" si="29"/>
        <v>1.0699999999999999E-2</v>
      </c>
      <c r="BB37" s="226">
        <f t="shared" si="29"/>
        <v>9.4999999999999998E-3</v>
      </c>
      <c r="BC37" s="226">
        <f t="shared" si="29"/>
        <v>5.1999999999999998E-3</v>
      </c>
      <c r="BD37" s="226">
        <f t="shared" si="29"/>
        <v>0</v>
      </c>
      <c r="BE37" s="226">
        <f t="shared" si="29"/>
        <v>1.8499999999999999E-2</v>
      </c>
      <c r="BF37" s="226">
        <f t="shared" si="29"/>
        <v>2.1299999999999999E-2</v>
      </c>
      <c r="BG37" s="226">
        <f t="shared" si="29"/>
        <v>6.8999999999999999E-3</v>
      </c>
      <c r="BH37" s="226">
        <f t="shared" si="29"/>
        <v>0</v>
      </c>
      <c r="BI37" s="226">
        <f t="shared" si="29"/>
        <v>0</v>
      </c>
      <c r="BJ37" s="226">
        <f t="shared" si="29"/>
        <v>0</v>
      </c>
      <c r="BK37" s="227">
        <f>V37</f>
        <v>8.0999999999999996E-3</v>
      </c>
      <c r="BL37" s="227">
        <f t="array" ref="BL37">AVERAGE(IF(V37:AG37&gt;-0.001,V37:AG37,""))</f>
        <v>1.9366666666666667E-2</v>
      </c>
    </row>
    <row r="38" spans="1:64">
      <c r="A38" s="246" t="s">
        <v>391</v>
      </c>
      <c r="B38" s="246" t="s">
        <v>435</v>
      </c>
      <c r="C38" s="246" t="s">
        <v>528</v>
      </c>
      <c r="D38" s="246" t="s">
        <v>524</v>
      </c>
      <c r="E38" s="246" t="s">
        <v>272</v>
      </c>
      <c r="F38" s="246">
        <v>547</v>
      </c>
      <c r="G38" s="246">
        <v>3</v>
      </c>
      <c r="H38" s="246">
        <v>3</v>
      </c>
      <c r="I38" s="246">
        <v>35.299999999999997</v>
      </c>
      <c r="J38" s="246">
        <v>76</v>
      </c>
      <c r="K38" s="246" t="s">
        <v>570</v>
      </c>
      <c r="L38" s="246">
        <v>2018</v>
      </c>
      <c r="M38" s="246" t="s">
        <v>624</v>
      </c>
      <c r="N38" s="246">
        <v>21</v>
      </c>
      <c r="O38" s="246">
        <v>294</v>
      </c>
      <c r="P38" s="247" t="s">
        <v>627</v>
      </c>
      <c r="Q38" s="246">
        <v>-70.884</v>
      </c>
      <c r="R38" s="246">
        <v>40.695999999999998</v>
      </c>
      <c r="S38" s="246" t="s">
        <v>271</v>
      </c>
      <c r="T38" s="246">
        <v>25</v>
      </c>
      <c r="U38" s="246" t="s">
        <v>573</v>
      </c>
      <c r="V38" s="248">
        <v>2.5910000000000002</v>
      </c>
      <c r="W38" s="248">
        <v>7.0999999999999994E-2</v>
      </c>
      <c r="X38" s="248">
        <v>0.55600000000000005</v>
      </c>
      <c r="Y38" s="248">
        <v>8.6999999999999994E-2</v>
      </c>
      <c r="Z38" s="248">
        <v>-8888</v>
      </c>
      <c r="AA38" s="248">
        <v>2.1000000000000001E-2</v>
      </c>
      <c r="AB38" s="248">
        <v>1.0999999999999999E-2</v>
      </c>
      <c r="AC38" s="248">
        <v>7.1999999999999995E-2</v>
      </c>
      <c r="AD38" s="248">
        <v>6.0000000000000001E-3</v>
      </c>
      <c r="AE38" s="248">
        <v>1.1739999999999999</v>
      </c>
      <c r="AF38" s="248">
        <v>8.0000000000000002E-3</v>
      </c>
      <c r="AG38" s="248">
        <v>0.01</v>
      </c>
      <c r="AH38" s="248">
        <v>2.395</v>
      </c>
      <c r="AI38" s="248">
        <v>-8888</v>
      </c>
      <c r="AJ38" s="248">
        <v>0.19600000000000001</v>
      </c>
      <c r="AK38" s="248">
        <v>7.0999999999999994E-2</v>
      </c>
      <c r="AL38" s="248">
        <v>-8888</v>
      </c>
      <c r="AM38" s="248">
        <v>0.34200000000000003</v>
      </c>
      <c r="AN38" s="248">
        <v>0.214</v>
      </c>
      <c r="AO38" s="248">
        <v>8.9999999999999993E-3</v>
      </c>
      <c r="AP38" s="248">
        <v>8.9999999999999993E-3</v>
      </c>
      <c r="AQ38" s="248">
        <v>7.0000000000000001E-3</v>
      </c>
      <c r="AR38" s="248">
        <v>5.0999999999999997E-2</v>
      </c>
      <c r="AS38" s="248">
        <v>0.31</v>
      </c>
      <c r="AT38" s="248">
        <v>2.1999999999999999E-2</v>
      </c>
      <c r="AU38" s="248">
        <v>-8888</v>
      </c>
      <c r="AV38" s="248">
        <v>3.2180000000000004</v>
      </c>
      <c r="AW38" s="248">
        <v>0.186</v>
      </c>
      <c r="AX38" s="248">
        <v>1.2029999999999998</v>
      </c>
      <c r="AY38" s="248">
        <v>4.4210000000000003</v>
      </c>
      <c r="AZ38" s="248">
        <v>1.3889999999999998</v>
      </c>
      <c r="BA38" s="248">
        <v>2.016</v>
      </c>
      <c r="BB38" s="248">
        <v>4.6070000000000002</v>
      </c>
      <c r="BC38" s="248">
        <v>1.2949999999999999</v>
      </c>
      <c r="BD38" s="249">
        <v>0.78</v>
      </c>
      <c r="BE38" s="249">
        <v>0.87</v>
      </c>
      <c r="BF38" s="249">
        <v>0.13</v>
      </c>
      <c r="BG38" s="249">
        <v>2.3199999999999998</v>
      </c>
      <c r="BH38" s="249">
        <v>0.04</v>
      </c>
      <c r="BI38" s="249">
        <v>0.96</v>
      </c>
      <c r="BJ38" s="249">
        <v>0.56000000000000005</v>
      </c>
      <c r="BK38" s="244"/>
      <c r="BL38" s="244"/>
    </row>
    <row r="39" spans="1:64">
      <c r="A39" s="246" t="s">
        <v>392</v>
      </c>
      <c r="B39" s="246" t="s">
        <v>435</v>
      </c>
      <c r="C39" s="246" t="s">
        <v>529</v>
      </c>
      <c r="D39" s="246" t="s">
        <v>524</v>
      </c>
      <c r="E39" s="246" t="s">
        <v>272</v>
      </c>
      <c r="F39" s="246">
        <v>532</v>
      </c>
      <c r="G39" s="246">
        <v>3</v>
      </c>
      <c r="H39" s="246">
        <v>3</v>
      </c>
      <c r="I39" s="246">
        <v>35.299999999999997</v>
      </c>
      <c r="J39" s="246">
        <v>76</v>
      </c>
      <c r="K39" s="246" t="s">
        <v>570</v>
      </c>
      <c r="L39" s="246">
        <v>2018</v>
      </c>
      <c r="M39" s="246" t="s">
        <v>624</v>
      </c>
      <c r="N39" s="246">
        <v>21</v>
      </c>
      <c r="O39" s="246">
        <v>294</v>
      </c>
      <c r="P39" s="247" t="s">
        <v>627</v>
      </c>
      <c r="Q39" s="246">
        <v>-70.884</v>
      </c>
      <c r="R39" s="246">
        <v>40.695999999999998</v>
      </c>
      <c r="S39" s="246" t="s">
        <v>271</v>
      </c>
      <c r="T39" s="246">
        <v>25</v>
      </c>
      <c r="U39" s="246" t="s">
        <v>573</v>
      </c>
      <c r="V39" s="248">
        <v>2.222</v>
      </c>
      <c r="W39" s="248">
        <v>6.9000000000000006E-2</v>
      </c>
      <c r="X39" s="248">
        <v>0.47199999999999998</v>
      </c>
      <c r="Y39" s="248">
        <v>7.9000000000000001E-2</v>
      </c>
      <c r="Z39" s="248">
        <v>-8888</v>
      </c>
      <c r="AA39" s="248">
        <v>0.02</v>
      </c>
      <c r="AB39" s="248">
        <v>1.2E-2</v>
      </c>
      <c r="AC39" s="248">
        <v>6.6000000000000003E-2</v>
      </c>
      <c r="AD39" s="248">
        <v>4.0000000000000001E-3</v>
      </c>
      <c r="AE39" s="248">
        <v>0.996</v>
      </c>
      <c r="AF39" s="248">
        <v>6.0000000000000001E-3</v>
      </c>
      <c r="AG39" s="248">
        <v>0.01</v>
      </c>
      <c r="AH39" s="248">
        <v>2.0539999999999998</v>
      </c>
      <c r="AI39" s="248">
        <v>-8888</v>
      </c>
      <c r="AJ39" s="248">
        <v>0.16800000000000001</v>
      </c>
      <c r="AK39" s="248">
        <v>6.9000000000000006E-2</v>
      </c>
      <c r="AL39" s="248">
        <v>-8888</v>
      </c>
      <c r="AM39" s="248">
        <v>0.29799999999999999</v>
      </c>
      <c r="AN39" s="248">
        <v>0.17399999999999999</v>
      </c>
      <c r="AO39" s="248">
        <v>8.9999999999999993E-3</v>
      </c>
      <c r="AP39" s="248">
        <v>8.9999999999999993E-3</v>
      </c>
      <c r="AQ39" s="248">
        <v>7.0000000000000001E-3</v>
      </c>
      <c r="AR39" s="248">
        <v>0.05</v>
      </c>
      <c r="AS39" s="248">
        <v>0.25</v>
      </c>
      <c r="AT39" s="248">
        <v>2.1000000000000001E-2</v>
      </c>
      <c r="AU39" s="248">
        <v>-8888</v>
      </c>
      <c r="AV39" s="248">
        <v>2.7629999999999999</v>
      </c>
      <c r="AW39" s="248">
        <v>0.17099999999999999</v>
      </c>
      <c r="AX39" s="248">
        <v>1.022</v>
      </c>
      <c r="AY39" s="248">
        <v>3.7850000000000001</v>
      </c>
      <c r="AZ39" s="248">
        <v>1.1930000000000001</v>
      </c>
      <c r="BA39" s="248">
        <v>1.734</v>
      </c>
      <c r="BB39" s="248">
        <v>3.956</v>
      </c>
      <c r="BC39" s="248">
        <v>1.113</v>
      </c>
      <c r="BD39" s="249">
        <v>0.78</v>
      </c>
      <c r="BE39" s="249">
        <v>0.86</v>
      </c>
      <c r="BF39" s="249">
        <v>0.14000000000000001</v>
      </c>
      <c r="BG39" s="249">
        <v>2.3199999999999998</v>
      </c>
      <c r="BH39" s="249">
        <v>0.04</v>
      </c>
      <c r="BI39" s="249">
        <v>0.96</v>
      </c>
      <c r="BJ39" s="249">
        <v>0.56000000000000005</v>
      </c>
      <c r="BK39" s="244"/>
      <c r="BL39" s="244"/>
    </row>
    <row r="40" spans="1:64">
      <c r="A40" s="218"/>
      <c r="B40" s="250"/>
      <c r="C40" s="250"/>
      <c r="D40" s="250"/>
      <c r="E40" s="250"/>
      <c r="F40" s="250"/>
      <c r="G40" s="250"/>
      <c r="H40" s="250"/>
      <c r="I40" s="250"/>
      <c r="J40" s="250"/>
      <c r="K40" s="250"/>
      <c r="L40" s="250"/>
      <c r="M40" s="250"/>
      <c r="N40" s="250"/>
      <c r="O40" s="250"/>
      <c r="P40" s="251"/>
      <c r="Q40" s="250"/>
      <c r="R40" s="250"/>
      <c r="S40" s="250"/>
      <c r="T40" s="250"/>
      <c r="U40" s="218" t="s">
        <v>666</v>
      </c>
      <c r="V40" s="218">
        <f t="shared" ref="V40:BC40" si="30">ROUND(AVERAGE(V38:V39),3)</f>
        <v>2.407</v>
      </c>
      <c r="W40" s="218">
        <f t="shared" si="30"/>
        <v>7.0000000000000007E-2</v>
      </c>
      <c r="X40" s="218">
        <f t="shared" si="30"/>
        <v>0.51400000000000001</v>
      </c>
      <c r="Y40" s="218">
        <f t="shared" si="30"/>
        <v>8.3000000000000004E-2</v>
      </c>
      <c r="Z40" s="218">
        <f t="shared" si="30"/>
        <v>-8888</v>
      </c>
      <c r="AA40" s="218">
        <f t="shared" si="30"/>
        <v>2.1000000000000001E-2</v>
      </c>
      <c r="AB40" s="218">
        <f t="shared" si="30"/>
        <v>1.2E-2</v>
      </c>
      <c r="AC40" s="218">
        <f t="shared" si="30"/>
        <v>6.9000000000000006E-2</v>
      </c>
      <c r="AD40" s="218">
        <f t="shared" si="30"/>
        <v>5.0000000000000001E-3</v>
      </c>
      <c r="AE40" s="218">
        <f t="shared" si="30"/>
        <v>1.085</v>
      </c>
      <c r="AF40" s="218">
        <f t="shared" si="30"/>
        <v>7.0000000000000001E-3</v>
      </c>
      <c r="AG40" s="218">
        <f t="shared" si="30"/>
        <v>0.01</v>
      </c>
      <c r="AH40" s="218">
        <f t="shared" si="30"/>
        <v>2.2250000000000001</v>
      </c>
      <c r="AI40" s="218">
        <f t="shared" si="30"/>
        <v>-8888</v>
      </c>
      <c r="AJ40" s="218">
        <f t="shared" si="30"/>
        <v>0.182</v>
      </c>
      <c r="AK40" s="218">
        <f t="shared" si="30"/>
        <v>7.0000000000000007E-2</v>
      </c>
      <c r="AL40" s="218">
        <f t="shared" si="30"/>
        <v>-8888</v>
      </c>
      <c r="AM40" s="218">
        <f t="shared" si="30"/>
        <v>0.32</v>
      </c>
      <c r="AN40" s="218">
        <f t="shared" si="30"/>
        <v>0.19400000000000001</v>
      </c>
      <c r="AO40" s="218">
        <f t="shared" si="30"/>
        <v>8.9999999999999993E-3</v>
      </c>
      <c r="AP40" s="218">
        <f t="shared" si="30"/>
        <v>8.9999999999999993E-3</v>
      </c>
      <c r="AQ40" s="218">
        <f t="shared" si="30"/>
        <v>7.0000000000000001E-3</v>
      </c>
      <c r="AR40" s="218">
        <f t="shared" si="30"/>
        <v>5.0999999999999997E-2</v>
      </c>
      <c r="AS40" s="218">
        <f t="shared" si="30"/>
        <v>0.28000000000000003</v>
      </c>
      <c r="AT40" s="218">
        <f t="shared" si="30"/>
        <v>2.1999999999999999E-2</v>
      </c>
      <c r="AU40" s="218">
        <f t="shared" si="30"/>
        <v>-8888</v>
      </c>
      <c r="AV40" s="218">
        <f t="shared" si="30"/>
        <v>2.9910000000000001</v>
      </c>
      <c r="AW40" s="218">
        <f t="shared" si="30"/>
        <v>0.17899999999999999</v>
      </c>
      <c r="AX40" s="218">
        <f t="shared" si="30"/>
        <v>1.113</v>
      </c>
      <c r="AY40" s="218">
        <f t="shared" si="30"/>
        <v>4.1029999999999998</v>
      </c>
      <c r="AZ40" s="218">
        <f t="shared" si="30"/>
        <v>1.2909999999999999</v>
      </c>
      <c r="BA40" s="218">
        <f t="shared" si="30"/>
        <v>1.875</v>
      </c>
      <c r="BB40" s="218">
        <f t="shared" si="30"/>
        <v>4.282</v>
      </c>
      <c r="BC40" s="218">
        <f t="shared" si="30"/>
        <v>1.204</v>
      </c>
      <c r="BD40" s="217">
        <f t="shared" ref="BD40:BJ40" si="31">ROUND(AVERAGE(BD38:BD39),2)</f>
        <v>0.78</v>
      </c>
      <c r="BE40" s="217">
        <f t="shared" si="31"/>
        <v>0.87</v>
      </c>
      <c r="BF40" s="217">
        <f t="shared" si="31"/>
        <v>0.14000000000000001</v>
      </c>
      <c r="BG40" s="217">
        <f t="shared" si="31"/>
        <v>2.3199999999999998</v>
      </c>
      <c r="BH40" s="217">
        <f t="shared" si="31"/>
        <v>0.04</v>
      </c>
      <c r="BI40" s="217">
        <f t="shared" si="31"/>
        <v>0.96</v>
      </c>
      <c r="BJ40" s="217">
        <f t="shared" si="31"/>
        <v>0.56000000000000005</v>
      </c>
      <c r="BK40" s="219"/>
      <c r="BL40" s="219"/>
    </row>
    <row r="41" spans="1:64">
      <c r="A41" s="222"/>
      <c r="B41" s="252"/>
      <c r="C41" s="252"/>
      <c r="D41" s="252"/>
      <c r="E41" s="252"/>
      <c r="F41" s="252"/>
      <c r="G41" s="252"/>
      <c r="H41" s="252"/>
      <c r="I41" s="252"/>
      <c r="J41" s="252"/>
      <c r="K41" s="252"/>
      <c r="L41" s="252"/>
      <c r="M41" s="252"/>
      <c r="N41" s="252"/>
      <c r="O41" s="252"/>
      <c r="P41" s="253"/>
      <c r="Q41" s="252"/>
      <c r="R41" s="252"/>
      <c r="S41" s="252"/>
      <c r="T41" s="252"/>
      <c r="U41" s="222" t="s">
        <v>667</v>
      </c>
      <c r="V41" s="222">
        <f t="shared" ref="V41:BC41" si="32">ROUND(STDEV(V38:V39),3)</f>
        <v>0.26100000000000001</v>
      </c>
      <c r="W41" s="222">
        <f t="shared" si="32"/>
        <v>1E-3</v>
      </c>
      <c r="X41" s="222">
        <f t="shared" si="32"/>
        <v>5.8999999999999997E-2</v>
      </c>
      <c r="Y41" s="222">
        <f t="shared" si="32"/>
        <v>6.0000000000000001E-3</v>
      </c>
      <c r="Z41" s="222">
        <f t="shared" si="32"/>
        <v>0</v>
      </c>
      <c r="AA41" s="222">
        <f t="shared" si="32"/>
        <v>1E-3</v>
      </c>
      <c r="AB41" s="222">
        <f t="shared" si="32"/>
        <v>1E-3</v>
      </c>
      <c r="AC41" s="222">
        <f t="shared" si="32"/>
        <v>4.0000000000000001E-3</v>
      </c>
      <c r="AD41" s="222">
        <f t="shared" si="32"/>
        <v>1E-3</v>
      </c>
      <c r="AE41" s="222">
        <f t="shared" si="32"/>
        <v>0.126</v>
      </c>
      <c r="AF41" s="222">
        <f t="shared" si="32"/>
        <v>1E-3</v>
      </c>
      <c r="AG41" s="222">
        <f t="shared" si="32"/>
        <v>0</v>
      </c>
      <c r="AH41" s="222">
        <f t="shared" si="32"/>
        <v>0.24099999999999999</v>
      </c>
      <c r="AI41" s="222">
        <f t="shared" si="32"/>
        <v>0</v>
      </c>
      <c r="AJ41" s="222">
        <f t="shared" si="32"/>
        <v>0.02</v>
      </c>
      <c r="AK41" s="222">
        <f t="shared" si="32"/>
        <v>1E-3</v>
      </c>
      <c r="AL41" s="222">
        <f t="shared" si="32"/>
        <v>0</v>
      </c>
      <c r="AM41" s="222">
        <f t="shared" si="32"/>
        <v>3.1E-2</v>
      </c>
      <c r="AN41" s="222">
        <f t="shared" si="32"/>
        <v>2.8000000000000001E-2</v>
      </c>
      <c r="AO41" s="222">
        <f t="shared" si="32"/>
        <v>0</v>
      </c>
      <c r="AP41" s="222">
        <f t="shared" si="32"/>
        <v>0</v>
      </c>
      <c r="AQ41" s="222">
        <f t="shared" si="32"/>
        <v>0</v>
      </c>
      <c r="AR41" s="222">
        <f t="shared" si="32"/>
        <v>1E-3</v>
      </c>
      <c r="AS41" s="222">
        <f t="shared" si="32"/>
        <v>4.2000000000000003E-2</v>
      </c>
      <c r="AT41" s="222">
        <f t="shared" si="32"/>
        <v>1E-3</v>
      </c>
      <c r="AU41" s="222">
        <f t="shared" si="32"/>
        <v>0</v>
      </c>
      <c r="AV41" s="222">
        <f t="shared" si="32"/>
        <v>0.32200000000000001</v>
      </c>
      <c r="AW41" s="222">
        <f t="shared" si="32"/>
        <v>1.0999999999999999E-2</v>
      </c>
      <c r="AX41" s="222">
        <f t="shared" si="32"/>
        <v>0.128</v>
      </c>
      <c r="AY41" s="222">
        <f t="shared" si="32"/>
        <v>0.45</v>
      </c>
      <c r="AZ41" s="222">
        <f t="shared" si="32"/>
        <v>0.13900000000000001</v>
      </c>
      <c r="BA41" s="222">
        <f t="shared" si="32"/>
        <v>0.19900000000000001</v>
      </c>
      <c r="BB41" s="222">
        <f t="shared" si="32"/>
        <v>0.46</v>
      </c>
      <c r="BC41" s="222">
        <f t="shared" si="32"/>
        <v>0.129</v>
      </c>
      <c r="BD41" s="221">
        <f t="shared" ref="BD41:BJ41" si="33">ROUND(STDEV(BD38:BD39),2)</f>
        <v>0</v>
      </c>
      <c r="BE41" s="221">
        <f t="shared" si="33"/>
        <v>0.01</v>
      </c>
      <c r="BF41" s="221">
        <f t="shared" si="33"/>
        <v>0.01</v>
      </c>
      <c r="BG41" s="221">
        <f t="shared" si="33"/>
        <v>0</v>
      </c>
      <c r="BH41" s="221">
        <f t="shared" si="33"/>
        <v>0</v>
      </c>
      <c r="BI41" s="221">
        <f t="shared" si="33"/>
        <v>0</v>
      </c>
      <c r="BJ41" s="221">
        <f t="shared" si="33"/>
        <v>0</v>
      </c>
      <c r="BK41" s="223"/>
      <c r="BL41" s="223"/>
    </row>
    <row r="42" spans="1:64">
      <c r="A42" s="224"/>
      <c r="B42" s="254"/>
      <c r="C42" s="254"/>
      <c r="D42" s="254"/>
      <c r="E42" s="254"/>
      <c r="F42" s="254"/>
      <c r="G42" s="254"/>
      <c r="H42" s="254"/>
      <c r="I42" s="254"/>
      <c r="J42" s="254"/>
      <c r="K42" s="254"/>
      <c r="L42" s="254"/>
      <c r="M42" s="254"/>
      <c r="N42" s="254"/>
      <c r="O42" s="254"/>
      <c r="P42" s="255"/>
      <c r="Q42" s="254"/>
      <c r="R42" s="254"/>
      <c r="S42" s="254"/>
      <c r="T42" s="254"/>
      <c r="U42" s="225" t="s">
        <v>649</v>
      </c>
      <c r="V42" s="226">
        <f t="shared" ref="V42:BJ42" si="34">ROUND((V41/V40),4)</f>
        <v>0.1084</v>
      </c>
      <c r="W42" s="226">
        <f t="shared" si="34"/>
        <v>1.43E-2</v>
      </c>
      <c r="X42" s="226">
        <f t="shared" si="34"/>
        <v>0.1148</v>
      </c>
      <c r="Y42" s="226">
        <f t="shared" si="34"/>
        <v>7.2300000000000003E-2</v>
      </c>
      <c r="Z42" s="226">
        <f t="shared" si="34"/>
        <v>0</v>
      </c>
      <c r="AA42" s="226">
        <f t="shared" si="34"/>
        <v>4.7600000000000003E-2</v>
      </c>
      <c r="AB42" s="226">
        <f t="shared" si="34"/>
        <v>8.3299999999999999E-2</v>
      </c>
      <c r="AC42" s="226">
        <f t="shared" si="34"/>
        <v>5.8000000000000003E-2</v>
      </c>
      <c r="AD42" s="226">
        <f t="shared" si="34"/>
        <v>0.2</v>
      </c>
      <c r="AE42" s="226">
        <f t="shared" si="34"/>
        <v>0.11609999999999999</v>
      </c>
      <c r="AF42" s="226">
        <f t="shared" si="34"/>
        <v>0.1429</v>
      </c>
      <c r="AG42" s="226">
        <f t="shared" si="34"/>
        <v>0</v>
      </c>
      <c r="AH42" s="226">
        <f t="shared" si="34"/>
        <v>0.10829999999999999</v>
      </c>
      <c r="AI42" s="226">
        <f t="shared" si="34"/>
        <v>0</v>
      </c>
      <c r="AJ42" s="226">
        <f t="shared" si="34"/>
        <v>0.1099</v>
      </c>
      <c r="AK42" s="226">
        <f t="shared" si="34"/>
        <v>1.43E-2</v>
      </c>
      <c r="AL42" s="226">
        <f t="shared" si="34"/>
        <v>0</v>
      </c>
      <c r="AM42" s="226">
        <f t="shared" si="34"/>
        <v>9.69E-2</v>
      </c>
      <c r="AN42" s="226">
        <f t="shared" si="34"/>
        <v>0.14430000000000001</v>
      </c>
      <c r="AO42" s="226">
        <f t="shared" si="34"/>
        <v>0</v>
      </c>
      <c r="AP42" s="226">
        <f t="shared" si="34"/>
        <v>0</v>
      </c>
      <c r="AQ42" s="226">
        <f t="shared" si="34"/>
        <v>0</v>
      </c>
      <c r="AR42" s="226">
        <f t="shared" si="34"/>
        <v>1.9599999999999999E-2</v>
      </c>
      <c r="AS42" s="226">
        <f t="shared" si="34"/>
        <v>0.15</v>
      </c>
      <c r="AT42" s="226">
        <f t="shared" si="34"/>
        <v>4.5499999999999999E-2</v>
      </c>
      <c r="AU42" s="226">
        <f t="shared" si="34"/>
        <v>0</v>
      </c>
      <c r="AV42" s="226">
        <f t="shared" si="34"/>
        <v>0.1077</v>
      </c>
      <c r="AW42" s="226">
        <f t="shared" si="34"/>
        <v>6.1499999999999999E-2</v>
      </c>
      <c r="AX42" s="226">
        <f t="shared" si="34"/>
        <v>0.115</v>
      </c>
      <c r="AY42" s="226">
        <f t="shared" si="34"/>
        <v>0.10970000000000001</v>
      </c>
      <c r="AZ42" s="226">
        <f t="shared" si="34"/>
        <v>0.1077</v>
      </c>
      <c r="BA42" s="226">
        <f t="shared" si="34"/>
        <v>0.1061</v>
      </c>
      <c r="BB42" s="226">
        <f t="shared" si="34"/>
        <v>0.1074</v>
      </c>
      <c r="BC42" s="226">
        <f t="shared" si="34"/>
        <v>0.1071</v>
      </c>
      <c r="BD42" s="226">
        <f t="shared" si="34"/>
        <v>0</v>
      </c>
      <c r="BE42" s="226">
        <f t="shared" si="34"/>
        <v>1.15E-2</v>
      </c>
      <c r="BF42" s="226">
        <f t="shared" si="34"/>
        <v>7.1400000000000005E-2</v>
      </c>
      <c r="BG42" s="226">
        <f t="shared" si="34"/>
        <v>0</v>
      </c>
      <c r="BH42" s="226">
        <f t="shared" si="34"/>
        <v>0</v>
      </c>
      <c r="BI42" s="226">
        <f t="shared" si="34"/>
        <v>0</v>
      </c>
      <c r="BJ42" s="226">
        <f t="shared" si="34"/>
        <v>0</v>
      </c>
      <c r="BK42" s="227">
        <f>V42</f>
        <v>0.1084</v>
      </c>
      <c r="BL42" s="227">
        <f t="array" ref="BL42">AVERAGE(IF(V42:AG42&gt;-0.001,V42:AG42,""))</f>
        <v>7.9808333333333328E-2</v>
      </c>
    </row>
    <row r="43" spans="1:64">
      <c r="A43" s="246" t="s">
        <v>398</v>
      </c>
      <c r="B43" s="246" t="s">
        <v>435</v>
      </c>
      <c r="C43" s="246" t="s">
        <v>536</v>
      </c>
      <c r="D43" s="246" t="s">
        <v>524</v>
      </c>
      <c r="E43" s="246" t="s">
        <v>272</v>
      </c>
      <c r="F43" s="246">
        <v>547</v>
      </c>
      <c r="G43" s="246">
        <v>6</v>
      </c>
      <c r="H43" s="246">
        <v>3</v>
      </c>
      <c r="I43" s="246">
        <v>3.4</v>
      </c>
      <c r="J43" s="246">
        <v>23</v>
      </c>
      <c r="K43" s="246" t="s">
        <v>570</v>
      </c>
      <c r="L43" s="246">
        <v>2018</v>
      </c>
      <c r="M43" s="246" t="s">
        <v>624</v>
      </c>
      <c r="N43" s="246">
        <v>21</v>
      </c>
      <c r="O43" s="246">
        <v>294</v>
      </c>
      <c r="P43" s="247" t="s">
        <v>630</v>
      </c>
      <c r="Q43" s="246">
        <v>-70.882999999999996</v>
      </c>
      <c r="R43" s="246">
        <v>41.197000000000003</v>
      </c>
      <c r="S43" s="246" t="s">
        <v>271</v>
      </c>
      <c r="T43" s="246">
        <v>25</v>
      </c>
      <c r="U43" s="246" t="s">
        <v>573</v>
      </c>
      <c r="V43" s="248">
        <v>3.1750000000000003</v>
      </c>
      <c r="W43" s="248">
        <v>0.03</v>
      </c>
      <c r="X43" s="248">
        <v>0.69299999999999995</v>
      </c>
      <c r="Y43" s="248">
        <v>0.122</v>
      </c>
      <c r="Z43" s="248">
        <v>-8888</v>
      </c>
      <c r="AA43" s="248">
        <v>1.2E-2</v>
      </c>
      <c r="AB43" s="248">
        <v>2.5000000000000001E-2</v>
      </c>
      <c r="AC43" s="248">
        <v>0.121</v>
      </c>
      <c r="AD43" s="248">
        <v>0.01</v>
      </c>
      <c r="AE43" s="248">
        <v>1.415</v>
      </c>
      <c r="AF43" s="248">
        <v>1.0999999999999999E-2</v>
      </c>
      <c r="AG43" s="248">
        <v>5.0000000000000001E-3</v>
      </c>
      <c r="AH43" s="248">
        <v>2.5070000000000001</v>
      </c>
      <c r="AI43" s="248">
        <v>-8888</v>
      </c>
      <c r="AJ43" s="248">
        <v>0.66800000000000004</v>
      </c>
      <c r="AK43" s="248">
        <v>0.03</v>
      </c>
      <c r="AL43" s="248">
        <v>-8888</v>
      </c>
      <c r="AM43" s="248">
        <v>0.60699999999999998</v>
      </c>
      <c r="AN43" s="248">
        <v>8.5999999999999993E-2</v>
      </c>
      <c r="AO43" s="248">
        <v>2E-3</v>
      </c>
      <c r="AP43" s="248">
        <v>-8888</v>
      </c>
      <c r="AQ43" s="248">
        <v>7.0000000000000001E-3</v>
      </c>
      <c r="AR43" s="248">
        <v>0.13600000000000001</v>
      </c>
      <c r="AS43" s="248">
        <v>0.81399999999999995</v>
      </c>
      <c r="AT43" s="248">
        <v>5.0000000000000001E-3</v>
      </c>
      <c r="AU43" s="248">
        <v>-8888</v>
      </c>
      <c r="AV43" s="248">
        <v>3.8980000000000001</v>
      </c>
      <c r="AW43" s="248">
        <v>0.28300000000000003</v>
      </c>
      <c r="AX43" s="248">
        <v>1.4379999999999999</v>
      </c>
      <c r="AY43" s="248">
        <v>5.3360000000000003</v>
      </c>
      <c r="AZ43" s="248">
        <v>1.7210000000000001</v>
      </c>
      <c r="BA43" s="248">
        <v>2.444</v>
      </c>
      <c r="BB43" s="248">
        <v>5.6189999999999998</v>
      </c>
      <c r="BC43" s="248">
        <v>1.498</v>
      </c>
      <c r="BD43" s="249">
        <v>0.77</v>
      </c>
      <c r="BE43" s="249">
        <v>0.84</v>
      </c>
      <c r="BF43" s="249">
        <v>0.16</v>
      </c>
      <c r="BG43" s="249">
        <v>2.2599999999999998</v>
      </c>
      <c r="BH43" s="249">
        <v>0.05</v>
      </c>
      <c r="BI43" s="249">
        <v>0.95</v>
      </c>
      <c r="BJ43" s="249">
        <v>0.56999999999999995</v>
      </c>
      <c r="BK43" s="244"/>
      <c r="BL43" s="244"/>
    </row>
    <row r="44" spans="1:64">
      <c r="A44" s="246" t="s">
        <v>399</v>
      </c>
      <c r="B44" s="246" t="s">
        <v>435</v>
      </c>
      <c r="C44" s="246" t="s">
        <v>537</v>
      </c>
      <c r="D44" s="246" t="s">
        <v>524</v>
      </c>
      <c r="E44" s="246" t="s">
        <v>272</v>
      </c>
      <c r="F44" s="246">
        <v>548</v>
      </c>
      <c r="G44" s="246">
        <v>6</v>
      </c>
      <c r="H44" s="246">
        <v>3</v>
      </c>
      <c r="I44" s="246">
        <v>3.4</v>
      </c>
      <c r="J44" s="246">
        <v>23</v>
      </c>
      <c r="K44" s="246" t="s">
        <v>570</v>
      </c>
      <c r="L44" s="246">
        <v>2018</v>
      </c>
      <c r="M44" s="246" t="s">
        <v>624</v>
      </c>
      <c r="N44" s="246">
        <v>21</v>
      </c>
      <c r="O44" s="246">
        <v>294</v>
      </c>
      <c r="P44" s="247" t="s">
        <v>630</v>
      </c>
      <c r="Q44" s="246">
        <v>-70.882999999999996</v>
      </c>
      <c r="R44" s="246">
        <v>41.197000000000003</v>
      </c>
      <c r="S44" s="246" t="s">
        <v>271</v>
      </c>
      <c r="T44" s="246">
        <v>25</v>
      </c>
      <c r="U44" s="246" t="s">
        <v>573</v>
      </c>
      <c r="V44" s="248">
        <v>3.2199999999999998</v>
      </c>
      <c r="W44" s="248">
        <v>3.2000000000000001E-2</v>
      </c>
      <c r="X44" s="248">
        <v>0.68099999999999994</v>
      </c>
      <c r="Y44" s="248">
        <v>0.126</v>
      </c>
      <c r="Z44" s="248">
        <v>-8888</v>
      </c>
      <c r="AA44" s="248">
        <v>1.6E-2</v>
      </c>
      <c r="AB44" s="248">
        <v>3.9E-2</v>
      </c>
      <c r="AC44" s="248">
        <v>0.124</v>
      </c>
      <c r="AD44" s="248">
        <v>0.01</v>
      </c>
      <c r="AE44" s="248">
        <v>1.413</v>
      </c>
      <c r="AF44" s="248">
        <v>1.6E-2</v>
      </c>
      <c r="AG44" s="248">
        <v>4.0000000000000001E-3</v>
      </c>
      <c r="AH44" s="248">
        <v>2.5179999999999998</v>
      </c>
      <c r="AI44" s="248">
        <v>-8888</v>
      </c>
      <c r="AJ44" s="248">
        <v>0.70199999999999996</v>
      </c>
      <c r="AK44" s="248">
        <v>3.2000000000000001E-2</v>
      </c>
      <c r="AL44" s="248">
        <v>-8888</v>
      </c>
      <c r="AM44" s="248">
        <v>0.59799999999999998</v>
      </c>
      <c r="AN44" s="248">
        <v>8.3000000000000004E-2</v>
      </c>
      <c r="AO44" s="248">
        <v>2E-3</v>
      </c>
      <c r="AP44" s="248">
        <v>-8888</v>
      </c>
      <c r="AQ44" s="248">
        <v>7.0000000000000001E-3</v>
      </c>
      <c r="AR44" s="248">
        <v>0.14699999999999999</v>
      </c>
      <c r="AS44" s="248">
        <v>0.70199999999999996</v>
      </c>
      <c r="AT44" s="248">
        <v>7.0000000000000001E-3</v>
      </c>
      <c r="AU44" s="248">
        <v>-8888</v>
      </c>
      <c r="AV44" s="248">
        <v>3.9329999999999998</v>
      </c>
      <c r="AW44" s="248">
        <v>0.30300000000000005</v>
      </c>
      <c r="AX44" s="248">
        <v>1.4450000000000001</v>
      </c>
      <c r="AY44" s="248">
        <v>5.3780000000000001</v>
      </c>
      <c r="AZ44" s="248">
        <v>1.7480000000000002</v>
      </c>
      <c r="BA44" s="248">
        <v>2.4610000000000003</v>
      </c>
      <c r="BB44" s="248">
        <v>5.681</v>
      </c>
      <c r="BC44" s="248">
        <v>1.52</v>
      </c>
      <c r="BD44" s="249">
        <v>0.76</v>
      </c>
      <c r="BE44" s="249">
        <v>0.83</v>
      </c>
      <c r="BF44" s="249">
        <v>0.17</v>
      </c>
      <c r="BG44" s="249">
        <v>2.25</v>
      </c>
      <c r="BH44" s="249">
        <v>0.05</v>
      </c>
      <c r="BI44" s="249">
        <v>0.95</v>
      </c>
      <c r="BJ44" s="249">
        <v>0.56999999999999995</v>
      </c>
      <c r="BK44" s="244"/>
      <c r="BL44" s="244"/>
    </row>
    <row r="45" spans="1:64">
      <c r="A45" s="218"/>
      <c r="B45" s="250"/>
      <c r="C45" s="250"/>
      <c r="D45" s="250"/>
      <c r="E45" s="250"/>
      <c r="F45" s="250"/>
      <c r="G45" s="250"/>
      <c r="H45" s="250"/>
      <c r="I45" s="250"/>
      <c r="J45" s="250"/>
      <c r="K45" s="250"/>
      <c r="L45" s="250"/>
      <c r="M45" s="250"/>
      <c r="N45" s="250"/>
      <c r="O45" s="250"/>
      <c r="P45" s="251"/>
      <c r="Q45" s="250"/>
      <c r="R45" s="250"/>
      <c r="S45" s="250"/>
      <c r="T45" s="250"/>
      <c r="U45" s="218" t="s">
        <v>666</v>
      </c>
      <c r="V45" s="218">
        <f t="shared" ref="V45:BC45" si="35">ROUND(AVERAGE(V43:V44),3)</f>
        <v>3.198</v>
      </c>
      <c r="W45" s="218">
        <f t="shared" si="35"/>
        <v>3.1E-2</v>
      </c>
      <c r="X45" s="218">
        <f t="shared" si="35"/>
        <v>0.68700000000000006</v>
      </c>
      <c r="Y45" s="218">
        <f t="shared" si="35"/>
        <v>0.124</v>
      </c>
      <c r="Z45" s="218">
        <f t="shared" si="35"/>
        <v>-8888</v>
      </c>
      <c r="AA45" s="218">
        <f t="shared" si="35"/>
        <v>1.4E-2</v>
      </c>
      <c r="AB45" s="218">
        <f t="shared" si="35"/>
        <v>3.2000000000000001E-2</v>
      </c>
      <c r="AC45" s="218">
        <f t="shared" si="35"/>
        <v>0.123</v>
      </c>
      <c r="AD45" s="218">
        <f t="shared" si="35"/>
        <v>0.01</v>
      </c>
      <c r="AE45" s="218">
        <f t="shared" si="35"/>
        <v>1.4139999999999999</v>
      </c>
      <c r="AF45" s="218">
        <f t="shared" si="35"/>
        <v>1.4E-2</v>
      </c>
      <c r="AG45" s="218">
        <f t="shared" si="35"/>
        <v>5.0000000000000001E-3</v>
      </c>
      <c r="AH45" s="218">
        <f t="shared" si="35"/>
        <v>2.5129999999999999</v>
      </c>
      <c r="AI45" s="218">
        <f t="shared" si="35"/>
        <v>-8888</v>
      </c>
      <c r="AJ45" s="218">
        <f t="shared" si="35"/>
        <v>0.68500000000000005</v>
      </c>
      <c r="AK45" s="218">
        <f t="shared" si="35"/>
        <v>3.1E-2</v>
      </c>
      <c r="AL45" s="218">
        <f t="shared" si="35"/>
        <v>-8888</v>
      </c>
      <c r="AM45" s="218">
        <f t="shared" si="35"/>
        <v>0.60299999999999998</v>
      </c>
      <c r="AN45" s="218">
        <f t="shared" si="35"/>
        <v>8.5000000000000006E-2</v>
      </c>
      <c r="AO45" s="218">
        <f t="shared" si="35"/>
        <v>2E-3</v>
      </c>
      <c r="AP45" s="218">
        <f t="shared" si="35"/>
        <v>-8888</v>
      </c>
      <c r="AQ45" s="218">
        <f t="shared" si="35"/>
        <v>7.0000000000000001E-3</v>
      </c>
      <c r="AR45" s="218">
        <f t="shared" si="35"/>
        <v>0.14199999999999999</v>
      </c>
      <c r="AS45" s="218">
        <f t="shared" si="35"/>
        <v>0.75800000000000001</v>
      </c>
      <c r="AT45" s="218">
        <f t="shared" si="35"/>
        <v>6.0000000000000001E-3</v>
      </c>
      <c r="AU45" s="218">
        <f t="shared" si="35"/>
        <v>-8888</v>
      </c>
      <c r="AV45" s="218">
        <f t="shared" si="35"/>
        <v>3.9159999999999999</v>
      </c>
      <c r="AW45" s="218">
        <f t="shared" si="35"/>
        <v>0.29299999999999998</v>
      </c>
      <c r="AX45" s="218">
        <f t="shared" si="35"/>
        <v>1.4419999999999999</v>
      </c>
      <c r="AY45" s="218">
        <f t="shared" si="35"/>
        <v>5.3570000000000002</v>
      </c>
      <c r="AZ45" s="218">
        <f t="shared" si="35"/>
        <v>1.7350000000000001</v>
      </c>
      <c r="BA45" s="218">
        <f t="shared" si="35"/>
        <v>2.4529999999999998</v>
      </c>
      <c r="BB45" s="218">
        <f t="shared" si="35"/>
        <v>5.65</v>
      </c>
      <c r="BC45" s="218">
        <f t="shared" si="35"/>
        <v>1.5089999999999999</v>
      </c>
      <c r="BD45" s="217">
        <f t="shared" ref="BD45:BJ45" si="36">ROUND(AVERAGE(BD43:BD44),2)</f>
        <v>0.77</v>
      </c>
      <c r="BE45" s="217">
        <f t="shared" si="36"/>
        <v>0.84</v>
      </c>
      <c r="BF45" s="217">
        <f t="shared" si="36"/>
        <v>0.17</v>
      </c>
      <c r="BG45" s="217">
        <f t="shared" si="36"/>
        <v>2.2599999999999998</v>
      </c>
      <c r="BH45" s="217">
        <f t="shared" si="36"/>
        <v>0.05</v>
      </c>
      <c r="BI45" s="217">
        <f t="shared" si="36"/>
        <v>0.95</v>
      </c>
      <c r="BJ45" s="217">
        <f t="shared" si="36"/>
        <v>0.56999999999999995</v>
      </c>
      <c r="BK45" s="219"/>
      <c r="BL45" s="219"/>
    </row>
    <row r="46" spans="1:64">
      <c r="A46" s="222"/>
      <c r="B46" s="252"/>
      <c r="C46" s="252"/>
      <c r="D46" s="252"/>
      <c r="E46" s="252"/>
      <c r="F46" s="252"/>
      <c r="G46" s="252"/>
      <c r="H46" s="252"/>
      <c r="I46" s="252"/>
      <c r="J46" s="252"/>
      <c r="K46" s="252"/>
      <c r="L46" s="252"/>
      <c r="M46" s="252"/>
      <c r="N46" s="252"/>
      <c r="O46" s="252"/>
      <c r="P46" s="253"/>
      <c r="Q46" s="252"/>
      <c r="R46" s="252"/>
      <c r="S46" s="252"/>
      <c r="T46" s="252"/>
      <c r="U46" s="222" t="s">
        <v>667</v>
      </c>
      <c r="V46" s="222">
        <f t="shared" ref="V46:BC46" si="37">ROUND(STDEV(V43:V44),3)</f>
        <v>3.2000000000000001E-2</v>
      </c>
      <c r="W46" s="222">
        <f t="shared" si="37"/>
        <v>1E-3</v>
      </c>
      <c r="X46" s="222">
        <f t="shared" si="37"/>
        <v>8.0000000000000002E-3</v>
      </c>
      <c r="Y46" s="222">
        <f t="shared" si="37"/>
        <v>3.0000000000000001E-3</v>
      </c>
      <c r="Z46" s="222">
        <f t="shared" si="37"/>
        <v>0</v>
      </c>
      <c r="AA46" s="222">
        <f t="shared" si="37"/>
        <v>3.0000000000000001E-3</v>
      </c>
      <c r="AB46" s="222">
        <f t="shared" si="37"/>
        <v>0.01</v>
      </c>
      <c r="AC46" s="222">
        <f t="shared" si="37"/>
        <v>2E-3</v>
      </c>
      <c r="AD46" s="222">
        <f t="shared" si="37"/>
        <v>0</v>
      </c>
      <c r="AE46" s="222">
        <f t="shared" si="37"/>
        <v>1E-3</v>
      </c>
      <c r="AF46" s="222">
        <f t="shared" si="37"/>
        <v>4.0000000000000001E-3</v>
      </c>
      <c r="AG46" s="222">
        <f t="shared" si="37"/>
        <v>1E-3</v>
      </c>
      <c r="AH46" s="222">
        <f t="shared" si="37"/>
        <v>8.0000000000000002E-3</v>
      </c>
      <c r="AI46" s="222">
        <f t="shared" si="37"/>
        <v>0</v>
      </c>
      <c r="AJ46" s="222">
        <f t="shared" si="37"/>
        <v>2.4E-2</v>
      </c>
      <c r="AK46" s="222">
        <f t="shared" si="37"/>
        <v>1E-3</v>
      </c>
      <c r="AL46" s="222">
        <f t="shared" si="37"/>
        <v>0</v>
      </c>
      <c r="AM46" s="222">
        <f t="shared" si="37"/>
        <v>6.0000000000000001E-3</v>
      </c>
      <c r="AN46" s="222">
        <f t="shared" si="37"/>
        <v>2E-3</v>
      </c>
      <c r="AO46" s="222">
        <f t="shared" si="37"/>
        <v>0</v>
      </c>
      <c r="AP46" s="222">
        <f t="shared" si="37"/>
        <v>0</v>
      </c>
      <c r="AQ46" s="222">
        <f t="shared" si="37"/>
        <v>0</v>
      </c>
      <c r="AR46" s="222">
        <f t="shared" si="37"/>
        <v>8.0000000000000002E-3</v>
      </c>
      <c r="AS46" s="222">
        <f t="shared" si="37"/>
        <v>7.9000000000000001E-2</v>
      </c>
      <c r="AT46" s="222">
        <f t="shared" si="37"/>
        <v>1E-3</v>
      </c>
      <c r="AU46" s="222">
        <f t="shared" si="37"/>
        <v>0</v>
      </c>
      <c r="AV46" s="222">
        <f t="shared" si="37"/>
        <v>2.5000000000000001E-2</v>
      </c>
      <c r="AW46" s="222">
        <f t="shared" si="37"/>
        <v>1.4E-2</v>
      </c>
      <c r="AX46" s="222">
        <f t="shared" si="37"/>
        <v>5.0000000000000001E-3</v>
      </c>
      <c r="AY46" s="222">
        <f t="shared" si="37"/>
        <v>0.03</v>
      </c>
      <c r="AZ46" s="222">
        <f t="shared" si="37"/>
        <v>1.9E-2</v>
      </c>
      <c r="BA46" s="222">
        <f t="shared" si="37"/>
        <v>1.2E-2</v>
      </c>
      <c r="BB46" s="222">
        <f t="shared" si="37"/>
        <v>4.3999999999999997E-2</v>
      </c>
      <c r="BC46" s="222">
        <f t="shared" si="37"/>
        <v>1.6E-2</v>
      </c>
      <c r="BD46" s="221">
        <f t="shared" ref="BD46:BJ46" si="38">ROUND(STDEV(BD43:BD44),2)</f>
        <v>0.01</v>
      </c>
      <c r="BE46" s="221">
        <f t="shared" si="38"/>
        <v>0.01</v>
      </c>
      <c r="BF46" s="221">
        <f t="shared" si="38"/>
        <v>0.01</v>
      </c>
      <c r="BG46" s="221">
        <f t="shared" si="38"/>
        <v>0.01</v>
      </c>
      <c r="BH46" s="221">
        <f t="shared" si="38"/>
        <v>0</v>
      </c>
      <c r="BI46" s="221">
        <f t="shared" si="38"/>
        <v>0</v>
      </c>
      <c r="BJ46" s="221">
        <f t="shared" si="38"/>
        <v>0</v>
      </c>
      <c r="BK46" s="223"/>
      <c r="BL46" s="223"/>
    </row>
    <row r="47" spans="1:64">
      <c r="A47" s="224"/>
      <c r="B47" s="254"/>
      <c r="C47" s="254"/>
      <c r="D47" s="254"/>
      <c r="E47" s="254"/>
      <c r="F47" s="254"/>
      <c r="G47" s="254"/>
      <c r="H47" s="254"/>
      <c r="I47" s="254"/>
      <c r="J47" s="254"/>
      <c r="K47" s="254"/>
      <c r="L47" s="254"/>
      <c r="M47" s="254"/>
      <c r="N47" s="254"/>
      <c r="O47" s="254"/>
      <c r="P47" s="255"/>
      <c r="Q47" s="254"/>
      <c r="R47" s="254"/>
      <c r="S47" s="254"/>
      <c r="T47" s="254"/>
      <c r="U47" s="225" t="s">
        <v>649</v>
      </c>
      <c r="V47" s="226">
        <f t="shared" ref="V47:BJ47" si="39">ROUND((V46/V45),4)</f>
        <v>0.01</v>
      </c>
      <c r="W47" s="226">
        <f t="shared" si="39"/>
        <v>3.2300000000000002E-2</v>
      </c>
      <c r="X47" s="226">
        <f t="shared" si="39"/>
        <v>1.1599999999999999E-2</v>
      </c>
      <c r="Y47" s="226">
        <f t="shared" si="39"/>
        <v>2.4199999999999999E-2</v>
      </c>
      <c r="Z47" s="226">
        <f t="shared" si="39"/>
        <v>0</v>
      </c>
      <c r="AA47" s="226">
        <f t="shared" si="39"/>
        <v>0.21429999999999999</v>
      </c>
      <c r="AB47" s="226">
        <f t="shared" si="39"/>
        <v>0.3125</v>
      </c>
      <c r="AC47" s="226">
        <f t="shared" si="39"/>
        <v>1.6299999999999999E-2</v>
      </c>
      <c r="AD47" s="226">
        <f t="shared" si="39"/>
        <v>0</v>
      </c>
      <c r="AE47" s="226">
        <f t="shared" si="39"/>
        <v>6.9999999999999999E-4</v>
      </c>
      <c r="AF47" s="226">
        <f t="shared" si="39"/>
        <v>0.28570000000000001</v>
      </c>
      <c r="AG47" s="226">
        <f t="shared" si="39"/>
        <v>0.2</v>
      </c>
      <c r="AH47" s="226">
        <f t="shared" si="39"/>
        <v>3.2000000000000002E-3</v>
      </c>
      <c r="AI47" s="226">
        <f t="shared" si="39"/>
        <v>0</v>
      </c>
      <c r="AJ47" s="226">
        <f t="shared" si="39"/>
        <v>3.5000000000000003E-2</v>
      </c>
      <c r="AK47" s="226">
        <f t="shared" si="39"/>
        <v>3.2300000000000002E-2</v>
      </c>
      <c r="AL47" s="226">
        <f t="shared" si="39"/>
        <v>0</v>
      </c>
      <c r="AM47" s="226">
        <f t="shared" si="39"/>
        <v>0.01</v>
      </c>
      <c r="AN47" s="226">
        <f t="shared" si="39"/>
        <v>2.35E-2</v>
      </c>
      <c r="AO47" s="226">
        <f t="shared" si="39"/>
        <v>0</v>
      </c>
      <c r="AP47" s="226">
        <f t="shared" si="39"/>
        <v>0</v>
      </c>
      <c r="AQ47" s="226">
        <f t="shared" si="39"/>
        <v>0</v>
      </c>
      <c r="AR47" s="226">
        <f t="shared" si="39"/>
        <v>5.6300000000000003E-2</v>
      </c>
      <c r="AS47" s="226">
        <f t="shared" si="39"/>
        <v>0.1042</v>
      </c>
      <c r="AT47" s="226">
        <f t="shared" si="39"/>
        <v>0.16669999999999999</v>
      </c>
      <c r="AU47" s="226">
        <f t="shared" si="39"/>
        <v>0</v>
      </c>
      <c r="AV47" s="226">
        <f t="shared" si="39"/>
        <v>6.4000000000000003E-3</v>
      </c>
      <c r="AW47" s="226">
        <f t="shared" si="39"/>
        <v>4.7800000000000002E-2</v>
      </c>
      <c r="AX47" s="226">
        <f t="shared" si="39"/>
        <v>3.5000000000000001E-3</v>
      </c>
      <c r="AY47" s="226">
        <f t="shared" si="39"/>
        <v>5.5999999999999999E-3</v>
      </c>
      <c r="AZ47" s="226">
        <f t="shared" si="39"/>
        <v>1.0999999999999999E-2</v>
      </c>
      <c r="BA47" s="226">
        <f t="shared" si="39"/>
        <v>4.8999999999999998E-3</v>
      </c>
      <c r="BB47" s="226">
        <f t="shared" si="39"/>
        <v>7.7999999999999996E-3</v>
      </c>
      <c r="BC47" s="226">
        <f t="shared" si="39"/>
        <v>1.06E-2</v>
      </c>
      <c r="BD47" s="226">
        <f t="shared" si="39"/>
        <v>1.2999999999999999E-2</v>
      </c>
      <c r="BE47" s="226">
        <f t="shared" si="39"/>
        <v>1.1900000000000001E-2</v>
      </c>
      <c r="BF47" s="226">
        <f t="shared" si="39"/>
        <v>5.8799999999999998E-2</v>
      </c>
      <c r="BG47" s="226">
        <f t="shared" si="39"/>
        <v>4.4000000000000003E-3</v>
      </c>
      <c r="BH47" s="226">
        <f t="shared" si="39"/>
        <v>0</v>
      </c>
      <c r="BI47" s="226">
        <f t="shared" si="39"/>
        <v>0</v>
      </c>
      <c r="BJ47" s="226">
        <f t="shared" si="39"/>
        <v>0</v>
      </c>
      <c r="BK47" s="227">
        <f>V47</f>
        <v>0.01</v>
      </c>
      <c r="BL47" s="227">
        <f t="array" ref="BL47">AVERAGE(IF(V47:AG47&gt;-0.001,V47:AG47,""))</f>
        <v>9.2299999999999993E-2</v>
      </c>
    </row>
    <row r="48" spans="1:64">
      <c r="A48" s="246" t="s">
        <v>401</v>
      </c>
      <c r="B48" s="246" t="s">
        <v>435</v>
      </c>
      <c r="C48" s="246" t="s">
        <v>540</v>
      </c>
      <c r="D48" s="246" t="s">
        <v>539</v>
      </c>
      <c r="E48" s="246" t="s">
        <v>272</v>
      </c>
      <c r="F48" s="246">
        <v>547</v>
      </c>
      <c r="G48" s="246">
        <v>3</v>
      </c>
      <c r="H48" s="246">
        <v>7</v>
      </c>
      <c r="I48" s="246">
        <v>2.1</v>
      </c>
      <c r="J48" s="246">
        <v>22</v>
      </c>
      <c r="K48" s="246" t="s">
        <v>570</v>
      </c>
      <c r="L48" s="246">
        <v>2019</v>
      </c>
      <c r="M48" s="246" t="s">
        <v>270</v>
      </c>
      <c r="N48" s="246">
        <v>1</v>
      </c>
      <c r="O48" s="246">
        <v>32</v>
      </c>
      <c r="P48" s="247" t="s">
        <v>631</v>
      </c>
      <c r="Q48" s="246">
        <v>-70.882000000000005</v>
      </c>
      <c r="R48" s="246">
        <v>41.197000000000003</v>
      </c>
      <c r="S48" s="246" t="s">
        <v>271</v>
      </c>
      <c r="T48" s="246">
        <v>25</v>
      </c>
      <c r="U48" s="246" t="s">
        <v>573</v>
      </c>
      <c r="V48" s="248">
        <v>2.9350000000000001</v>
      </c>
      <c r="W48" s="248">
        <v>5.7000000000000002E-2</v>
      </c>
      <c r="X48" s="248">
        <v>0.35100000000000003</v>
      </c>
      <c r="Y48" s="248">
        <v>0.10100000000000001</v>
      </c>
      <c r="Z48" s="248">
        <v>-8888</v>
      </c>
      <c r="AA48" s="248">
        <v>3.0000000000000001E-3</v>
      </c>
      <c r="AB48" s="248">
        <v>5.1999999999999998E-2</v>
      </c>
      <c r="AC48" s="248">
        <v>0.154</v>
      </c>
      <c r="AD48" s="248">
        <v>1.4999999999999999E-2</v>
      </c>
      <c r="AE48" s="248">
        <v>1.292</v>
      </c>
      <c r="AF48" s="248">
        <v>1.4999999999999999E-2</v>
      </c>
      <c r="AG48" s="248">
        <v>4.0000000000000001E-3</v>
      </c>
      <c r="AH48" s="248">
        <v>2.9039999999999999</v>
      </c>
      <c r="AI48" s="248">
        <v>-8888</v>
      </c>
      <c r="AJ48" s="248">
        <v>3.1E-2</v>
      </c>
      <c r="AK48" s="248">
        <v>5.7000000000000002E-2</v>
      </c>
      <c r="AL48" s="248">
        <v>-8888</v>
      </c>
      <c r="AM48" s="248">
        <v>0.33300000000000002</v>
      </c>
      <c r="AN48" s="248">
        <v>1.7999999999999999E-2</v>
      </c>
      <c r="AO48" s="248">
        <v>2E-3</v>
      </c>
      <c r="AP48" s="248">
        <v>7.0000000000000001E-3</v>
      </c>
      <c r="AQ48" s="248">
        <v>1.0999999999999999E-2</v>
      </c>
      <c r="AR48" s="248">
        <v>3.2000000000000001E-2</v>
      </c>
      <c r="AS48" s="248">
        <v>0.13400000000000001</v>
      </c>
      <c r="AT48" s="248">
        <v>1.4999999999999999E-2</v>
      </c>
      <c r="AU48" s="248">
        <v>-8888</v>
      </c>
      <c r="AV48" s="248">
        <v>3.343</v>
      </c>
      <c r="AW48" s="248">
        <v>0.32599999999999996</v>
      </c>
      <c r="AX48" s="248">
        <v>1.3099999999999998</v>
      </c>
      <c r="AY48" s="248">
        <v>4.6529999999999996</v>
      </c>
      <c r="AZ48" s="248">
        <v>1.6359999999999997</v>
      </c>
      <c r="BA48" s="248">
        <v>2.0439999999999996</v>
      </c>
      <c r="BB48" s="248">
        <v>4.9789999999999992</v>
      </c>
      <c r="BC48" s="248">
        <v>1.4229999999999998</v>
      </c>
      <c r="BD48" s="249">
        <v>0.7</v>
      </c>
      <c r="BE48" s="249">
        <v>0.8</v>
      </c>
      <c r="BF48" s="249">
        <v>0.2</v>
      </c>
      <c r="BG48" s="249">
        <v>2.04</v>
      </c>
      <c r="BH48" s="249">
        <v>7.0000000000000007E-2</v>
      </c>
      <c r="BI48" s="249">
        <v>0.93</v>
      </c>
      <c r="BJ48" s="249">
        <v>0.59</v>
      </c>
      <c r="BK48" s="244"/>
      <c r="BL48" s="244"/>
    </row>
    <row r="49" spans="1:64">
      <c r="A49" s="246" t="s">
        <v>402</v>
      </c>
      <c r="B49" s="246" t="s">
        <v>435</v>
      </c>
      <c r="C49" s="246" t="s">
        <v>541</v>
      </c>
      <c r="D49" s="246" t="s">
        <v>539</v>
      </c>
      <c r="E49" s="246" t="s">
        <v>272</v>
      </c>
      <c r="F49" s="246">
        <v>540</v>
      </c>
      <c r="G49" s="246">
        <v>3</v>
      </c>
      <c r="H49" s="246">
        <v>7</v>
      </c>
      <c r="I49" s="246">
        <v>2.1</v>
      </c>
      <c r="J49" s="246">
        <v>22</v>
      </c>
      <c r="K49" s="246" t="s">
        <v>570</v>
      </c>
      <c r="L49" s="246">
        <v>2019</v>
      </c>
      <c r="M49" s="246" t="s">
        <v>270</v>
      </c>
      <c r="N49" s="246">
        <v>1</v>
      </c>
      <c r="O49" s="246">
        <v>32</v>
      </c>
      <c r="P49" s="247" t="s">
        <v>631</v>
      </c>
      <c r="Q49" s="246">
        <v>-70.882000000000005</v>
      </c>
      <c r="R49" s="246">
        <v>41.197000000000003</v>
      </c>
      <c r="S49" s="246" t="s">
        <v>271</v>
      </c>
      <c r="T49" s="246">
        <v>25</v>
      </c>
      <c r="U49" s="246" t="s">
        <v>573</v>
      </c>
      <c r="V49" s="248">
        <v>3.14</v>
      </c>
      <c r="W49" s="248">
        <v>5.8999999999999997E-2</v>
      </c>
      <c r="X49" s="248">
        <v>0.374</v>
      </c>
      <c r="Y49" s="248">
        <v>0.105</v>
      </c>
      <c r="Z49" s="248">
        <v>-8888</v>
      </c>
      <c r="AA49" s="248">
        <v>3.0000000000000001E-3</v>
      </c>
      <c r="AB49" s="248">
        <v>5.8000000000000003E-2</v>
      </c>
      <c r="AC49" s="248">
        <v>0.17399999999999999</v>
      </c>
      <c r="AD49" s="248">
        <v>1.6E-2</v>
      </c>
      <c r="AE49" s="248">
        <v>1.36</v>
      </c>
      <c r="AF49" s="248">
        <v>0.04</v>
      </c>
      <c r="AG49" s="248">
        <v>3.0000000000000001E-3</v>
      </c>
      <c r="AH49" s="248">
        <v>3.1080000000000001</v>
      </c>
      <c r="AI49" s="248">
        <v>-8888</v>
      </c>
      <c r="AJ49" s="248">
        <v>3.2000000000000001E-2</v>
      </c>
      <c r="AK49" s="248">
        <v>5.8999999999999997E-2</v>
      </c>
      <c r="AL49" s="248">
        <v>-8888</v>
      </c>
      <c r="AM49" s="248">
        <v>0.35599999999999998</v>
      </c>
      <c r="AN49" s="248">
        <v>1.7999999999999999E-2</v>
      </c>
      <c r="AO49" s="248">
        <v>2E-3</v>
      </c>
      <c r="AP49" s="248">
        <v>7.0000000000000001E-3</v>
      </c>
      <c r="AQ49" s="248">
        <v>1.2E-2</v>
      </c>
      <c r="AR49" s="248">
        <v>3.7999999999999999E-2</v>
      </c>
      <c r="AS49" s="248">
        <v>0.128</v>
      </c>
      <c r="AT49" s="248">
        <v>1.6E-2</v>
      </c>
      <c r="AU49" s="248">
        <v>-8888</v>
      </c>
      <c r="AV49" s="248">
        <v>3.5730000000000004</v>
      </c>
      <c r="AW49" s="248">
        <v>0.35599999999999998</v>
      </c>
      <c r="AX49" s="248">
        <v>1.403</v>
      </c>
      <c r="AY49" s="248">
        <v>4.9760000000000009</v>
      </c>
      <c r="AZ49" s="248">
        <v>1.7589999999999999</v>
      </c>
      <c r="BA49" s="248">
        <v>2.1919999999999997</v>
      </c>
      <c r="BB49" s="248">
        <v>5.3319999999999999</v>
      </c>
      <c r="BC49" s="248">
        <v>1.5230000000000001</v>
      </c>
      <c r="BD49" s="249">
        <v>0.7</v>
      </c>
      <c r="BE49" s="249">
        <v>0.8</v>
      </c>
      <c r="BF49" s="249">
        <v>0.2</v>
      </c>
      <c r="BG49" s="249">
        <v>2.0299999999999998</v>
      </c>
      <c r="BH49" s="249">
        <v>7.0000000000000007E-2</v>
      </c>
      <c r="BI49" s="249">
        <v>0.93</v>
      </c>
      <c r="BJ49" s="249">
        <v>0.59</v>
      </c>
      <c r="BK49" s="244"/>
      <c r="BL49" s="244"/>
    </row>
    <row r="50" spans="1:64">
      <c r="A50" s="218"/>
      <c r="B50" s="250"/>
      <c r="C50" s="250"/>
      <c r="D50" s="250"/>
      <c r="E50" s="250"/>
      <c r="F50" s="250"/>
      <c r="G50" s="250"/>
      <c r="H50" s="250"/>
      <c r="I50" s="250"/>
      <c r="J50" s="250"/>
      <c r="K50" s="250"/>
      <c r="L50" s="250"/>
      <c r="M50" s="250"/>
      <c r="N50" s="250"/>
      <c r="O50" s="250"/>
      <c r="P50" s="251"/>
      <c r="Q50" s="250"/>
      <c r="R50" s="250"/>
      <c r="S50" s="250"/>
      <c r="T50" s="250"/>
      <c r="U50" s="218" t="s">
        <v>666</v>
      </c>
      <c r="V50" s="218">
        <f t="shared" ref="V50:BC50" si="40">ROUND(AVERAGE(V48:V49),3)</f>
        <v>3.0379999999999998</v>
      </c>
      <c r="W50" s="218">
        <f t="shared" si="40"/>
        <v>5.8000000000000003E-2</v>
      </c>
      <c r="X50" s="218">
        <f t="shared" si="40"/>
        <v>0.36299999999999999</v>
      </c>
      <c r="Y50" s="218">
        <f t="shared" si="40"/>
        <v>0.10299999999999999</v>
      </c>
      <c r="Z50" s="218">
        <f t="shared" si="40"/>
        <v>-8888</v>
      </c>
      <c r="AA50" s="218">
        <f t="shared" si="40"/>
        <v>3.0000000000000001E-3</v>
      </c>
      <c r="AB50" s="218">
        <f t="shared" si="40"/>
        <v>5.5E-2</v>
      </c>
      <c r="AC50" s="218">
        <f t="shared" si="40"/>
        <v>0.16400000000000001</v>
      </c>
      <c r="AD50" s="218">
        <f t="shared" si="40"/>
        <v>1.6E-2</v>
      </c>
      <c r="AE50" s="218">
        <f t="shared" si="40"/>
        <v>1.3260000000000001</v>
      </c>
      <c r="AF50" s="218">
        <f t="shared" si="40"/>
        <v>2.8000000000000001E-2</v>
      </c>
      <c r="AG50" s="218">
        <f t="shared" si="40"/>
        <v>4.0000000000000001E-3</v>
      </c>
      <c r="AH50" s="218">
        <f t="shared" si="40"/>
        <v>3.0059999999999998</v>
      </c>
      <c r="AI50" s="218">
        <f t="shared" si="40"/>
        <v>-8888</v>
      </c>
      <c r="AJ50" s="218">
        <f t="shared" si="40"/>
        <v>3.2000000000000001E-2</v>
      </c>
      <c r="AK50" s="218">
        <f t="shared" si="40"/>
        <v>5.8000000000000003E-2</v>
      </c>
      <c r="AL50" s="218">
        <f t="shared" si="40"/>
        <v>-8888</v>
      </c>
      <c r="AM50" s="218">
        <f t="shared" si="40"/>
        <v>0.34499999999999997</v>
      </c>
      <c r="AN50" s="218">
        <f t="shared" si="40"/>
        <v>1.7999999999999999E-2</v>
      </c>
      <c r="AO50" s="218">
        <f t="shared" si="40"/>
        <v>2E-3</v>
      </c>
      <c r="AP50" s="218">
        <f t="shared" si="40"/>
        <v>7.0000000000000001E-3</v>
      </c>
      <c r="AQ50" s="218">
        <f t="shared" si="40"/>
        <v>1.2E-2</v>
      </c>
      <c r="AR50" s="218">
        <f t="shared" si="40"/>
        <v>3.5000000000000003E-2</v>
      </c>
      <c r="AS50" s="218">
        <f t="shared" si="40"/>
        <v>0.13100000000000001</v>
      </c>
      <c r="AT50" s="218">
        <f t="shared" si="40"/>
        <v>1.6E-2</v>
      </c>
      <c r="AU50" s="218">
        <f t="shared" si="40"/>
        <v>-8888</v>
      </c>
      <c r="AV50" s="218">
        <f t="shared" si="40"/>
        <v>3.4580000000000002</v>
      </c>
      <c r="AW50" s="218">
        <f t="shared" si="40"/>
        <v>0.34100000000000003</v>
      </c>
      <c r="AX50" s="218">
        <f t="shared" si="40"/>
        <v>1.357</v>
      </c>
      <c r="AY50" s="218">
        <f t="shared" si="40"/>
        <v>4.8150000000000004</v>
      </c>
      <c r="AZ50" s="218">
        <f t="shared" si="40"/>
        <v>1.698</v>
      </c>
      <c r="BA50" s="218">
        <f t="shared" si="40"/>
        <v>2.1179999999999999</v>
      </c>
      <c r="BB50" s="218">
        <f t="shared" si="40"/>
        <v>5.1559999999999997</v>
      </c>
      <c r="BC50" s="218">
        <f t="shared" si="40"/>
        <v>1.4730000000000001</v>
      </c>
      <c r="BD50" s="217">
        <f t="shared" ref="BD50:BJ50" si="41">ROUND(AVERAGE(BD48:BD49),2)</f>
        <v>0.7</v>
      </c>
      <c r="BE50" s="217">
        <f t="shared" si="41"/>
        <v>0.8</v>
      </c>
      <c r="BF50" s="217">
        <f t="shared" si="41"/>
        <v>0.2</v>
      </c>
      <c r="BG50" s="217">
        <f t="shared" si="41"/>
        <v>2.04</v>
      </c>
      <c r="BH50" s="217">
        <f t="shared" si="41"/>
        <v>7.0000000000000007E-2</v>
      </c>
      <c r="BI50" s="217">
        <f t="shared" si="41"/>
        <v>0.93</v>
      </c>
      <c r="BJ50" s="217">
        <f t="shared" si="41"/>
        <v>0.59</v>
      </c>
      <c r="BK50" s="219"/>
      <c r="BL50" s="219"/>
    </row>
    <row r="51" spans="1:64">
      <c r="A51" s="222"/>
      <c r="B51" s="252"/>
      <c r="C51" s="252"/>
      <c r="D51" s="252"/>
      <c r="E51" s="252"/>
      <c r="F51" s="252"/>
      <c r="G51" s="252"/>
      <c r="H51" s="252"/>
      <c r="I51" s="252"/>
      <c r="J51" s="252"/>
      <c r="K51" s="252"/>
      <c r="L51" s="252"/>
      <c r="M51" s="252"/>
      <c r="N51" s="252"/>
      <c r="O51" s="252"/>
      <c r="P51" s="253"/>
      <c r="Q51" s="252"/>
      <c r="R51" s="252"/>
      <c r="S51" s="252"/>
      <c r="T51" s="252"/>
      <c r="U51" s="222" t="s">
        <v>667</v>
      </c>
      <c r="V51" s="222">
        <f t="shared" ref="V51:BC51" si="42">ROUND(STDEV(V48:V49),3)</f>
        <v>0.14499999999999999</v>
      </c>
      <c r="W51" s="222">
        <f t="shared" si="42"/>
        <v>1E-3</v>
      </c>
      <c r="X51" s="222">
        <f t="shared" si="42"/>
        <v>1.6E-2</v>
      </c>
      <c r="Y51" s="222">
        <f t="shared" si="42"/>
        <v>3.0000000000000001E-3</v>
      </c>
      <c r="Z51" s="222">
        <f t="shared" si="42"/>
        <v>0</v>
      </c>
      <c r="AA51" s="222">
        <f t="shared" si="42"/>
        <v>0</v>
      </c>
      <c r="AB51" s="222">
        <f t="shared" si="42"/>
        <v>4.0000000000000001E-3</v>
      </c>
      <c r="AC51" s="222">
        <f t="shared" si="42"/>
        <v>1.4E-2</v>
      </c>
      <c r="AD51" s="222">
        <f t="shared" si="42"/>
        <v>1E-3</v>
      </c>
      <c r="AE51" s="222">
        <f t="shared" si="42"/>
        <v>4.8000000000000001E-2</v>
      </c>
      <c r="AF51" s="222">
        <f t="shared" si="42"/>
        <v>1.7999999999999999E-2</v>
      </c>
      <c r="AG51" s="222">
        <f t="shared" si="42"/>
        <v>1E-3</v>
      </c>
      <c r="AH51" s="222">
        <f t="shared" si="42"/>
        <v>0.14399999999999999</v>
      </c>
      <c r="AI51" s="222">
        <f t="shared" si="42"/>
        <v>0</v>
      </c>
      <c r="AJ51" s="222">
        <f t="shared" si="42"/>
        <v>1E-3</v>
      </c>
      <c r="AK51" s="222">
        <f t="shared" si="42"/>
        <v>1E-3</v>
      </c>
      <c r="AL51" s="222">
        <f t="shared" si="42"/>
        <v>0</v>
      </c>
      <c r="AM51" s="222">
        <f t="shared" si="42"/>
        <v>1.6E-2</v>
      </c>
      <c r="AN51" s="222">
        <f t="shared" si="42"/>
        <v>0</v>
      </c>
      <c r="AO51" s="222">
        <f t="shared" si="42"/>
        <v>0</v>
      </c>
      <c r="AP51" s="222">
        <f t="shared" si="42"/>
        <v>0</v>
      </c>
      <c r="AQ51" s="222">
        <f t="shared" si="42"/>
        <v>1E-3</v>
      </c>
      <c r="AR51" s="222">
        <f t="shared" si="42"/>
        <v>4.0000000000000001E-3</v>
      </c>
      <c r="AS51" s="222">
        <f t="shared" si="42"/>
        <v>4.0000000000000001E-3</v>
      </c>
      <c r="AT51" s="222">
        <f t="shared" si="42"/>
        <v>1E-3</v>
      </c>
      <c r="AU51" s="222">
        <f t="shared" si="42"/>
        <v>0</v>
      </c>
      <c r="AV51" s="222">
        <f t="shared" si="42"/>
        <v>0.16300000000000001</v>
      </c>
      <c r="AW51" s="222">
        <f t="shared" si="42"/>
        <v>2.1000000000000001E-2</v>
      </c>
      <c r="AX51" s="222">
        <f t="shared" si="42"/>
        <v>6.6000000000000003E-2</v>
      </c>
      <c r="AY51" s="222">
        <f t="shared" si="42"/>
        <v>0.22800000000000001</v>
      </c>
      <c r="AZ51" s="222">
        <f t="shared" si="42"/>
        <v>8.6999999999999994E-2</v>
      </c>
      <c r="BA51" s="222">
        <f t="shared" si="42"/>
        <v>0.105</v>
      </c>
      <c r="BB51" s="222">
        <f t="shared" si="42"/>
        <v>0.25</v>
      </c>
      <c r="BC51" s="222">
        <f t="shared" si="42"/>
        <v>7.0999999999999994E-2</v>
      </c>
      <c r="BD51" s="221">
        <f t="shared" ref="BD51:BJ51" si="43">ROUND(STDEV(BD48:BD49),2)</f>
        <v>0</v>
      </c>
      <c r="BE51" s="221">
        <f t="shared" si="43"/>
        <v>0</v>
      </c>
      <c r="BF51" s="221">
        <f t="shared" si="43"/>
        <v>0</v>
      </c>
      <c r="BG51" s="221">
        <f t="shared" si="43"/>
        <v>0.01</v>
      </c>
      <c r="BH51" s="221">
        <f t="shared" si="43"/>
        <v>0</v>
      </c>
      <c r="BI51" s="221">
        <f t="shared" si="43"/>
        <v>0</v>
      </c>
      <c r="BJ51" s="221">
        <f t="shared" si="43"/>
        <v>0</v>
      </c>
      <c r="BK51" s="223"/>
      <c r="BL51" s="223"/>
    </row>
    <row r="52" spans="1:64">
      <c r="A52" s="224"/>
      <c r="B52" s="254"/>
      <c r="C52" s="254"/>
      <c r="D52" s="254"/>
      <c r="E52" s="254"/>
      <c r="F52" s="254"/>
      <c r="G52" s="254"/>
      <c r="H52" s="254"/>
      <c r="I52" s="254"/>
      <c r="J52" s="254"/>
      <c r="K52" s="254"/>
      <c r="L52" s="254"/>
      <c r="M52" s="254"/>
      <c r="N52" s="254"/>
      <c r="O52" s="254"/>
      <c r="P52" s="255"/>
      <c r="Q52" s="254"/>
      <c r="R52" s="254"/>
      <c r="S52" s="254"/>
      <c r="T52" s="254"/>
      <c r="U52" s="225" t="s">
        <v>649</v>
      </c>
      <c r="V52" s="226">
        <f t="shared" ref="V52:BJ52" si="44">ROUND((V51/V50),4)</f>
        <v>4.7699999999999999E-2</v>
      </c>
      <c r="W52" s="226">
        <f t="shared" si="44"/>
        <v>1.72E-2</v>
      </c>
      <c r="X52" s="226">
        <f t="shared" si="44"/>
        <v>4.41E-2</v>
      </c>
      <c r="Y52" s="226">
        <f t="shared" si="44"/>
        <v>2.9100000000000001E-2</v>
      </c>
      <c r="Z52" s="226">
        <f t="shared" si="44"/>
        <v>0</v>
      </c>
      <c r="AA52" s="226">
        <f t="shared" si="44"/>
        <v>0</v>
      </c>
      <c r="AB52" s="226">
        <f t="shared" si="44"/>
        <v>7.2700000000000001E-2</v>
      </c>
      <c r="AC52" s="226">
        <f t="shared" si="44"/>
        <v>8.5400000000000004E-2</v>
      </c>
      <c r="AD52" s="226">
        <f t="shared" si="44"/>
        <v>6.25E-2</v>
      </c>
      <c r="AE52" s="226">
        <f t="shared" si="44"/>
        <v>3.6200000000000003E-2</v>
      </c>
      <c r="AF52" s="226">
        <f t="shared" si="44"/>
        <v>0.64290000000000003</v>
      </c>
      <c r="AG52" s="226">
        <f t="shared" si="44"/>
        <v>0.25</v>
      </c>
      <c r="AH52" s="226">
        <f t="shared" si="44"/>
        <v>4.7899999999999998E-2</v>
      </c>
      <c r="AI52" s="226">
        <f t="shared" si="44"/>
        <v>0</v>
      </c>
      <c r="AJ52" s="226">
        <f t="shared" si="44"/>
        <v>3.1300000000000001E-2</v>
      </c>
      <c r="AK52" s="226">
        <f t="shared" si="44"/>
        <v>1.72E-2</v>
      </c>
      <c r="AL52" s="226">
        <f t="shared" si="44"/>
        <v>0</v>
      </c>
      <c r="AM52" s="226">
        <f t="shared" si="44"/>
        <v>4.6399999999999997E-2</v>
      </c>
      <c r="AN52" s="226">
        <f t="shared" si="44"/>
        <v>0</v>
      </c>
      <c r="AO52" s="226">
        <f t="shared" si="44"/>
        <v>0</v>
      </c>
      <c r="AP52" s="226">
        <f t="shared" si="44"/>
        <v>0</v>
      </c>
      <c r="AQ52" s="226">
        <f t="shared" si="44"/>
        <v>8.3299999999999999E-2</v>
      </c>
      <c r="AR52" s="226">
        <f t="shared" si="44"/>
        <v>0.1143</v>
      </c>
      <c r="AS52" s="226">
        <f t="shared" si="44"/>
        <v>3.0499999999999999E-2</v>
      </c>
      <c r="AT52" s="226">
        <f t="shared" si="44"/>
        <v>6.25E-2</v>
      </c>
      <c r="AU52" s="226">
        <f t="shared" si="44"/>
        <v>0</v>
      </c>
      <c r="AV52" s="226">
        <f t="shared" si="44"/>
        <v>4.7100000000000003E-2</v>
      </c>
      <c r="AW52" s="226">
        <f t="shared" si="44"/>
        <v>6.1600000000000002E-2</v>
      </c>
      <c r="AX52" s="226">
        <f t="shared" si="44"/>
        <v>4.8599999999999997E-2</v>
      </c>
      <c r="AY52" s="226">
        <f t="shared" si="44"/>
        <v>4.7399999999999998E-2</v>
      </c>
      <c r="AZ52" s="226">
        <f t="shared" si="44"/>
        <v>5.1200000000000002E-2</v>
      </c>
      <c r="BA52" s="226">
        <f t="shared" si="44"/>
        <v>4.9599999999999998E-2</v>
      </c>
      <c r="BB52" s="226">
        <f t="shared" si="44"/>
        <v>4.8500000000000001E-2</v>
      </c>
      <c r="BC52" s="226">
        <f t="shared" si="44"/>
        <v>4.82E-2</v>
      </c>
      <c r="BD52" s="226">
        <f t="shared" si="44"/>
        <v>0</v>
      </c>
      <c r="BE52" s="226">
        <f t="shared" si="44"/>
        <v>0</v>
      </c>
      <c r="BF52" s="226">
        <f t="shared" si="44"/>
        <v>0</v>
      </c>
      <c r="BG52" s="226">
        <f t="shared" si="44"/>
        <v>4.8999999999999998E-3</v>
      </c>
      <c r="BH52" s="226">
        <f t="shared" si="44"/>
        <v>0</v>
      </c>
      <c r="BI52" s="226">
        <f t="shared" si="44"/>
        <v>0</v>
      </c>
      <c r="BJ52" s="226">
        <f t="shared" si="44"/>
        <v>0</v>
      </c>
      <c r="BK52" s="227">
        <f>V52</f>
        <v>4.7699999999999999E-2</v>
      </c>
      <c r="BL52" s="227">
        <f t="array" ref="BL52">AVERAGE(IF(V52:AG52&gt;-0.001,V52:AG52,""))</f>
        <v>0.10731666666666667</v>
      </c>
    </row>
    <row r="53" spans="1:64">
      <c r="A53" s="246" t="s">
        <v>405</v>
      </c>
      <c r="B53" s="246" t="s">
        <v>435</v>
      </c>
      <c r="C53" s="246" t="s">
        <v>544</v>
      </c>
      <c r="D53" s="246" t="s">
        <v>539</v>
      </c>
      <c r="E53" s="246" t="s">
        <v>272</v>
      </c>
      <c r="F53" s="246">
        <v>539</v>
      </c>
      <c r="G53" s="246">
        <v>8</v>
      </c>
      <c r="H53" s="246">
        <v>1</v>
      </c>
      <c r="I53" s="246">
        <v>50.7</v>
      </c>
      <c r="J53" s="246">
        <v>56</v>
      </c>
      <c r="K53" s="246" t="s">
        <v>570</v>
      </c>
      <c r="L53" s="246">
        <v>2019</v>
      </c>
      <c r="M53" s="246" t="s">
        <v>270</v>
      </c>
      <c r="N53" s="246">
        <v>2</v>
      </c>
      <c r="O53" s="246">
        <v>33</v>
      </c>
      <c r="P53" s="247" t="s">
        <v>633</v>
      </c>
      <c r="Q53" s="246">
        <v>-70.885000000000005</v>
      </c>
      <c r="R53" s="246">
        <v>40.863</v>
      </c>
      <c r="S53" s="246" t="s">
        <v>271</v>
      </c>
      <c r="T53" s="246">
        <v>25</v>
      </c>
      <c r="U53" s="246" t="s">
        <v>573</v>
      </c>
      <c r="V53" s="248">
        <v>3.5210000000000004</v>
      </c>
      <c r="W53" s="248">
        <v>5.0999999999999997E-2</v>
      </c>
      <c r="X53" s="248">
        <v>0.42799999999999999</v>
      </c>
      <c r="Y53" s="248">
        <v>0.107</v>
      </c>
      <c r="Z53" s="248">
        <v>-8888</v>
      </c>
      <c r="AA53" s="248">
        <v>1.0999999999999999E-2</v>
      </c>
      <c r="AB53" s="248">
        <v>1.9E-2</v>
      </c>
      <c r="AC53" s="248">
        <v>0.13400000000000001</v>
      </c>
      <c r="AD53" s="248">
        <v>0.03</v>
      </c>
      <c r="AE53" s="248">
        <v>1.59</v>
      </c>
      <c r="AF53" s="248">
        <v>3.3000000000000002E-2</v>
      </c>
      <c r="AG53" s="248">
        <v>4.0000000000000001E-3</v>
      </c>
      <c r="AH53" s="248">
        <v>3.4740000000000002</v>
      </c>
      <c r="AI53" s="248">
        <v>-8888</v>
      </c>
      <c r="AJ53" s="248">
        <v>4.7E-2</v>
      </c>
      <c r="AK53" s="248">
        <v>5.0999999999999997E-2</v>
      </c>
      <c r="AL53" s="248">
        <v>-8888</v>
      </c>
      <c r="AM53" s="248">
        <v>0.38900000000000001</v>
      </c>
      <c r="AN53" s="248">
        <v>3.9E-2</v>
      </c>
      <c r="AO53" s="248">
        <v>-8888</v>
      </c>
      <c r="AP53" s="248">
        <v>5.0000000000000001E-3</v>
      </c>
      <c r="AQ53" s="248">
        <v>0.01</v>
      </c>
      <c r="AR53" s="248">
        <v>3.9E-2</v>
      </c>
      <c r="AS53" s="248">
        <v>6.5000000000000002E-2</v>
      </c>
      <c r="AT53" s="248">
        <v>1.2999999999999999E-2</v>
      </c>
      <c r="AU53" s="248">
        <v>-8888</v>
      </c>
      <c r="AV53" s="248">
        <v>4.0000000000000009</v>
      </c>
      <c r="AW53" s="248">
        <v>0.29399999999999998</v>
      </c>
      <c r="AX53" s="248">
        <v>1.6339999999999999</v>
      </c>
      <c r="AY53" s="248">
        <v>5.6340000000000003</v>
      </c>
      <c r="AZ53" s="248">
        <v>1.9279999999999999</v>
      </c>
      <c r="BA53" s="248">
        <v>2.407</v>
      </c>
      <c r="BB53" s="248">
        <v>5.9280000000000008</v>
      </c>
      <c r="BC53" s="248">
        <v>1.708</v>
      </c>
      <c r="BD53" s="249">
        <v>0.68</v>
      </c>
      <c r="BE53" s="249">
        <v>0.85</v>
      </c>
      <c r="BF53" s="249">
        <v>0.15</v>
      </c>
      <c r="BG53" s="249">
        <v>2.0699999999999998</v>
      </c>
      <c r="BH53" s="249">
        <v>0.05</v>
      </c>
      <c r="BI53" s="249">
        <v>0.95</v>
      </c>
      <c r="BJ53" s="249">
        <v>0.59</v>
      </c>
      <c r="BK53" s="244"/>
      <c r="BL53" s="244"/>
    </row>
    <row r="54" spans="1:64">
      <c r="A54" s="246" t="s">
        <v>406</v>
      </c>
      <c r="B54" s="246" t="s">
        <v>435</v>
      </c>
      <c r="C54" s="246" t="s">
        <v>545</v>
      </c>
      <c r="D54" s="246" t="s">
        <v>539</v>
      </c>
      <c r="E54" s="246" t="s">
        <v>272</v>
      </c>
      <c r="F54" s="246">
        <v>539</v>
      </c>
      <c r="G54" s="246">
        <v>8</v>
      </c>
      <c r="H54" s="246">
        <v>1</v>
      </c>
      <c r="I54" s="246">
        <v>50.7</v>
      </c>
      <c r="J54" s="246">
        <v>56</v>
      </c>
      <c r="K54" s="246" t="s">
        <v>570</v>
      </c>
      <c r="L54" s="246">
        <v>2019</v>
      </c>
      <c r="M54" s="246" t="s">
        <v>270</v>
      </c>
      <c r="N54" s="246">
        <v>2</v>
      </c>
      <c r="O54" s="246">
        <v>33</v>
      </c>
      <c r="P54" s="247" t="s">
        <v>633</v>
      </c>
      <c r="Q54" s="246">
        <v>-70.885000000000005</v>
      </c>
      <c r="R54" s="246">
        <v>40.863</v>
      </c>
      <c r="S54" s="246" t="s">
        <v>271</v>
      </c>
      <c r="T54" s="246">
        <v>25</v>
      </c>
      <c r="U54" s="246" t="s">
        <v>573</v>
      </c>
      <c r="V54" s="248">
        <v>3.0170000000000003</v>
      </c>
      <c r="W54" s="248">
        <v>4.4999999999999998E-2</v>
      </c>
      <c r="X54" s="248">
        <v>0.372</v>
      </c>
      <c r="Y54" s="248">
        <v>8.6999999999999994E-2</v>
      </c>
      <c r="Z54" s="248">
        <v>-8888</v>
      </c>
      <c r="AA54" s="248">
        <v>1.2E-2</v>
      </c>
      <c r="AB54" s="248">
        <v>1.7999999999999999E-2</v>
      </c>
      <c r="AC54" s="248">
        <v>0.112</v>
      </c>
      <c r="AD54" s="248">
        <v>1.9E-2</v>
      </c>
      <c r="AE54" s="248">
        <v>1.3680000000000001</v>
      </c>
      <c r="AF54" s="248">
        <v>2.7E-2</v>
      </c>
      <c r="AG54" s="248">
        <v>4.0000000000000001E-3</v>
      </c>
      <c r="AH54" s="248">
        <v>2.9460000000000002</v>
      </c>
      <c r="AI54" s="248">
        <v>-8888</v>
      </c>
      <c r="AJ54" s="248">
        <v>7.0999999999999994E-2</v>
      </c>
      <c r="AK54" s="248">
        <v>4.4999999999999998E-2</v>
      </c>
      <c r="AL54" s="248">
        <v>-8888</v>
      </c>
      <c r="AM54" s="248">
        <v>0.33600000000000002</v>
      </c>
      <c r="AN54" s="248">
        <v>3.5999999999999997E-2</v>
      </c>
      <c r="AO54" s="248">
        <v>-8888</v>
      </c>
      <c r="AP54" s="248">
        <v>4.0000000000000001E-3</v>
      </c>
      <c r="AQ54" s="248">
        <v>8.9999999999999993E-3</v>
      </c>
      <c r="AR54" s="248">
        <v>3.5999999999999997E-2</v>
      </c>
      <c r="AS54" s="248">
        <v>6.7000000000000004E-2</v>
      </c>
      <c r="AT54" s="248">
        <v>1.2E-2</v>
      </c>
      <c r="AU54" s="248">
        <v>-8888</v>
      </c>
      <c r="AV54" s="248">
        <v>3.4340000000000002</v>
      </c>
      <c r="AW54" s="248">
        <v>0.24</v>
      </c>
      <c r="AX54" s="248">
        <v>1.407</v>
      </c>
      <c r="AY54" s="248">
        <v>4.8410000000000002</v>
      </c>
      <c r="AZ54" s="248">
        <v>1.647</v>
      </c>
      <c r="BA54" s="248">
        <v>2.0640000000000001</v>
      </c>
      <c r="BB54" s="248">
        <v>5.0810000000000004</v>
      </c>
      <c r="BC54" s="248">
        <v>1.474</v>
      </c>
      <c r="BD54" s="249">
        <v>0.68</v>
      </c>
      <c r="BE54" s="249">
        <v>0.85</v>
      </c>
      <c r="BF54" s="249">
        <v>0.15</v>
      </c>
      <c r="BG54" s="249">
        <v>2.09</v>
      </c>
      <c r="BH54" s="249">
        <v>0.05</v>
      </c>
      <c r="BI54" s="249">
        <v>0.95</v>
      </c>
      <c r="BJ54" s="249">
        <v>0.59</v>
      </c>
      <c r="BK54" s="244"/>
      <c r="BL54" s="244"/>
    </row>
    <row r="55" spans="1:64">
      <c r="A55" s="218"/>
      <c r="B55" s="250"/>
      <c r="C55" s="250"/>
      <c r="D55" s="250"/>
      <c r="E55" s="250"/>
      <c r="F55" s="250"/>
      <c r="G55" s="250"/>
      <c r="H55" s="250"/>
      <c r="I55" s="250"/>
      <c r="J55" s="250"/>
      <c r="K55" s="250"/>
      <c r="L55" s="250"/>
      <c r="M55" s="250"/>
      <c r="N55" s="250"/>
      <c r="O55" s="250"/>
      <c r="P55" s="251"/>
      <c r="Q55" s="250"/>
      <c r="R55" s="250"/>
      <c r="S55" s="250"/>
      <c r="T55" s="250"/>
      <c r="U55" s="218" t="s">
        <v>666</v>
      </c>
      <c r="V55" s="218">
        <f t="shared" ref="V55:BC55" si="45">ROUND(AVERAGE(V53:V54),3)</f>
        <v>3.2690000000000001</v>
      </c>
      <c r="W55" s="218">
        <f t="shared" si="45"/>
        <v>4.8000000000000001E-2</v>
      </c>
      <c r="X55" s="218">
        <f t="shared" si="45"/>
        <v>0.4</v>
      </c>
      <c r="Y55" s="218">
        <f t="shared" si="45"/>
        <v>9.7000000000000003E-2</v>
      </c>
      <c r="Z55" s="218">
        <f t="shared" si="45"/>
        <v>-8888</v>
      </c>
      <c r="AA55" s="218">
        <f t="shared" si="45"/>
        <v>1.2E-2</v>
      </c>
      <c r="AB55" s="218">
        <f t="shared" si="45"/>
        <v>1.9E-2</v>
      </c>
      <c r="AC55" s="218">
        <f t="shared" si="45"/>
        <v>0.123</v>
      </c>
      <c r="AD55" s="218">
        <f t="shared" si="45"/>
        <v>2.5000000000000001E-2</v>
      </c>
      <c r="AE55" s="218">
        <f t="shared" si="45"/>
        <v>1.4790000000000001</v>
      </c>
      <c r="AF55" s="218">
        <f t="shared" si="45"/>
        <v>0.03</v>
      </c>
      <c r="AG55" s="218">
        <f t="shared" si="45"/>
        <v>4.0000000000000001E-3</v>
      </c>
      <c r="AH55" s="218">
        <f t="shared" si="45"/>
        <v>3.21</v>
      </c>
      <c r="AI55" s="218">
        <f t="shared" si="45"/>
        <v>-8888</v>
      </c>
      <c r="AJ55" s="218">
        <f t="shared" si="45"/>
        <v>5.8999999999999997E-2</v>
      </c>
      <c r="AK55" s="218">
        <f t="shared" si="45"/>
        <v>4.8000000000000001E-2</v>
      </c>
      <c r="AL55" s="218">
        <f t="shared" si="45"/>
        <v>-8888</v>
      </c>
      <c r="AM55" s="218">
        <f t="shared" si="45"/>
        <v>0.36299999999999999</v>
      </c>
      <c r="AN55" s="218">
        <f t="shared" si="45"/>
        <v>3.7999999999999999E-2</v>
      </c>
      <c r="AO55" s="218">
        <f t="shared" si="45"/>
        <v>-8888</v>
      </c>
      <c r="AP55" s="218">
        <f t="shared" si="45"/>
        <v>5.0000000000000001E-3</v>
      </c>
      <c r="AQ55" s="218">
        <f t="shared" si="45"/>
        <v>0.01</v>
      </c>
      <c r="AR55" s="218">
        <f t="shared" si="45"/>
        <v>3.7999999999999999E-2</v>
      </c>
      <c r="AS55" s="218">
        <f t="shared" si="45"/>
        <v>6.6000000000000003E-2</v>
      </c>
      <c r="AT55" s="218">
        <f t="shared" si="45"/>
        <v>1.2999999999999999E-2</v>
      </c>
      <c r="AU55" s="218">
        <f t="shared" si="45"/>
        <v>-8888</v>
      </c>
      <c r="AV55" s="218">
        <f t="shared" si="45"/>
        <v>3.7170000000000001</v>
      </c>
      <c r="AW55" s="218">
        <f t="shared" si="45"/>
        <v>0.26700000000000002</v>
      </c>
      <c r="AX55" s="218">
        <f t="shared" si="45"/>
        <v>1.5209999999999999</v>
      </c>
      <c r="AY55" s="218">
        <f t="shared" si="45"/>
        <v>5.2380000000000004</v>
      </c>
      <c r="AZ55" s="218">
        <f t="shared" si="45"/>
        <v>1.788</v>
      </c>
      <c r="BA55" s="218">
        <f t="shared" si="45"/>
        <v>2.2360000000000002</v>
      </c>
      <c r="BB55" s="218">
        <f t="shared" si="45"/>
        <v>5.5049999999999999</v>
      </c>
      <c r="BC55" s="218">
        <f t="shared" si="45"/>
        <v>1.591</v>
      </c>
      <c r="BD55" s="217">
        <f t="shared" ref="BD55:BJ55" si="46">ROUND(AVERAGE(BD53:BD54),2)</f>
        <v>0.68</v>
      </c>
      <c r="BE55" s="217">
        <f t="shared" si="46"/>
        <v>0.85</v>
      </c>
      <c r="BF55" s="217">
        <f t="shared" si="46"/>
        <v>0.15</v>
      </c>
      <c r="BG55" s="217">
        <f t="shared" si="46"/>
        <v>2.08</v>
      </c>
      <c r="BH55" s="217">
        <f t="shared" si="46"/>
        <v>0.05</v>
      </c>
      <c r="BI55" s="217">
        <f t="shared" si="46"/>
        <v>0.95</v>
      </c>
      <c r="BJ55" s="217">
        <f t="shared" si="46"/>
        <v>0.59</v>
      </c>
      <c r="BK55" s="219"/>
      <c r="BL55" s="219"/>
    </row>
    <row r="56" spans="1:64">
      <c r="A56" s="222"/>
      <c r="B56" s="252"/>
      <c r="C56" s="252"/>
      <c r="D56" s="252"/>
      <c r="E56" s="252"/>
      <c r="F56" s="252"/>
      <c r="G56" s="252"/>
      <c r="H56" s="252"/>
      <c r="I56" s="252"/>
      <c r="J56" s="252"/>
      <c r="K56" s="252"/>
      <c r="L56" s="252"/>
      <c r="M56" s="252"/>
      <c r="N56" s="252"/>
      <c r="O56" s="252"/>
      <c r="P56" s="253"/>
      <c r="Q56" s="252"/>
      <c r="R56" s="252"/>
      <c r="S56" s="252"/>
      <c r="T56" s="252"/>
      <c r="U56" s="222" t="s">
        <v>667</v>
      </c>
      <c r="V56" s="222">
        <f t="shared" ref="V56:BC56" si="47">ROUND(STDEV(V53:V54),3)</f>
        <v>0.35599999999999998</v>
      </c>
      <c r="W56" s="222">
        <f t="shared" si="47"/>
        <v>4.0000000000000001E-3</v>
      </c>
      <c r="X56" s="222">
        <f t="shared" si="47"/>
        <v>0.04</v>
      </c>
      <c r="Y56" s="222">
        <f t="shared" si="47"/>
        <v>1.4E-2</v>
      </c>
      <c r="Z56" s="222">
        <f t="shared" si="47"/>
        <v>0</v>
      </c>
      <c r="AA56" s="222">
        <f t="shared" si="47"/>
        <v>1E-3</v>
      </c>
      <c r="AB56" s="222">
        <f t="shared" si="47"/>
        <v>1E-3</v>
      </c>
      <c r="AC56" s="222">
        <f t="shared" si="47"/>
        <v>1.6E-2</v>
      </c>
      <c r="AD56" s="222">
        <f t="shared" si="47"/>
        <v>8.0000000000000002E-3</v>
      </c>
      <c r="AE56" s="222">
        <f t="shared" si="47"/>
        <v>0.157</v>
      </c>
      <c r="AF56" s="222">
        <f t="shared" si="47"/>
        <v>4.0000000000000001E-3</v>
      </c>
      <c r="AG56" s="222">
        <f t="shared" si="47"/>
        <v>0</v>
      </c>
      <c r="AH56" s="222">
        <f t="shared" si="47"/>
        <v>0.373</v>
      </c>
      <c r="AI56" s="222">
        <f t="shared" si="47"/>
        <v>0</v>
      </c>
      <c r="AJ56" s="222">
        <f t="shared" si="47"/>
        <v>1.7000000000000001E-2</v>
      </c>
      <c r="AK56" s="222">
        <f t="shared" si="47"/>
        <v>4.0000000000000001E-3</v>
      </c>
      <c r="AL56" s="222">
        <f t="shared" si="47"/>
        <v>0</v>
      </c>
      <c r="AM56" s="222">
        <f t="shared" si="47"/>
        <v>3.6999999999999998E-2</v>
      </c>
      <c r="AN56" s="222">
        <f t="shared" si="47"/>
        <v>2E-3</v>
      </c>
      <c r="AO56" s="222">
        <f t="shared" si="47"/>
        <v>0</v>
      </c>
      <c r="AP56" s="222">
        <f t="shared" si="47"/>
        <v>1E-3</v>
      </c>
      <c r="AQ56" s="222">
        <f t="shared" si="47"/>
        <v>1E-3</v>
      </c>
      <c r="AR56" s="222">
        <f t="shared" si="47"/>
        <v>2E-3</v>
      </c>
      <c r="AS56" s="222">
        <f t="shared" si="47"/>
        <v>1E-3</v>
      </c>
      <c r="AT56" s="222">
        <f t="shared" si="47"/>
        <v>1E-3</v>
      </c>
      <c r="AU56" s="222">
        <f t="shared" si="47"/>
        <v>0</v>
      </c>
      <c r="AV56" s="222">
        <f t="shared" si="47"/>
        <v>0.4</v>
      </c>
      <c r="AW56" s="222">
        <f t="shared" si="47"/>
        <v>3.7999999999999999E-2</v>
      </c>
      <c r="AX56" s="222">
        <f t="shared" si="47"/>
        <v>0.161</v>
      </c>
      <c r="AY56" s="222">
        <f t="shared" si="47"/>
        <v>0.56100000000000005</v>
      </c>
      <c r="AZ56" s="222">
        <f t="shared" si="47"/>
        <v>0.19900000000000001</v>
      </c>
      <c r="BA56" s="222">
        <f t="shared" si="47"/>
        <v>0.24299999999999999</v>
      </c>
      <c r="BB56" s="222">
        <f t="shared" si="47"/>
        <v>0.59899999999999998</v>
      </c>
      <c r="BC56" s="222">
        <f t="shared" si="47"/>
        <v>0.16500000000000001</v>
      </c>
      <c r="BD56" s="221">
        <f t="shared" ref="BD56:BJ56" si="48">ROUND(STDEV(BD53:BD54),2)</f>
        <v>0</v>
      </c>
      <c r="BE56" s="221">
        <f t="shared" si="48"/>
        <v>0</v>
      </c>
      <c r="BF56" s="221">
        <f t="shared" si="48"/>
        <v>0</v>
      </c>
      <c r="BG56" s="221">
        <f t="shared" si="48"/>
        <v>0.01</v>
      </c>
      <c r="BH56" s="221">
        <f t="shared" si="48"/>
        <v>0</v>
      </c>
      <c r="BI56" s="221">
        <f t="shared" si="48"/>
        <v>0</v>
      </c>
      <c r="BJ56" s="221">
        <f t="shared" si="48"/>
        <v>0</v>
      </c>
      <c r="BK56" s="223"/>
      <c r="BL56" s="223"/>
    </row>
    <row r="57" spans="1:64">
      <c r="A57" s="224"/>
      <c r="B57" s="254"/>
      <c r="C57" s="254"/>
      <c r="D57" s="254"/>
      <c r="E57" s="254"/>
      <c r="F57" s="254"/>
      <c r="G57" s="254"/>
      <c r="H57" s="254"/>
      <c r="I57" s="254"/>
      <c r="J57" s="254"/>
      <c r="K57" s="254"/>
      <c r="L57" s="254"/>
      <c r="M57" s="254"/>
      <c r="N57" s="254"/>
      <c r="O57" s="254"/>
      <c r="P57" s="255"/>
      <c r="Q57" s="254"/>
      <c r="R57" s="254"/>
      <c r="S57" s="254"/>
      <c r="T57" s="254"/>
      <c r="U57" s="225" t="s">
        <v>649</v>
      </c>
      <c r="V57" s="226">
        <f t="shared" ref="V57:BJ57" si="49">ROUND((V56/V55),4)</f>
        <v>0.1089</v>
      </c>
      <c r="W57" s="226">
        <f t="shared" si="49"/>
        <v>8.3299999999999999E-2</v>
      </c>
      <c r="X57" s="226">
        <f t="shared" si="49"/>
        <v>0.1</v>
      </c>
      <c r="Y57" s="226">
        <f t="shared" si="49"/>
        <v>0.14430000000000001</v>
      </c>
      <c r="Z57" s="226">
        <f t="shared" si="49"/>
        <v>0</v>
      </c>
      <c r="AA57" s="226">
        <f t="shared" si="49"/>
        <v>8.3299999999999999E-2</v>
      </c>
      <c r="AB57" s="226">
        <f t="shared" si="49"/>
        <v>5.2600000000000001E-2</v>
      </c>
      <c r="AC57" s="226">
        <f t="shared" si="49"/>
        <v>0.13009999999999999</v>
      </c>
      <c r="AD57" s="226">
        <f t="shared" si="49"/>
        <v>0.32</v>
      </c>
      <c r="AE57" s="226">
        <f t="shared" si="49"/>
        <v>0.1062</v>
      </c>
      <c r="AF57" s="226">
        <f t="shared" si="49"/>
        <v>0.1333</v>
      </c>
      <c r="AG57" s="226">
        <f t="shared" si="49"/>
        <v>0</v>
      </c>
      <c r="AH57" s="226">
        <f t="shared" si="49"/>
        <v>0.1162</v>
      </c>
      <c r="AI57" s="226">
        <f t="shared" si="49"/>
        <v>0</v>
      </c>
      <c r="AJ57" s="226">
        <f t="shared" si="49"/>
        <v>0.28810000000000002</v>
      </c>
      <c r="AK57" s="226">
        <f t="shared" si="49"/>
        <v>8.3299999999999999E-2</v>
      </c>
      <c r="AL57" s="226">
        <f t="shared" si="49"/>
        <v>0</v>
      </c>
      <c r="AM57" s="226">
        <f t="shared" si="49"/>
        <v>0.1019</v>
      </c>
      <c r="AN57" s="226">
        <f t="shared" si="49"/>
        <v>5.2600000000000001E-2</v>
      </c>
      <c r="AO57" s="226">
        <f t="shared" si="49"/>
        <v>0</v>
      </c>
      <c r="AP57" s="226">
        <f t="shared" si="49"/>
        <v>0.2</v>
      </c>
      <c r="AQ57" s="226">
        <f t="shared" si="49"/>
        <v>0.1</v>
      </c>
      <c r="AR57" s="226">
        <f t="shared" si="49"/>
        <v>5.2600000000000001E-2</v>
      </c>
      <c r="AS57" s="226">
        <f t="shared" si="49"/>
        <v>1.52E-2</v>
      </c>
      <c r="AT57" s="226">
        <f t="shared" si="49"/>
        <v>7.6899999999999996E-2</v>
      </c>
      <c r="AU57" s="226">
        <f t="shared" si="49"/>
        <v>0</v>
      </c>
      <c r="AV57" s="226">
        <f t="shared" si="49"/>
        <v>0.1076</v>
      </c>
      <c r="AW57" s="226">
        <f t="shared" si="49"/>
        <v>0.14230000000000001</v>
      </c>
      <c r="AX57" s="226">
        <f t="shared" si="49"/>
        <v>0.10589999999999999</v>
      </c>
      <c r="AY57" s="226">
        <f t="shared" si="49"/>
        <v>0.1071</v>
      </c>
      <c r="AZ57" s="226">
        <f t="shared" si="49"/>
        <v>0.1113</v>
      </c>
      <c r="BA57" s="226">
        <f t="shared" si="49"/>
        <v>0.1087</v>
      </c>
      <c r="BB57" s="226">
        <f t="shared" si="49"/>
        <v>0.10879999999999999</v>
      </c>
      <c r="BC57" s="226">
        <f t="shared" si="49"/>
        <v>0.1037</v>
      </c>
      <c r="BD57" s="226">
        <f t="shared" si="49"/>
        <v>0</v>
      </c>
      <c r="BE57" s="226">
        <f t="shared" si="49"/>
        <v>0</v>
      </c>
      <c r="BF57" s="226">
        <f t="shared" si="49"/>
        <v>0</v>
      </c>
      <c r="BG57" s="226">
        <f t="shared" si="49"/>
        <v>4.7999999999999996E-3</v>
      </c>
      <c r="BH57" s="226">
        <f t="shared" si="49"/>
        <v>0</v>
      </c>
      <c r="BI57" s="226">
        <f t="shared" si="49"/>
        <v>0</v>
      </c>
      <c r="BJ57" s="226">
        <f t="shared" si="49"/>
        <v>0</v>
      </c>
      <c r="BK57" s="227">
        <f>V57</f>
        <v>0.1089</v>
      </c>
      <c r="BL57" s="227">
        <f t="array" ref="BL57">AVERAGE(IF(V57:AG57&gt;-0.001,V57:AG57,""))</f>
        <v>0.10516666666666667</v>
      </c>
    </row>
    <row r="58" spans="1:64">
      <c r="A58" s="246" t="s">
        <v>412</v>
      </c>
      <c r="B58" s="246" t="s">
        <v>435</v>
      </c>
      <c r="C58" s="246" t="s">
        <v>550</v>
      </c>
      <c r="D58" s="246" t="s">
        <v>539</v>
      </c>
      <c r="E58" s="246" t="s">
        <v>272</v>
      </c>
      <c r="F58" s="246">
        <v>539</v>
      </c>
      <c r="G58" s="246">
        <v>13</v>
      </c>
      <c r="H58" s="246">
        <v>6</v>
      </c>
      <c r="I58" s="246">
        <v>29.3</v>
      </c>
      <c r="J58" s="246">
        <v>78</v>
      </c>
      <c r="K58" s="246" t="s">
        <v>570</v>
      </c>
      <c r="L58" s="246">
        <v>2019</v>
      </c>
      <c r="M58" s="246" t="s">
        <v>270</v>
      </c>
      <c r="N58" s="246">
        <v>2</v>
      </c>
      <c r="O58" s="246">
        <v>33</v>
      </c>
      <c r="P58" s="247" t="s">
        <v>635</v>
      </c>
      <c r="Q58" s="246">
        <v>-70.88</v>
      </c>
      <c r="R58" s="246">
        <v>40.509</v>
      </c>
      <c r="S58" s="246" t="s">
        <v>271</v>
      </c>
      <c r="T58" s="246">
        <v>25</v>
      </c>
      <c r="U58" s="246" t="s">
        <v>573</v>
      </c>
      <c r="V58" s="248">
        <v>0.97599999999999998</v>
      </c>
      <c r="W58" s="248">
        <v>6.2E-2</v>
      </c>
      <c r="X58" s="248">
        <v>0.14299999999999999</v>
      </c>
      <c r="Y58" s="248">
        <v>3.5000000000000003E-2</v>
      </c>
      <c r="Z58" s="248">
        <v>-8888</v>
      </c>
      <c r="AA58" s="248">
        <v>8.0000000000000002E-3</v>
      </c>
      <c r="AB58" s="248">
        <v>1.7999999999999999E-2</v>
      </c>
      <c r="AC58" s="248">
        <v>4.3999999999999997E-2</v>
      </c>
      <c r="AD58" s="248">
        <v>4.0000000000000001E-3</v>
      </c>
      <c r="AE58" s="248">
        <v>0.38600000000000001</v>
      </c>
      <c r="AF58" s="248">
        <v>3.1E-2</v>
      </c>
      <c r="AG58" s="248">
        <v>5.0000000000000001E-3</v>
      </c>
      <c r="AH58" s="248">
        <v>0.96599999999999997</v>
      </c>
      <c r="AI58" s="248">
        <v>-8888</v>
      </c>
      <c r="AJ58" s="248">
        <v>0.01</v>
      </c>
      <c r="AK58" s="248">
        <v>6.2E-2</v>
      </c>
      <c r="AL58" s="248">
        <v>-8888</v>
      </c>
      <c r="AM58" s="248">
        <v>0.107</v>
      </c>
      <c r="AN58" s="248">
        <v>3.5999999999999997E-2</v>
      </c>
      <c r="AO58" s="248">
        <v>2E-3</v>
      </c>
      <c r="AP58" s="248">
        <v>8.0000000000000002E-3</v>
      </c>
      <c r="AQ58" s="248">
        <v>8.9999999999999993E-3</v>
      </c>
      <c r="AR58" s="248">
        <v>1.4999999999999999E-2</v>
      </c>
      <c r="AS58" s="248">
        <v>0.03</v>
      </c>
      <c r="AT58" s="248">
        <v>1.9E-2</v>
      </c>
      <c r="AU58" s="248">
        <v>-8888</v>
      </c>
      <c r="AV58" s="248">
        <v>1.181</v>
      </c>
      <c r="AW58" s="248">
        <v>0.10600000000000001</v>
      </c>
      <c r="AX58" s="248">
        <v>0.42500000000000004</v>
      </c>
      <c r="AY58" s="248">
        <v>1.6060000000000001</v>
      </c>
      <c r="AZ58" s="248">
        <v>0.53100000000000003</v>
      </c>
      <c r="BA58" s="248">
        <v>0.73599999999999999</v>
      </c>
      <c r="BB58" s="248">
        <v>1.712</v>
      </c>
      <c r="BC58" s="248">
        <v>0.51</v>
      </c>
      <c r="BD58" s="249">
        <v>0.75</v>
      </c>
      <c r="BE58" s="249">
        <v>0.8</v>
      </c>
      <c r="BF58" s="249">
        <v>0.2</v>
      </c>
      <c r="BG58" s="249">
        <v>2.2200000000000002</v>
      </c>
      <c r="BH58" s="249">
        <v>0.06</v>
      </c>
      <c r="BI58" s="249">
        <v>0.94</v>
      </c>
      <c r="BJ58" s="249">
        <v>0.56999999999999995</v>
      </c>
      <c r="BK58" s="244"/>
      <c r="BL58" s="244"/>
    </row>
    <row r="59" spans="1:64">
      <c r="A59" s="246" t="s">
        <v>413</v>
      </c>
      <c r="B59" s="246" t="s">
        <v>435</v>
      </c>
      <c r="C59" s="246" t="s">
        <v>551</v>
      </c>
      <c r="D59" s="246" t="s">
        <v>539</v>
      </c>
      <c r="E59" s="246" t="s">
        <v>272</v>
      </c>
      <c r="F59" s="246">
        <v>539</v>
      </c>
      <c r="G59" s="246">
        <v>13</v>
      </c>
      <c r="H59" s="246">
        <v>6</v>
      </c>
      <c r="I59" s="246">
        <v>29.3</v>
      </c>
      <c r="J59" s="246">
        <v>78</v>
      </c>
      <c r="K59" s="246" t="s">
        <v>570</v>
      </c>
      <c r="L59" s="246">
        <v>2019</v>
      </c>
      <c r="M59" s="246" t="s">
        <v>270</v>
      </c>
      <c r="N59" s="246">
        <v>2</v>
      </c>
      <c r="O59" s="246">
        <v>33</v>
      </c>
      <c r="P59" s="247" t="s">
        <v>635</v>
      </c>
      <c r="Q59" s="246">
        <v>-70.88</v>
      </c>
      <c r="R59" s="246">
        <v>40.509</v>
      </c>
      <c r="S59" s="246" t="s">
        <v>271</v>
      </c>
      <c r="T59" s="246">
        <v>25</v>
      </c>
      <c r="U59" s="246" t="s">
        <v>573</v>
      </c>
      <c r="V59" s="248">
        <v>1.0489999999999999</v>
      </c>
      <c r="W59" s="248">
        <v>6.2E-2</v>
      </c>
      <c r="X59" s="248">
        <v>0.14699999999999999</v>
      </c>
      <c r="Y59" s="248">
        <v>3.6999999999999998E-2</v>
      </c>
      <c r="Z59" s="248">
        <v>-8888</v>
      </c>
      <c r="AA59" s="248">
        <v>8.0000000000000002E-3</v>
      </c>
      <c r="AB59" s="248">
        <v>1.7999999999999999E-2</v>
      </c>
      <c r="AC59" s="248">
        <v>4.8000000000000001E-2</v>
      </c>
      <c r="AD59" s="248">
        <v>3.0000000000000001E-3</v>
      </c>
      <c r="AE59" s="248">
        <v>0.42299999999999999</v>
      </c>
      <c r="AF59" s="248">
        <v>2.9000000000000001E-2</v>
      </c>
      <c r="AG59" s="248">
        <v>4.0000000000000001E-3</v>
      </c>
      <c r="AH59" s="248">
        <v>1.0389999999999999</v>
      </c>
      <c r="AI59" s="248">
        <v>-8888</v>
      </c>
      <c r="AJ59" s="248">
        <v>0.01</v>
      </c>
      <c r="AK59" s="248">
        <v>6.2E-2</v>
      </c>
      <c r="AL59" s="248">
        <v>-8888</v>
      </c>
      <c r="AM59" s="248">
        <v>0.111</v>
      </c>
      <c r="AN59" s="248">
        <v>3.5999999999999997E-2</v>
      </c>
      <c r="AO59" s="248">
        <v>2E-3</v>
      </c>
      <c r="AP59" s="248">
        <v>7.0000000000000001E-3</v>
      </c>
      <c r="AQ59" s="248">
        <v>8.9999999999999993E-3</v>
      </c>
      <c r="AR59" s="248">
        <v>1.4E-2</v>
      </c>
      <c r="AS59" s="248">
        <v>3.5000000000000003E-2</v>
      </c>
      <c r="AT59" s="248">
        <v>1.9E-2</v>
      </c>
      <c r="AU59" s="248">
        <v>-8888</v>
      </c>
      <c r="AV59" s="248">
        <v>1.258</v>
      </c>
      <c r="AW59" s="248">
        <v>0.11000000000000001</v>
      </c>
      <c r="AX59" s="248">
        <v>0.46</v>
      </c>
      <c r="AY59" s="248">
        <v>1.718</v>
      </c>
      <c r="AZ59" s="248">
        <v>0.57000000000000006</v>
      </c>
      <c r="BA59" s="248">
        <v>0.77900000000000014</v>
      </c>
      <c r="BB59" s="248">
        <v>1.8280000000000001</v>
      </c>
      <c r="BC59" s="248">
        <v>0.54400000000000004</v>
      </c>
      <c r="BD59" s="249">
        <v>0.74</v>
      </c>
      <c r="BE59" s="249">
        <v>0.81</v>
      </c>
      <c r="BF59" s="249">
        <v>0.19</v>
      </c>
      <c r="BG59" s="249">
        <v>2.21</v>
      </c>
      <c r="BH59" s="249">
        <v>0.06</v>
      </c>
      <c r="BI59" s="249">
        <v>0.94</v>
      </c>
      <c r="BJ59" s="249">
        <v>0.56999999999999995</v>
      </c>
      <c r="BK59" s="244"/>
      <c r="BL59" s="244"/>
    </row>
    <row r="60" spans="1:64">
      <c r="A60" s="218"/>
      <c r="B60" s="250"/>
      <c r="C60" s="250"/>
      <c r="D60" s="250"/>
      <c r="E60" s="250"/>
      <c r="F60" s="250"/>
      <c r="G60" s="250"/>
      <c r="H60" s="250"/>
      <c r="I60" s="250"/>
      <c r="J60" s="250"/>
      <c r="K60" s="250"/>
      <c r="L60" s="250"/>
      <c r="M60" s="250"/>
      <c r="N60" s="250"/>
      <c r="O60" s="250"/>
      <c r="P60" s="251"/>
      <c r="Q60" s="250"/>
      <c r="R60" s="250"/>
      <c r="S60" s="250"/>
      <c r="T60" s="250"/>
      <c r="U60" s="218" t="s">
        <v>666</v>
      </c>
      <c r="V60" s="218">
        <f t="shared" ref="V60:BC60" si="50">ROUND(AVERAGE(V58:V59),3)</f>
        <v>1.0129999999999999</v>
      </c>
      <c r="W60" s="218">
        <f t="shared" si="50"/>
        <v>6.2E-2</v>
      </c>
      <c r="X60" s="218">
        <f t="shared" si="50"/>
        <v>0.14499999999999999</v>
      </c>
      <c r="Y60" s="218">
        <f t="shared" si="50"/>
        <v>3.5999999999999997E-2</v>
      </c>
      <c r="Z60" s="218">
        <f t="shared" si="50"/>
        <v>-8888</v>
      </c>
      <c r="AA60" s="218">
        <f t="shared" si="50"/>
        <v>8.0000000000000002E-3</v>
      </c>
      <c r="AB60" s="218">
        <f t="shared" si="50"/>
        <v>1.7999999999999999E-2</v>
      </c>
      <c r="AC60" s="218">
        <f t="shared" si="50"/>
        <v>4.5999999999999999E-2</v>
      </c>
      <c r="AD60" s="218">
        <f t="shared" si="50"/>
        <v>4.0000000000000001E-3</v>
      </c>
      <c r="AE60" s="218">
        <f t="shared" si="50"/>
        <v>0.40500000000000003</v>
      </c>
      <c r="AF60" s="218">
        <f t="shared" si="50"/>
        <v>0.03</v>
      </c>
      <c r="AG60" s="218">
        <f t="shared" si="50"/>
        <v>5.0000000000000001E-3</v>
      </c>
      <c r="AH60" s="218">
        <f t="shared" si="50"/>
        <v>1.0029999999999999</v>
      </c>
      <c r="AI60" s="218">
        <f t="shared" si="50"/>
        <v>-8888</v>
      </c>
      <c r="AJ60" s="218">
        <f t="shared" si="50"/>
        <v>0.01</v>
      </c>
      <c r="AK60" s="218">
        <f t="shared" si="50"/>
        <v>6.2E-2</v>
      </c>
      <c r="AL60" s="218">
        <f t="shared" si="50"/>
        <v>-8888</v>
      </c>
      <c r="AM60" s="218">
        <f t="shared" si="50"/>
        <v>0.109</v>
      </c>
      <c r="AN60" s="218">
        <f t="shared" si="50"/>
        <v>3.5999999999999997E-2</v>
      </c>
      <c r="AO60" s="218">
        <f t="shared" si="50"/>
        <v>2E-3</v>
      </c>
      <c r="AP60" s="218">
        <f t="shared" si="50"/>
        <v>8.0000000000000002E-3</v>
      </c>
      <c r="AQ60" s="218">
        <f t="shared" si="50"/>
        <v>8.9999999999999993E-3</v>
      </c>
      <c r="AR60" s="218">
        <f t="shared" si="50"/>
        <v>1.4999999999999999E-2</v>
      </c>
      <c r="AS60" s="218">
        <f t="shared" si="50"/>
        <v>3.3000000000000002E-2</v>
      </c>
      <c r="AT60" s="218">
        <f t="shared" si="50"/>
        <v>1.9E-2</v>
      </c>
      <c r="AU60" s="218">
        <f t="shared" si="50"/>
        <v>-8888</v>
      </c>
      <c r="AV60" s="218">
        <f t="shared" si="50"/>
        <v>1.22</v>
      </c>
      <c r="AW60" s="218">
        <f t="shared" si="50"/>
        <v>0.108</v>
      </c>
      <c r="AX60" s="218">
        <f t="shared" si="50"/>
        <v>0.443</v>
      </c>
      <c r="AY60" s="218">
        <f t="shared" si="50"/>
        <v>1.6619999999999999</v>
      </c>
      <c r="AZ60" s="218">
        <f t="shared" si="50"/>
        <v>0.55100000000000005</v>
      </c>
      <c r="BA60" s="218">
        <f t="shared" si="50"/>
        <v>0.75800000000000001</v>
      </c>
      <c r="BB60" s="218">
        <f t="shared" si="50"/>
        <v>1.77</v>
      </c>
      <c r="BC60" s="218">
        <f t="shared" si="50"/>
        <v>0.52700000000000002</v>
      </c>
      <c r="BD60" s="217">
        <f t="shared" ref="BD60:BJ60" si="51">ROUND(AVERAGE(BD58:BD59),2)</f>
        <v>0.75</v>
      </c>
      <c r="BE60" s="217">
        <f t="shared" si="51"/>
        <v>0.81</v>
      </c>
      <c r="BF60" s="217">
        <f t="shared" si="51"/>
        <v>0.2</v>
      </c>
      <c r="BG60" s="217">
        <f t="shared" si="51"/>
        <v>2.2200000000000002</v>
      </c>
      <c r="BH60" s="217">
        <f t="shared" si="51"/>
        <v>0.06</v>
      </c>
      <c r="BI60" s="217">
        <f t="shared" si="51"/>
        <v>0.94</v>
      </c>
      <c r="BJ60" s="217">
        <f t="shared" si="51"/>
        <v>0.56999999999999995</v>
      </c>
      <c r="BK60" s="219"/>
      <c r="BL60" s="219"/>
    </row>
    <row r="61" spans="1:64">
      <c r="A61" s="222"/>
      <c r="B61" s="252"/>
      <c r="C61" s="252"/>
      <c r="D61" s="252"/>
      <c r="E61" s="252"/>
      <c r="F61" s="252"/>
      <c r="G61" s="252"/>
      <c r="H61" s="252"/>
      <c r="I61" s="252"/>
      <c r="J61" s="252"/>
      <c r="K61" s="252"/>
      <c r="L61" s="252"/>
      <c r="M61" s="252"/>
      <c r="N61" s="252"/>
      <c r="O61" s="252"/>
      <c r="P61" s="253"/>
      <c r="Q61" s="252"/>
      <c r="R61" s="252"/>
      <c r="S61" s="252"/>
      <c r="T61" s="252"/>
      <c r="U61" s="222" t="s">
        <v>667</v>
      </c>
      <c r="V61" s="222">
        <f t="shared" ref="V61:BC61" si="52">ROUND(STDEV(V58:V59),3)</f>
        <v>5.1999999999999998E-2</v>
      </c>
      <c r="W61" s="222">
        <f t="shared" si="52"/>
        <v>0</v>
      </c>
      <c r="X61" s="222">
        <f t="shared" si="52"/>
        <v>3.0000000000000001E-3</v>
      </c>
      <c r="Y61" s="222">
        <f t="shared" si="52"/>
        <v>1E-3</v>
      </c>
      <c r="Z61" s="222">
        <f t="shared" si="52"/>
        <v>0</v>
      </c>
      <c r="AA61" s="222">
        <f t="shared" si="52"/>
        <v>0</v>
      </c>
      <c r="AB61" s="222">
        <f t="shared" si="52"/>
        <v>0</v>
      </c>
      <c r="AC61" s="222">
        <f t="shared" si="52"/>
        <v>3.0000000000000001E-3</v>
      </c>
      <c r="AD61" s="222">
        <f t="shared" si="52"/>
        <v>1E-3</v>
      </c>
      <c r="AE61" s="222">
        <f t="shared" si="52"/>
        <v>2.5999999999999999E-2</v>
      </c>
      <c r="AF61" s="222">
        <f t="shared" si="52"/>
        <v>1E-3</v>
      </c>
      <c r="AG61" s="222">
        <f t="shared" si="52"/>
        <v>1E-3</v>
      </c>
      <c r="AH61" s="222">
        <f t="shared" si="52"/>
        <v>5.1999999999999998E-2</v>
      </c>
      <c r="AI61" s="222">
        <f t="shared" si="52"/>
        <v>0</v>
      </c>
      <c r="AJ61" s="222">
        <f t="shared" si="52"/>
        <v>0</v>
      </c>
      <c r="AK61" s="222">
        <f t="shared" si="52"/>
        <v>0</v>
      </c>
      <c r="AL61" s="222">
        <f t="shared" si="52"/>
        <v>0</v>
      </c>
      <c r="AM61" s="222">
        <f t="shared" si="52"/>
        <v>3.0000000000000001E-3</v>
      </c>
      <c r="AN61" s="222">
        <f t="shared" si="52"/>
        <v>0</v>
      </c>
      <c r="AO61" s="222">
        <f t="shared" si="52"/>
        <v>0</v>
      </c>
      <c r="AP61" s="222">
        <f t="shared" si="52"/>
        <v>1E-3</v>
      </c>
      <c r="AQ61" s="222">
        <f t="shared" si="52"/>
        <v>0</v>
      </c>
      <c r="AR61" s="222">
        <f t="shared" si="52"/>
        <v>1E-3</v>
      </c>
      <c r="AS61" s="222">
        <f t="shared" si="52"/>
        <v>4.0000000000000001E-3</v>
      </c>
      <c r="AT61" s="222">
        <f t="shared" si="52"/>
        <v>0</v>
      </c>
      <c r="AU61" s="222">
        <f t="shared" si="52"/>
        <v>0</v>
      </c>
      <c r="AV61" s="222">
        <f t="shared" si="52"/>
        <v>5.3999999999999999E-2</v>
      </c>
      <c r="AW61" s="222">
        <f t="shared" si="52"/>
        <v>3.0000000000000001E-3</v>
      </c>
      <c r="AX61" s="222">
        <f t="shared" si="52"/>
        <v>2.5000000000000001E-2</v>
      </c>
      <c r="AY61" s="222">
        <f t="shared" si="52"/>
        <v>7.9000000000000001E-2</v>
      </c>
      <c r="AZ61" s="222">
        <f t="shared" si="52"/>
        <v>2.8000000000000001E-2</v>
      </c>
      <c r="BA61" s="222">
        <f t="shared" si="52"/>
        <v>0.03</v>
      </c>
      <c r="BB61" s="222">
        <f t="shared" si="52"/>
        <v>8.2000000000000003E-2</v>
      </c>
      <c r="BC61" s="222">
        <f t="shared" si="52"/>
        <v>2.4E-2</v>
      </c>
      <c r="BD61" s="221">
        <f t="shared" ref="BD61:BJ61" si="53">ROUND(STDEV(BD58:BD59),2)</f>
        <v>0.01</v>
      </c>
      <c r="BE61" s="221">
        <f t="shared" si="53"/>
        <v>0.01</v>
      </c>
      <c r="BF61" s="221">
        <f t="shared" si="53"/>
        <v>0.01</v>
      </c>
      <c r="BG61" s="221">
        <f t="shared" si="53"/>
        <v>0.01</v>
      </c>
      <c r="BH61" s="221">
        <f t="shared" si="53"/>
        <v>0</v>
      </c>
      <c r="BI61" s="221">
        <f t="shared" si="53"/>
        <v>0</v>
      </c>
      <c r="BJ61" s="221">
        <f t="shared" si="53"/>
        <v>0</v>
      </c>
      <c r="BK61" s="223"/>
      <c r="BL61" s="223"/>
    </row>
    <row r="62" spans="1:64">
      <c r="A62" s="224"/>
      <c r="B62" s="254"/>
      <c r="C62" s="254"/>
      <c r="D62" s="254"/>
      <c r="E62" s="254"/>
      <c r="F62" s="254"/>
      <c r="G62" s="254"/>
      <c r="H62" s="254"/>
      <c r="I62" s="254"/>
      <c r="J62" s="254"/>
      <c r="K62" s="254"/>
      <c r="L62" s="254"/>
      <c r="M62" s="254"/>
      <c r="N62" s="254"/>
      <c r="O62" s="254"/>
      <c r="P62" s="255"/>
      <c r="Q62" s="254"/>
      <c r="R62" s="254"/>
      <c r="S62" s="254"/>
      <c r="T62" s="254"/>
      <c r="U62" s="225" t="s">
        <v>649</v>
      </c>
      <c r="V62" s="226">
        <f t="shared" ref="V62:BJ62" si="54">ROUND((V61/V60),4)</f>
        <v>5.1299999999999998E-2</v>
      </c>
      <c r="W62" s="226">
        <f t="shared" si="54"/>
        <v>0</v>
      </c>
      <c r="X62" s="226">
        <f t="shared" si="54"/>
        <v>2.07E-2</v>
      </c>
      <c r="Y62" s="226">
        <f t="shared" si="54"/>
        <v>2.7799999999999998E-2</v>
      </c>
      <c r="Z62" s="226">
        <f t="shared" si="54"/>
        <v>0</v>
      </c>
      <c r="AA62" s="226">
        <f t="shared" si="54"/>
        <v>0</v>
      </c>
      <c r="AB62" s="226">
        <f t="shared" si="54"/>
        <v>0</v>
      </c>
      <c r="AC62" s="226">
        <f t="shared" si="54"/>
        <v>6.5199999999999994E-2</v>
      </c>
      <c r="AD62" s="226">
        <f t="shared" si="54"/>
        <v>0.25</v>
      </c>
      <c r="AE62" s="226">
        <f t="shared" si="54"/>
        <v>6.4199999999999993E-2</v>
      </c>
      <c r="AF62" s="226">
        <f t="shared" si="54"/>
        <v>3.3300000000000003E-2</v>
      </c>
      <c r="AG62" s="226">
        <f t="shared" si="54"/>
        <v>0.2</v>
      </c>
      <c r="AH62" s="226">
        <f t="shared" si="54"/>
        <v>5.1799999999999999E-2</v>
      </c>
      <c r="AI62" s="226">
        <f t="shared" si="54"/>
        <v>0</v>
      </c>
      <c r="AJ62" s="226">
        <f t="shared" si="54"/>
        <v>0</v>
      </c>
      <c r="AK62" s="226">
        <f t="shared" si="54"/>
        <v>0</v>
      </c>
      <c r="AL62" s="226">
        <f t="shared" si="54"/>
        <v>0</v>
      </c>
      <c r="AM62" s="226">
        <f t="shared" si="54"/>
        <v>2.75E-2</v>
      </c>
      <c r="AN62" s="226">
        <f t="shared" si="54"/>
        <v>0</v>
      </c>
      <c r="AO62" s="226">
        <f t="shared" si="54"/>
        <v>0</v>
      </c>
      <c r="AP62" s="226">
        <f t="shared" si="54"/>
        <v>0.125</v>
      </c>
      <c r="AQ62" s="226">
        <f t="shared" si="54"/>
        <v>0</v>
      </c>
      <c r="AR62" s="226">
        <f t="shared" si="54"/>
        <v>6.6699999999999995E-2</v>
      </c>
      <c r="AS62" s="226">
        <f t="shared" si="54"/>
        <v>0.1212</v>
      </c>
      <c r="AT62" s="226">
        <f t="shared" si="54"/>
        <v>0</v>
      </c>
      <c r="AU62" s="226">
        <f t="shared" si="54"/>
        <v>0</v>
      </c>
      <c r="AV62" s="226">
        <f t="shared" si="54"/>
        <v>4.4299999999999999E-2</v>
      </c>
      <c r="AW62" s="226">
        <f t="shared" si="54"/>
        <v>2.7799999999999998E-2</v>
      </c>
      <c r="AX62" s="226">
        <f t="shared" si="54"/>
        <v>5.6399999999999999E-2</v>
      </c>
      <c r="AY62" s="226">
        <f t="shared" si="54"/>
        <v>4.7500000000000001E-2</v>
      </c>
      <c r="AZ62" s="226">
        <f t="shared" si="54"/>
        <v>5.0799999999999998E-2</v>
      </c>
      <c r="BA62" s="226">
        <f t="shared" si="54"/>
        <v>3.9600000000000003E-2</v>
      </c>
      <c r="BB62" s="226">
        <f t="shared" si="54"/>
        <v>4.6300000000000001E-2</v>
      </c>
      <c r="BC62" s="226">
        <f t="shared" si="54"/>
        <v>4.5499999999999999E-2</v>
      </c>
      <c r="BD62" s="226">
        <f t="shared" si="54"/>
        <v>1.3299999999999999E-2</v>
      </c>
      <c r="BE62" s="226">
        <f t="shared" si="54"/>
        <v>1.23E-2</v>
      </c>
      <c r="BF62" s="226">
        <f t="shared" si="54"/>
        <v>0.05</v>
      </c>
      <c r="BG62" s="226">
        <f t="shared" si="54"/>
        <v>4.4999999999999997E-3</v>
      </c>
      <c r="BH62" s="226">
        <f t="shared" si="54"/>
        <v>0</v>
      </c>
      <c r="BI62" s="226">
        <f t="shared" si="54"/>
        <v>0</v>
      </c>
      <c r="BJ62" s="226">
        <f t="shared" si="54"/>
        <v>0</v>
      </c>
      <c r="BK62" s="227">
        <f>V62</f>
        <v>5.1299999999999998E-2</v>
      </c>
      <c r="BL62" s="227">
        <f t="array" ref="BL62">AVERAGE(IF(V62:AG62&gt;-0.001,V62:AG62,""))</f>
        <v>5.937499999999999E-2</v>
      </c>
    </row>
    <row r="63" spans="1:64">
      <c r="A63" s="246" t="s">
        <v>416</v>
      </c>
      <c r="B63" s="246" t="s">
        <v>435</v>
      </c>
      <c r="C63" s="246" t="s">
        <v>554</v>
      </c>
      <c r="D63" s="246" t="s">
        <v>539</v>
      </c>
      <c r="E63" s="246" t="s">
        <v>272</v>
      </c>
      <c r="F63" s="246">
        <v>539</v>
      </c>
      <c r="G63" s="246">
        <v>17</v>
      </c>
      <c r="H63" s="246">
        <v>8</v>
      </c>
      <c r="I63" s="246">
        <v>45.6</v>
      </c>
      <c r="J63" s="246">
        <v>122</v>
      </c>
      <c r="K63" s="246" t="s">
        <v>570</v>
      </c>
      <c r="L63" s="246">
        <v>2019</v>
      </c>
      <c r="M63" s="246" t="s">
        <v>270</v>
      </c>
      <c r="N63" s="246">
        <v>3</v>
      </c>
      <c r="O63" s="246">
        <v>34</v>
      </c>
      <c r="P63" s="247" t="s">
        <v>637</v>
      </c>
      <c r="Q63" s="246">
        <v>-70.887</v>
      </c>
      <c r="R63" s="246">
        <v>40.228000000000002</v>
      </c>
      <c r="S63" s="246" t="s">
        <v>271</v>
      </c>
      <c r="T63" s="246">
        <v>25</v>
      </c>
      <c r="U63" s="246" t="s">
        <v>573</v>
      </c>
      <c r="V63" s="248">
        <v>2.2609999999999997</v>
      </c>
      <c r="W63" s="248">
        <v>9.1999999999999998E-2</v>
      </c>
      <c r="X63" s="248">
        <v>0.35899999999999999</v>
      </c>
      <c r="Y63" s="248">
        <v>7.6999999999999999E-2</v>
      </c>
      <c r="Z63" s="248">
        <v>2.1999999999999999E-2</v>
      </c>
      <c r="AA63" s="248">
        <v>5.5E-2</v>
      </c>
      <c r="AB63" s="248">
        <v>3.5000000000000003E-2</v>
      </c>
      <c r="AC63" s="248">
        <v>9.6000000000000002E-2</v>
      </c>
      <c r="AD63" s="248">
        <v>0.01</v>
      </c>
      <c r="AE63" s="248">
        <v>0.90700000000000003</v>
      </c>
      <c r="AF63" s="248">
        <v>0.106</v>
      </c>
      <c r="AG63" s="248">
        <v>4.0000000000000001E-3</v>
      </c>
      <c r="AH63" s="248">
        <v>2.2429999999999999</v>
      </c>
      <c r="AI63" s="248">
        <v>-8888</v>
      </c>
      <c r="AJ63" s="248">
        <v>1.7999999999999999E-2</v>
      </c>
      <c r="AK63" s="248">
        <v>9.1999999999999998E-2</v>
      </c>
      <c r="AL63" s="248">
        <v>-8888</v>
      </c>
      <c r="AM63" s="248">
        <v>0.28599999999999998</v>
      </c>
      <c r="AN63" s="248">
        <v>7.2999999999999995E-2</v>
      </c>
      <c r="AO63" s="248">
        <v>2E-3</v>
      </c>
      <c r="AP63" s="248">
        <v>0.01</v>
      </c>
      <c r="AQ63" s="248">
        <v>1.2E-2</v>
      </c>
      <c r="AR63" s="248">
        <v>2.3E-2</v>
      </c>
      <c r="AS63" s="248">
        <v>2.3E-2</v>
      </c>
      <c r="AT63" s="248">
        <v>2.7E-2</v>
      </c>
      <c r="AU63" s="248">
        <v>-8888</v>
      </c>
      <c r="AV63" s="248">
        <v>2.7119999999999997</v>
      </c>
      <c r="AW63" s="248">
        <v>0.22200000000000003</v>
      </c>
      <c r="AX63" s="248">
        <v>1.0900000000000001</v>
      </c>
      <c r="AY63" s="248">
        <v>3.8019999999999996</v>
      </c>
      <c r="AZ63" s="248">
        <v>1.3120000000000001</v>
      </c>
      <c r="BA63" s="248">
        <v>1.7630000000000001</v>
      </c>
      <c r="BB63" s="248">
        <v>4.024</v>
      </c>
      <c r="BC63" s="248">
        <v>1.2210000000000001</v>
      </c>
      <c r="BD63" s="249">
        <v>0.78</v>
      </c>
      <c r="BE63" s="249">
        <v>0.83</v>
      </c>
      <c r="BF63" s="249">
        <v>0.17</v>
      </c>
      <c r="BG63" s="249">
        <v>2.0699999999999998</v>
      </c>
      <c r="BH63" s="249">
        <v>0.06</v>
      </c>
      <c r="BI63" s="249">
        <v>0.94</v>
      </c>
      <c r="BJ63" s="249">
        <v>0.56000000000000005</v>
      </c>
      <c r="BK63" s="244"/>
      <c r="BL63" s="244"/>
    </row>
    <row r="64" spans="1:64">
      <c r="A64" s="246" t="s">
        <v>418</v>
      </c>
      <c r="B64" s="246" t="s">
        <v>435</v>
      </c>
      <c r="C64" s="246" t="s">
        <v>555</v>
      </c>
      <c r="D64" s="246" t="s">
        <v>539</v>
      </c>
      <c r="E64" s="246" t="s">
        <v>272</v>
      </c>
      <c r="F64" s="246">
        <v>539</v>
      </c>
      <c r="G64" s="246">
        <v>17</v>
      </c>
      <c r="H64" s="246">
        <v>8</v>
      </c>
      <c r="I64" s="246">
        <v>45.6</v>
      </c>
      <c r="J64" s="246">
        <v>122</v>
      </c>
      <c r="K64" s="246" t="s">
        <v>570</v>
      </c>
      <c r="L64" s="246">
        <v>2019</v>
      </c>
      <c r="M64" s="246" t="s">
        <v>270</v>
      </c>
      <c r="N64" s="246">
        <v>3</v>
      </c>
      <c r="O64" s="246">
        <v>34</v>
      </c>
      <c r="P64" s="247" t="s">
        <v>637</v>
      </c>
      <c r="Q64" s="246">
        <v>-70.887</v>
      </c>
      <c r="R64" s="246">
        <v>40.228000000000002</v>
      </c>
      <c r="S64" s="246" t="s">
        <v>271</v>
      </c>
      <c r="T64" s="246">
        <v>25</v>
      </c>
      <c r="U64" s="246" t="s">
        <v>573</v>
      </c>
      <c r="V64" s="248">
        <v>1.972</v>
      </c>
      <c r="W64" s="248">
        <v>9.5000000000000001E-2</v>
      </c>
      <c r="X64" s="248">
        <v>0.33</v>
      </c>
      <c r="Y64" s="248">
        <v>6.7000000000000004E-2</v>
      </c>
      <c r="Z64" s="248">
        <v>2.4E-2</v>
      </c>
      <c r="AA64" s="248">
        <v>5.7000000000000002E-2</v>
      </c>
      <c r="AB64" s="248">
        <v>3.6999999999999998E-2</v>
      </c>
      <c r="AC64" s="248">
        <v>8.6999999999999994E-2</v>
      </c>
      <c r="AD64" s="248">
        <v>8.9999999999999993E-3</v>
      </c>
      <c r="AE64" s="248">
        <v>0.754</v>
      </c>
      <c r="AF64" s="248">
        <v>0.11899999999999999</v>
      </c>
      <c r="AG64" s="248">
        <v>5.0000000000000001E-3</v>
      </c>
      <c r="AH64" s="248">
        <v>1.9570000000000001</v>
      </c>
      <c r="AI64" s="248">
        <v>-8888</v>
      </c>
      <c r="AJ64" s="248">
        <v>1.4999999999999999E-2</v>
      </c>
      <c r="AK64" s="248">
        <v>9.5000000000000001E-2</v>
      </c>
      <c r="AL64" s="248">
        <v>-8888</v>
      </c>
      <c r="AM64" s="248">
        <v>0.251</v>
      </c>
      <c r="AN64" s="248">
        <v>7.9000000000000001E-2</v>
      </c>
      <c r="AO64" s="248">
        <v>3.0000000000000001E-3</v>
      </c>
      <c r="AP64" s="248">
        <v>0.01</v>
      </c>
      <c r="AQ64" s="248">
        <v>1.2E-2</v>
      </c>
      <c r="AR64" s="248">
        <v>0.02</v>
      </c>
      <c r="AS64" s="248">
        <v>0.02</v>
      </c>
      <c r="AT64" s="248">
        <v>2.8000000000000001E-2</v>
      </c>
      <c r="AU64" s="248">
        <v>-8888</v>
      </c>
      <c r="AV64" s="248">
        <v>2.3970000000000002</v>
      </c>
      <c r="AW64" s="248">
        <v>0.20500000000000002</v>
      </c>
      <c r="AX64" s="248">
        <v>0.95400000000000007</v>
      </c>
      <c r="AY64" s="248">
        <v>3.3510000000000004</v>
      </c>
      <c r="AZ64" s="248">
        <v>1.159</v>
      </c>
      <c r="BA64" s="248">
        <v>1.5840000000000001</v>
      </c>
      <c r="BB64" s="248">
        <v>3.556</v>
      </c>
      <c r="BC64" s="248">
        <v>1.0910000000000002</v>
      </c>
      <c r="BD64" s="249">
        <v>0.8</v>
      </c>
      <c r="BE64" s="249">
        <v>0.82</v>
      </c>
      <c r="BF64" s="249">
        <v>0.18</v>
      </c>
      <c r="BG64" s="249">
        <v>2.0699999999999998</v>
      </c>
      <c r="BH64" s="249">
        <v>0.06</v>
      </c>
      <c r="BI64" s="249">
        <v>0.94</v>
      </c>
      <c r="BJ64" s="249">
        <v>0.55000000000000004</v>
      </c>
      <c r="BK64" s="244"/>
      <c r="BL64" s="244"/>
    </row>
    <row r="65" spans="1:64">
      <c r="A65" s="218"/>
      <c r="B65" s="250"/>
      <c r="C65" s="250"/>
      <c r="D65" s="250"/>
      <c r="E65" s="250"/>
      <c r="F65" s="250"/>
      <c r="G65" s="250"/>
      <c r="H65" s="250"/>
      <c r="I65" s="250"/>
      <c r="J65" s="250"/>
      <c r="K65" s="250"/>
      <c r="L65" s="250"/>
      <c r="M65" s="250"/>
      <c r="N65" s="250"/>
      <c r="O65" s="250"/>
      <c r="P65" s="251"/>
      <c r="Q65" s="250"/>
      <c r="R65" s="250"/>
      <c r="S65" s="250"/>
      <c r="T65" s="250"/>
      <c r="U65" s="218" t="s">
        <v>666</v>
      </c>
      <c r="V65" s="218">
        <f t="shared" ref="V65:BC65" si="55">ROUND(AVERAGE(V63:V64),3)</f>
        <v>2.117</v>
      </c>
      <c r="W65" s="218">
        <f t="shared" si="55"/>
        <v>9.4E-2</v>
      </c>
      <c r="X65" s="218">
        <f t="shared" si="55"/>
        <v>0.34499999999999997</v>
      </c>
      <c r="Y65" s="218">
        <f t="shared" si="55"/>
        <v>7.1999999999999995E-2</v>
      </c>
      <c r="Z65" s="218">
        <f t="shared" si="55"/>
        <v>2.3E-2</v>
      </c>
      <c r="AA65" s="218">
        <f t="shared" si="55"/>
        <v>5.6000000000000001E-2</v>
      </c>
      <c r="AB65" s="218">
        <f t="shared" si="55"/>
        <v>3.5999999999999997E-2</v>
      </c>
      <c r="AC65" s="218">
        <f t="shared" si="55"/>
        <v>9.1999999999999998E-2</v>
      </c>
      <c r="AD65" s="218">
        <f t="shared" si="55"/>
        <v>0.01</v>
      </c>
      <c r="AE65" s="218">
        <f t="shared" si="55"/>
        <v>0.83099999999999996</v>
      </c>
      <c r="AF65" s="218">
        <f t="shared" si="55"/>
        <v>0.113</v>
      </c>
      <c r="AG65" s="218">
        <f t="shared" si="55"/>
        <v>5.0000000000000001E-3</v>
      </c>
      <c r="AH65" s="218">
        <f t="shared" si="55"/>
        <v>2.1</v>
      </c>
      <c r="AI65" s="218">
        <f t="shared" si="55"/>
        <v>-8888</v>
      </c>
      <c r="AJ65" s="218">
        <f t="shared" si="55"/>
        <v>1.7000000000000001E-2</v>
      </c>
      <c r="AK65" s="218">
        <f t="shared" si="55"/>
        <v>9.4E-2</v>
      </c>
      <c r="AL65" s="218">
        <f t="shared" si="55"/>
        <v>-8888</v>
      </c>
      <c r="AM65" s="218">
        <f t="shared" si="55"/>
        <v>0.26900000000000002</v>
      </c>
      <c r="AN65" s="218">
        <f t="shared" si="55"/>
        <v>7.5999999999999998E-2</v>
      </c>
      <c r="AO65" s="218">
        <f t="shared" si="55"/>
        <v>3.0000000000000001E-3</v>
      </c>
      <c r="AP65" s="218">
        <f t="shared" si="55"/>
        <v>0.01</v>
      </c>
      <c r="AQ65" s="218">
        <f t="shared" si="55"/>
        <v>1.2E-2</v>
      </c>
      <c r="AR65" s="218">
        <f t="shared" si="55"/>
        <v>2.1999999999999999E-2</v>
      </c>
      <c r="AS65" s="218">
        <f t="shared" si="55"/>
        <v>2.1999999999999999E-2</v>
      </c>
      <c r="AT65" s="218">
        <f t="shared" si="55"/>
        <v>2.8000000000000001E-2</v>
      </c>
      <c r="AU65" s="218">
        <f t="shared" si="55"/>
        <v>-8888</v>
      </c>
      <c r="AV65" s="218">
        <f t="shared" si="55"/>
        <v>2.5550000000000002</v>
      </c>
      <c r="AW65" s="218">
        <f t="shared" si="55"/>
        <v>0.214</v>
      </c>
      <c r="AX65" s="218">
        <f t="shared" si="55"/>
        <v>1.022</v>
      </c>
      <c r="AY65" s="218">
        <f t="shared" si="55"/>
        <v>3.577</v>
      </c>
      <c r="AZ65" s="218">
        <f t="shared" si="55"/>
        <v>1.236</v>
      </c>
      <c r="BA65" s="218">
        <f t="shared" si="55"/>
        <v>1.6739999999999999</v>
      </c>
      <c r="BB65" s="218">
        <f t="shared" si="55"/>
        <v>3.79</v>
      </c>
      <c r="BC65" s="218">
        <f t="shared" si="55"/>
        <v>1.1559999999999999</v>
      </c>
      <c r="BD65" s="217">
        <f t="shared" ref="BD65:BJ65" si="56">ROUND(AVERAGE(BD63:BD64),2)</f>
        <v>0.79</v>
      </c>
      <c r="BE65" s="217">
        <f t="shared" si="56"/>
        <v>0.83</v>
      </c>
      <c r="BF65" s="217">
        <f t="shared" si="56"/>
        <v>0.18</v>
      </c>
      <c r="BG65" s="217">
        <f t="shared" si="56"/>
        <v>2.0699999999999998</v>
      </c>
      <c r="BH65" s="217">
        <f t="shared" si="56"/>
        <v>0.06</v>
      </c>
      <c r="BI65" s="217">
        <f t="shared" si="56"/>
        <v>0.94</v>
      </c>
      <c r="BJ65" s="217">
        <f t="shared" si="56"/>
        <v>0.56000000000000005</v>
      </c>
      <c r="BK65" s="219"/>
      <c r="BL65" s="219"/>
    </row>
    <row r="66" spans="1:64">
      <c r="A66" s="222"/>
      <c r="B66" s="252"/>
      <c r="C66" s="252"/>
      <c r="D66" s="252"/>
      <c r="E66" s="252"/>
      <c r="F66" s="252"/>
      <c r="G66" s="252"/>
      <c r="H66" s="252"/>
      <c r="I66" s="252"/>
      <c r="J66" s="252"/>
      <c r="K66" s="252"/>
      <c r="L66" s="252"/>
      <c r="M66" s="252"/>
      <c r="N66" s="252"/>
      <c r="O66" s="252"/>
      <c r="P66" s="253"/>
      <c r="Q66" s="252"/>
      <c r="R66" s="252"/>
      <c r="S66" s="252"/>
      <c r="T66" s="252"/>
      <c r="U66" s="222" t="s">
        <v>667</v>
      </c>
      <c r="V66" s="222">
        <f t="shared" ref="V66:BC66" si="57">ROUND(STDEV(V63:V64),3)</f>
        <v>0.20399999999999999</v>
      </c>
      <c r="W66" s="222">
        <f t="shared" si="57"/>
        <v>2E-3</v>
      </c>
      <c r="X66" s="222">
        <f t="shared" si="57"/>
        <v>2.1000000000000001E-2</v>
      </c>
      <c r="Y66" s="222">
        <f t="shared" si="57"/>
        <v>7.0000000000000001E-3</v>
      </c>
      <c r="Z66" s="222">
        <f t="shared" si="57"/>
        <v>1E-3</v>
      </c>
      <c r="AA66" s="222">
        <f t="shared" si="57"/>
        <v>1E-3</v>
      </c>
      <c r="AB66" s="222">
        <f t="shared" si="57"/>
        <v>1E-3</v>
      </c>
      <c r="AC66" s="222">
        <f t="shared" si="57"/>
        <v>6.0000000000000001E-3</v>
      </c>
      <c r="AD66" s="222">
        <f t="shared" si="57"/>
        <v>1E-3</v>
      </c>
      <c r="AE66" s="222">
        <f t="shared" si="57"/>
        <v>0.108</v>
      </c>
      <c r="AF66" s="222">
        <f t="shared" si="57"/>
        <v>8.9999999999999993E-3</v>
      </c>
      <c r="AG66" s="222">
        <f t="shared" si="57"/>
        <v>1E-3</v>
      </c>
      <c r="AH66" s="222">
        <f t="shared" si="57"/>
        <v>0.20200000000000001</v>
      </c>
      <c r="AI66" s="222">
        <f t="shared" si="57"/>
        <v>0</v>
      </c>
      <c r="AJ66" s="222">
        <f t="shared" si="57"/>
        <v>2E-3</v>
      </c>
      <c r="AK66" s="222">
        <f t="shared" si="57"/>
        <v>2E-3</v>
      </c>
      <c r="AL66" s="222">
        <f t="shared" si="57"/>
        <v>0</v>
      </c>
      <c r="AM66" s="222">
        <f t="shared" si="57"/>
        <v>2.5000000000000001E-2</v>
      </c>
      <c r="AN66" s="222">
        <f t="shared" si="57"/>
        <v>4.0000000000000001E-3</v>
      </c>
      <c r="AO66" s="222">
        <f t="shared" si="57"/>
        <v>1E-3</v>
      </c>
      <c r="AP66" s="222">
        <f t="shared" si="57"/>
        <v>0</v>
      </c>
      <c r="AQ66" s="222">
        <f t="shared" si="57"/>
        <v>0</v>
      </c>
      <c r="AR66" s="222">
        <f t="shared" si="57"/>
        <v>2E-3</v>
      </c>
      <c r="AS66" s="222">
        <f t="shared" si="57"/>
        <v>2E-3</v>
      </c>
      <c r="AT66" s="222">
        <f t="shared" si="57"/>
        <v>1E-3</v>
      </c>
      <c r="AU66" s="222">
        <f t="shared" si="57"/>
        <v>0</v>
      </c>
      <c r="AV66" s="222">
        <f t="shared" si="57"/>
        <v>0.223</v>
      </c>
      <c r="AW66" s="222">
        <f t="shared" si="57"/>
        <v>1.2E-2</v>
      </c>
      <c r="AX66" s="222">
        <f t="shared" si="57"/>
        <v>9.6000000000000002E-2</v>
      </c>
      <c r="AY66" s="222">
        <f t="shared" si="57"/>
        <v>0.31900000000000001</v>
      </c>
      <c r="AZ66" s="222">
        <f t="shared" si="57"/>
        <v>0.108</v>
      </c>
      <c r="BA66" s="222">
        <f t="shared" si="57"/>
        <v>0.127</v>
      </c>
      <c r="BB66" s="222">
        <f t="shared" si="57"/>
        <v>0.33100000000000002</v>
      </c>
      <c r="BC66" s="222">
        <f t="shared" si="57"/>
        <v>9.1999999999999998E-2</v>
      </c>
      <c r="BD66" s="221">
        <f t="shared" ref="BD66:BJ66" si="58">ROUND(STDEV(BD63:BD64),2)</f>
        <v>0.01</v>
      </c>
      <c r="BE66" s="221">
        <f t="shared" si="58"/>
        <v>0.01</v>
      </c>
      <c r="BF66" s="221">
        <f t="shared" si="58"/>
        <v>0.01</v>
      </c>
      <c r="BG66" s="221">
        <f t="shared" si="58"/>
        <v>0</v>
      </c>
      <c r="BH66" s="221">
        <f t="shared" si="58"/>
        <v>0</v>
      </c>
      <c r="BI66" s="221">
        <f t="shared" si="58"/>
        <v>0</v>
      </c>
      <c r="BJ66" s="221">
        <f t="shared" si="58"/>
        <v>0.01</v>
      </c>
      <c r="BK66" s="223"/>
      <c r="BL66" s="223"/>
    </row>
    <row r="67" spans="1:64">
      <c r="A67" s="224"/>
      <c r="B67" s="254"/>
      <c r="C67" s="254"/>
      <c r="D67" s="254"/>
      <c r="E67" s="254"/>
      <c r="F67" s="254"/>
      <c r="G67" s="254"/>
      <c r="H67" s="254"/>
      <c r="I67" s="254"/>
      <c r="J67" s="254"/>
      <c r="K67" s="254"/>
      <c r="L67" s="254"/>
      <c r="M67" s="254"/>
      <c r="N67" s="254"/>
      <c r="O67" s="254"/>
      <c r="P67" s="255"/>
      <c r="Q67" s="254"/>
      <c r="R67" s="254"/>
      <c r="S67" s="254"/>
      <c r="T67" s="254"/>
      <c r="U67" s="225" t="s">
        <v>649</v>
      </c>
      <c r="V67" s="226">
        <f t="shared" ref="V67:BJ67" si="59">ROUND((V66/V65),4)</f>
        <v>9.64E-2</v>
      </c>
      <c r="W67" s="226">
        <f t="shared" si="59"/>
        <v>2.1299999999999999E-2</v>
      </c>
      <c r="X67" s="226">
        <f t="shared" si="59"/>
        <v>6.0900000000000003E-2</v>
      </c>
      <c r="Y67" s="226">
        <f t="shared" si="59"/>
        <v>9.7199999999999995E-2</v>
      </c>
      <c r="Z67" s="226">
        <f t="shared" si="59"/>
        <v>4.3499999999999997E-2</v>
      </c>
      <c r="AA67" s="226">
        <f t="shared" si="59"/>
        <v>1.7899999999999999E-2</v>
      </c>
      <c r="AB67" s="226">
        <f t="shared" si="59"/>
        <v>2.7799999999999998E-2</v>
      </c>
      <c r="AC67" s="226">
        <f t="shared" si="59"/>
        <v>6.5199999999999994E-2</v>
      </c>
      <c r="AD67" s="226">
        <f t="shared" si="59"/>
        <v>0.1</v>
      </c>
      <c r="AE67" s="226">
        <f t="shared" si="59"/>
        <v>0.13</v>
      </c>
      <c r="AF67" s="226">
        <f t="shared" si="59"/>
        <v>7.9600000000000004E-2</v>
      </c>
      <c r="AG67" s="226">
        <f t="shared" si="59"/>
        <v>0.2</v>
      </c>
      <c r="AH67" s="226">
        <f t="shared" si="59"/>
        <v>9.6199999999999994E-2</v>
      </c>
      <c r="AI67" s="226">
        <f t="shared" si="59"/>
        <v>0</v>
      </c>
      <c r="AJ67" s="226">
        <f t="shared" si="59"/>
        <v>0.1176</v>
      </c>
      <c r="AK67" s="226">
        <f t="shared" si="59"/>
        <v>2.1299999999999999E-2</v>
      </c>
      <c r="AL67" s="226">
        <f t="shared" si="59"/>
        <v>0</v>
      </c>
      <c r="AM67" s="226">
        <f t="shared" si="59"/>
        <v>9.2899999999999996E-2</v>
      </c>
      <c r="AN67" s="226">
        <f t="shared" si="59"/>
        <v>5.2600000000000001E-2</v>
      </c>
      <c r="AO67" s="226">
        <f t="shared" si="59"/>
        <v>0.33329999999999999</v>
      </c>
      <c r="AP67" s="226">
        <f t="shared" si="59"/>
        <v>0</v>
      </c>
      <c r="AQ67" s="226">
        <f t="shared" si="59"/>
        <v>0</v>
      </c>
      <c r="AR67" s="226">
        <f t="shared" si="59"/>
        <v>9.0899999999999995E-2</v>
      </c>
      <c r="AS67" s="226">
        <f t="shared" si="59"/>
        <v>9.0899999999999995E-2</v>
      </c>
      <c r="AT67" s="226">
        <f t="shared" si="59"/>
        <v>3.5700000000000003E-2</v>
      </c>
      <c r="AU67" s="226">
        <f t="shared" si="59"/>
        <v>0</v>
      </c>
      <c r="AV67" s="226">
        <f t="shared" si="59"/>
        <v>8.7300000000000003E-2</v>
      </c>
      <c r="AW67" s="226">
        <f t="shared" si="59"/>
        <v>5.6099999999999997E-2</v>
      </c>
      <c r="AX67" s="226">
        <f t="shared" si="59"/>
        <v>9.3899999999999997E-2</v>
      </c>
      <c r="AY67" s="226">
        <f t="shared" si="59"/>
        <v>8.9200000000000002E-2</v>
      </c>
      <c r="AZ67" s="226">
        <f t="shared" si="59"/>
        <v>8.7400000000000005E-2</v>
      </c>
      <c r="BA67" s="226">
        <f t="shared" si="59"/>
        <v>7.5899999999999995E-2</v>
      </c>
      <c r="BB67" s="226">
        <f t="shared" si="59"/>
        <v>8.7300000000000003E-2</v>
      </c>
      <c r="BC67" s="226">
        <f t="shared" si="59"/>
        <v>7.9600000000000004E-2</v>
      </c>
      <c r="BD67" s="226">
        <f t="shared" si="59"/>
        <v>1.2699999999999999E-2</v>
      </c>
      <c r="BE67" s="226">
        <f t="shared" si="59"/>
        <v>1.2E-2</v>
      </c>
      <c r="BF67" s="226">
        <f t="shared" si="59"/>
        <v>5.5599999999999997E-2</v>
      </c>
      <c r="BG67" s="226">
        <f t="shared" si="59"/>
        <v>0</v>
      </c>
      <c r="BH67" s="226">
        <f t="shared" si="59"/>
        <v>0</v>
      </c>
      <c r="BI67" s="226">
        <f t="shared" si="59"/>
        <v>0</v>
      </c>
      <c r="BJ67" s="226">
        <f t="shared" si="59"/>
        <v>1.7899999999999999E-2</v>
      </c>
      <c r="BK67" s="227">
        <f>V67</f>
        <v>9.64E-2</v>
      </c>
      <c r="BL67" s="227">
        <f t="array" ref="BL67">AVERAGE(IF(V67:AG67&gt;-0.001,V67:AG67,""))</f>
        <v>7.8316666666666659E-2</v>
      </c>
    </row>
  </sheetData>
  <conditionalFormatting sqref="AJ67 AR67:AS67">
    <cfRule type="expression" dxfId="71" priority="1" stopIfTrue="1">
      <formula>ABS((AJ64-AJ63))&lt;0.0011</formula>
    </cfRule>
    <cfRule type="cellIs" dxfId="70" priority="2" operator="greaterThan">
      <formula>0.15</formula>
    </cfRule>
    <cfRule type="cellIs" dxfId="69" priority="3" operator="lessThan">
      <formula>0</formula>
    </cfRule>
  </conditionalFormatting>
  <conditionalFormatting sqref="V12:AI12 AK12:AQ12 AT12:BJ12">
    <cfRule type="expression" dxfId="68" priority="70" stopIfTrue="1">
      <formula>ABS((V9-V8))&lt;0.0011</formula>
    </cfRule>
    <cfRule type="cellIs" dxfId="67" priority="71" operator="greaterThan">
      <formula>0.1</formula>
    </cfRule>
    <cfRule type="cellIs" dxfId="66" priority="72" operator="lessThan">
      <formula>0</formula>
    </cfRule>
  </conditionalFormatting>
  <conditionalFormatting sqref="AJ12 AR12:AS12">
    <cfRule type="expression" dxfId="65" priority="67" stopIfTrue="1">
      <formula>ABS((AJ9-AJ8))&lt;0.0011</formula>
    </cfRule>
    <cfRule type="cellIs" dxfId="64" priority="68" operator="greaterThan">
      <formula>0.15</formula>
    </cfRule>
    <cfRule type="cellIs" dxfId="63" priority="69" operator="lessThan">
      <formula>0</formula>
    </cfRule>
  </conditionalFormatting>
  <conditionalFormatting sqref="V17:AI17 AK17:AQ17 AT17:BJ17">
    <cfRule type="expression" dxfId="62" priority="64" stopIfTrue="1">
      <formula>ABS((V14-V13))&lt;0.0011</formula>
    </cfRule>
    <cfRule type="cellIs" dxfId="61" priority="65" operator="greaterThan">
      <formula>0.1</formula>
    </cfRule>
    <cfRule type="cellIs" dxfId="60" priority="66" operator="lessThan">
      <formula>0</formula>
    </cfRule>
  </conditionalFormatting>
  <conditionalFormatting sqref="AJ17 AR17:AS17">
    <cfRule type="expression" dxfId="59" priority="61" stopIfTrue="1">
      <formula>ABS((AJ14-AJ13))&lt;0.0011</formula>
    </cfRule>
    <cfRule type="cellIs" dxfId="58" priority="62" operator="greaterThan">
      <formula>0.15</formula>
    </cfRule>
    <cfRule type="cellIs" dxfId="57" priority="63" operator="lessThan">
      <formula>0</formula>
    </cfRule>
  </conditionalFormatting>
  <conditionalFormatting sqref="V22:AI22 AK22:AQ22 AT22:BJ22">
    <cfRule type="expression" dxfId="56" priority="58" stopIfTrue="1">
      <formula>ABS((V19-V18))&lt;0.0011</formula>
    </cfRule>
    <cfRule type="cellIs" dxfId="55" priority="59" operator="greaterThan">
      <formula>0.1</formula>
    </cfRule>
    <cfRule type="cellIs" dxfId="54" priority="60" operator="lessThan">
      <formula>0</formula>
    </cfRule>
  </conditionalFormatting>
  <conditionalFormatting sqref="AJ22 AR22:AS22">
    <cfRule type="expression" dxfId="53" priority="55" stopIfTrue="1">
      <formula>ABS((AJ19-AJ18))&lt;0.0011</formula>
    </cfRule>
    <cfRule type="cellIs" dxfId="52" priority="56" operator="greaterThan">
      <formula>0.15</formula>
    </cfRule>
    <cfRule type="cellIs" dxfId="51" priority="57" operator="lessThan">
      <formula>0</formula>
    </cfRule>
  </conditionalFormatting>
  <conditionalFormatting sqref="V27:AI27 AK27:AQ27 AT27:BJ27">
    <cfRule type="expression" dxfId="50" priority="52" stopIfTrue="1">
      <formula>ABS((V24-V23))&lt;0.0011</formula>
    </cfRule>
    <cfRule type="cellIs" dxfId="49" priority="53" operator="greaterThan">
      <formula>0.1</formula>
    </cfRule>
    <cfRule type="cellIs" dxfId="48" priority="54" operator="lessThan">
      <formula>0</formula>
    </cfRule>
  </conditionalFormatting>
  <conditionalFormatting sqref="AJ27 AR27:AS27">
    <cfRule type="expression" dxfId="47" priority="49" stopIfTrue="1">
      <formula>ABS((AJ24-AJ23))&lt;0.0011</formula>
    </cfRule>
    <cfRule type="cellIs" dxfId="46" priority="50" operator="greaterThan">
      <formula>0.15</formula>
    </cfRule>
    <cfRule type="cellIs" dxfId="45" priority="51" operator="lessThan">
      <formula>0</formula>
    </cfRule>
  </conditionalFormatting>
  <conditionalFormatting sqref="V32:AI32 AK32:AQ32 AT32:BJ32">
    <cfRule type="expression" dxfId="44" priority="46" stopIfTrue="1">
      <formula>ABS((V29-V28))&lt;0.0011</formula>
    </cfRule>
    <cfRule type="cellIs" dxfId="43" priority="47" operator="greaterThan">
      <formula>0.1</formula>
    </cfRule>
    <cfRule type="cellIs" dxfId="42" priority="48" operator="lessThan">
      <formula>0</formula>
    </cfRule>
  </conditionalFormatting>
  <conditionalFormatting sqref="AJ32 AR32:AS32">
    <cfRule type="expression" dxfId="41" priority="43" stopIfTrue="1">
      <formula>ABS((AJ29-AJ28))&lt;0.0011</formula>
    </cfRule>
    <cfRule type="cellIs" dxfId="40" priority="44" operator="greaterThan">
      <formula>0.15</formula>
    </cfRule>
    <cfRule type="cellIs" dxfId="39" priority="45" operator="lessThan">
      <formula>0</formula>
    </cfRule>
  </conditionalFormatting>
  <conditionalFormatting sqref="V37:AI37 AK37:AQ37 AT37:BJ37">
    <cfRule type="expression" dxfId="38" priority="40" stopIfTrue="1">
      <formula>ABS((V34-V33))&lt;0.0011</formula>
    </cfRule>
    <cfRule type="cellIs" dxfId="37" priority="41" operator="greaterThan">
      <formula>0.1</formula>
    </cfRule>
    <cfRule type="cellIs" dxfId="36" priority="42" operator="lessThan">
      <formula>0</formula>
    </cfRule>
  </conditionalFormatting>
  <conditionalFormatting sqref="AJ37 AR37:AS37">
    <cfRule type="expression" dxfId="35" priority="37" stopIfTrue="1">
      <formula>ABS((AJ34-AJ33))&lt;0.0011</formula>
    </cfRule>
    <cfRule type="cellIs" dxfId="34" priority="38" operator="greaterThan">
      <formula>0.15</formula>
    </cfRule>
    <cfRule type="cellIs" dxfId="33" priority="39" operator="lessThan">
      <formula>0</formula>
    </cfRule>
  </conditionalFormatting>
  <conditionalFormatting sqref="V42:AI42 AK42:AQ42 AT42:BJ42">
    <cfRule type="expression" dxfId="32" priority="34" stopIfTrue="1">
      <formula>ABS((V39-V38))&lt;0.0011</formula>
    </cfRule>
    <cfRule type="cellIs" dxfId="31" priority="35" operator="greaterThan">
      <formula>0.1</formula>
    </cfRule>
    <cfRule type="cellIs" dxfId="30" priority="36" operator="lessThan">
      <formula>0</formula>
    </cfRule>
  </conditionalFormatting>
  <conditionalFormatting sqref="AJ42 AR42:AS42">
    <cfRule type="expression" dxfId="29" priority="31" stopIfTrue="1">
      <formula>ABS((AJ39-AJ38))&lt;0.0011</formula>
    </cfRule>
    <cfRule type="cellIs" dxfId="28" priority="32" operator="greaterThan">
      <formula>0.15</formula>
    </cfRule>
    <cfRule type="cellIs" dxfId="27" priority="33" operator="lessThan">
      <formula>0</formula>
    </cfRule>
  </conditionalFormatting>
  <conditionalFormatting sqref="V47:AI47 AK47:AQ47 AT47:BJ47">
    <cfRule type="expression" dxfId="26" priority="28" stopIfTrue="1">
      <formula>ABS((V44-V43))&lt;0.0011</formula>
    </cfRule>
    <cfRule type="cellIs" dxfId="25" priority="29" operator="greaterThan">
      <formula>0.1</formula>
    </cfRule>
    <cfRule type="cellIs" dxfId="24" priority="30" operator="lessThan">
      <formula>0</formula>
    </cfRule>
  </conditionalFormatting>
  <conditionalFormatting sqref="AJ47 AR47:AS47">
    <cfRule type="expression" dxfId="23" priority="25" stopIfTrue="1">
      <formula>ABS((AJ44-AJ43))&lt;0.0011</formula>
    </cfRule>
    <cfRule type="cellIs" dxfId="22" priority="26" operator="greaterThan">
      <formula>0.15</formula>
    </cfRule>
    <cfRule type="cellIs" dxfId="21" priority="27" operator="lessThan">
      <formula>0</formula>
    </cfRule>
  </conditionalFormatting>
  <conditionalFormatting sqref="V52:AI52 AK52:AQ52 AT52:BJ52">
    <cfRule type="expression" dxfId="20" priority="22" stopIfTrue="1">
      <formula>ABS((V49-V48))&lt;0.0011</formula>
    </cfRule>
    <cfRule type="cellIs" dxfId="19" priority="23" operator="greaterThan">
      <formula>0.1</formula>
    </cfRule>
    <cfRule type="cellIs" dxfId="18" priority="24" operator="lessThan">
      <formula>0</formula>
    </cfRule>
  </conditionalFormatting>
  <conditionalFormatting sqref="AJ52 AR52:AS52">
    <cfRule type="expression" dxfId="17" priority="19" stopIfTrue="1">
      <formula>ABS((AJ49-AJ48))&lt;0.0011</formula>
    </cfRule>
    <cfRule type="cellIs" dxfId="16" priority="20" operator="greaterThan">
      <formula>0.15</formula>
    </cfRule>
    <cfRule type="cellIs" dxfId="15" priority="21" operator="lessThan">
      <formula>0</formula>
    </cfRule>
  </conditionalFormatting>
  <conditionalFormatting sqref="V57:AI57 AK57:AQ57 AT57:BJ57">
    <cfRule type="expression" dxfId="14" priority="16" stopIfTrue="1">
      <formula>ABS((V54-V53))&lt;0.0011</formula>
    </cfRule>
    <cfRule type="cellIs" dxfId="13" priority="17" operator="greaterThan">
      <formula>0.1</formula>
    </cfRule>
    <cfRule type="cellIs" dxfId="12" priority="18" operator="lessThan">
      <formula>0</formula>
    </cfRule>
  </conditionalFormatting>
  <conditionalFormatting sqref="AJ57 AR57:AS57">
    <cfRule type="expression" dxfId="11" priority="13" stopIfTrue="1">
      <formula>ABS((AJ54-AJ53))&lt;0.0011</formula>
    </cfRule>
    <cfRule type="cellIs" dxfId="10" priority="14" operator="greaterThan">
      <formula>0.15</formula>
    </cfRule>
    <cfRule type="cellIs" dxfId="9" priority="15" operator="lessThan">
      <formula>0</formula>
    </cfRule>
  </conditionalFormatting>
  <conditionalFormatting sqref="V62:AI62 AK62:AQ62 AT62:BJ62">
    <cfRule type="expression" dxfId="8" priority="10" stopIfTrue="1">
      <formula>ABS((V59-V58))&lt;0.0011</formula>
    </cfRule>
    <cfRule type="cellIs" dxfId="7" priority="11" operator="greaterThan">
      <formula>0.1</formula>
    </cfRule>
    <cfRule type="cellIs" dxfId="6" priority="12" operator="lessThan">
      <formula>0</formula>
    </cfRule>
  </conditionalFormatting>
  <conditionalFormatting sqref="AJ62 AR62:AS62">
    <cfRule type="expression" dxfId="5" priority="7" stopIfTrue="1">
      <formula>ABS((AJ59-AJ58))&lt;0.0011</formula>
    </cfRule>
    <cfRule type="cellIs" dxfId="4" priority="8" operator="greaterThan">
      <formula>0.15</formula>
    </cfRule>
    <cfRule type="cellIs" dxfId="3" priority="9" operator="lessThan">
      <formula>0</formula>
    </cfRule>
  </conditionalFormatting>
  <conditionalFormatting sqref="V67:AI67 AK67:AQ67 AT67:BJ67">
    <cfRule type="expression" dxfId="2" priority="4" stopIfTrue="1">
      <formula>ABS((V64-V63))&lt;0.0011</formula>
    </cfRule>
    <cfRule type="cellIs" dxfId="1" priority="5" operator="greaterThan">
      <formula>0.1</formula>
    </cfRule>
    <cfRule type="cellIs" dxfId="0" priority="6"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54"/>
  <sheetViews>
    <sheetView workbookViewId="0"/>
  </sheetViews>
  <sheetFormatPr defaultColWidth="9.109375" defaultRowHeight="13.2"/>
  <cols>
    <col min="1" max="1" width="17" style="10" customWidth="1"/>
    <col min="2" max="2" width="12" style="10" customWidth="1"/>
    <col min="3" max="3" width="11" style="20" customWidth="1"/>
    <col min="4" max="4" width="9.109375" style="20"/>
    <col min="5" max="21" width="9.109375" style="10"/>
    <col min="22" max="22" width="11" style="10" customWidth="1"/>
    <col min="23" max="28" width="9.109375" style="10"/>
    <col min="29" max="29" width="9.109375" style="20"/>
    <col min="30" max="30" width="13" style="20" customWidth="1"/>
    <col min="31" max="41" width="9.109375" style="20"/>
    <col min="42" max="16384" width="9.109375" style="10"/>
  </cols>
  <sheetData>
    <row r="1" spans="1:41" s="13" customFormat="1" ht="14.1" customHeight="1">
      <c r="A1" s="11" t="s">
        <v>22</v>
      </c>
      <c r="B1" s="9"/>
      <c r="C1" s="8"/>
      <c r="D1" s="8"/>
      <c r="E1" s="261"/>
      <c r="F1" s="262"/>
      <c r="G1" s="262"/>
      <c r="H1" s="262"/>
      <c r="I1" s="262"/>
      <c r="J1" s="262"/>
      <c r="K1" s="262"/>
      <c r="L1" s="262"/>
      <c r="M1" s="262"/>
      <c r="N1" s="262"/>
      <c r="O1" s="262"/>
      <c r="P1" s="262"/>
      <c r="Q1" s="262"/>
      <c r="R1" s="262"/>
      <c r="S1" s="262"/>
      <c r="T1" s="262"/>
      <c r="U1" s="262"/>
      <c r="V1" s="262"/>
      <c r="W1" s="262"/>
      <c r="X1" s="262"/>
      <c r="Y1" s="262"/>
      <c r="Z1" s="262"/>
      <c r="AA1" s="262"/>
      <c r="AB1" s="263"/>
      <c r="AC1" s="264"/>
      <c r="AD1" s="264"/>
      <c r="AE1" s="12"/>
      <c r="AF1" s="12"/>
      <c r="AG1" s="12"/>
      <c r="AH1" s="12"/>
      <c r="AI1" s="12"/>
      <c r="AJ1" s="12"/>
      <c r="AK1" s="12"/>
      <c r="AL1" s="12"/>
      <c r="AM1" s="12"/>
      <c r="AN1" s="12"/>
      <c r="AO1" s="12"/>
    </row>
    <row r="2" spans="1:41" s="13" customFormat="1" ht="14.1" customHeight="1">
      <c r="B2" s="9"/>
      <c r="C2" s="8"/>
      <c r="D2" s="8"/>
      <c r="E2" s="261"/>
      <c r="F2" s="265"/>
      <c r="G2" s="265"/>
      <c r="H2" s="265"/>
      <c r="I2" s="265"/>
      <c r="J2" s="265"/>
      <c r="K2" s="265"/>
      <c r="L2" s="265"/>
      <c r="M2" s="265"/>
      <c r="N2" s="265"/>
      <c r="O2" s="265"/>
      <c r="P2" s="265"/>
      <c r="Q2" s="265"/>
      <c r="R2" s="265"/>
      <c r="S2" s="265"/>
      <c r="T2" s="265"/>
      <c r="U2" s="265"/>
      <c r="V2" s="265"/>
      <c r="W2" s="265"/>
      <c r="X2" s="265"/>
      <c r="Y2" s="265"/>
      <c r="Z2" s="265"/>
      <c r="AA2" s="265"/>
      <c r="AB2" s="263"/>
      <c r="AC2" s="264"/>
      <c r="AD2" s="264"/>
      <c r="AE2" s="12"/>
      <c r="AF2" s="12"/>
      <c r="AG2" s="12"/>
      <c r="AH2" s="12"/>
      <c r="AI2" s="12"/>
      <c r="AJ2" s="12"/>
      <c r="AK2" s="12"/>
      <c r="AL2" s="12"/>
      <c r="AM2" s="12"/>
      <c r="AN2" s="12"/>
      <c r="AO2" s="12"/>
    </row>
    <row r="3" spans="1:41" s="14" customFormat="1" ht="14.1" customHeight="1">
      <c r="C3" s="15"/>
      <c r="D3" s="15"/>
      <c r="E3" s="16"/>
      <c r="F3" s="7" t="s">
        <v>2</v>
      </c>
      <c r="G3" s="7" t="s">
        <v>2</v>
      </c>
      <c r="H3" s="6" t="s">
        <v>2</v>
      </c>
      <c r="I3" s="6" t="s">
        <v>2</v>
      </c>
      <c r="J3" s="6" t="s">
        <v>2</v>
      </c>
      <c r="K3" s="6" t="s">
        <v>2</v>
      </c>
      <c r="L3" s="6" t="s">
        <v>2</v>
      </c>
      <c r="M3" s="6" t="s">
        <v>2</v>
      </c>
      <c r="N3" s="6" t="s">
        <v>2</v>
      </c>
      <c r="O3" s="6" t="s">
        <v>2</v>
      </c>
      <c r="P3" s="6" t="s">
        <v>2</v>
      </c>
      <c r="Q3" s="6" t="s">
        <v>2</v>
      </c>
      <c r="R3" s="6" t="s">
        <v>2</v>
      </c>
      <c r="S3" s="6" t="s">
        <v>2</v>
      </c>
      <c r="T3" s="6" t="s">
        <v>2</v>
      </c>
      <c r="U3" s="6" t="s">
        <v>2</v>
      </c>
      <c r="V3" s="6" t="s">
        <v>2</v>
      </c>
      <c r="W3" s="6" t="s">
        <v>25</v>
      </c>
      <c r="X3" s="6" t="s">
        <v>2</v>
      </c>
      <c r="Y3" s="18" t="s">
        <v>2</v>
      </c>
      <c r="Z3" s="18" t="s">
        <v>2</v>
      </c>
      <c r="AA3" s="18" t="s">
        <v>2</v>
      </c>
      <c r="AB3" s="17"/>
      <c r="AC3" s="15"/>
      <c r="AD3" s="15"/>
      <c r="AE3" s="15"/>
      <c r="AF3" s="15"/>
      <c r="AG3" s="15"/>
      <c r="AH3" s="15"/>
      <c r="AI3" s="15"/>
      <c r="AJ3" s="15"/>
      <c r="AK3" s="15"/>
      <c r="AL3" s="15"/>
      <c r="AM3" s="15"/>
      <c r="AN3" s="15"/>
      <c r="AO3" s="15"/>
    </row>
    <row r="4" spans="1:41" s="14" customFormat="1" ht="52.8">
      <c r="A4" s="15"/>
      <c r="B4" s="18"/>
      <c r="C4" s="18" t="s">
        <v>215</v>
      </c>
      <c r="D4" s="18" t="s">
        <v>3</v>
      </c>
      <c r="E4" s="18" t="s">
        <v>23</v>
      </c>
      <c r="F4" s="7" t="s">
        <v>6</v>
      </c>
      <c r="G4" s="7" t="s">
        <v>648</v>
      </c>
      <c r="H4" s="6" t="s">
        <v>19</v>
      </c>
      <c r="I4" s="6" t="s">
        <v>21</v>
      </c>
      <c r="J4" s="6" t="s">
        <v>4</v>
      </c>
      <c r="K4" s="6" t="s">
        <v>7</v>
      </c>
      <c r="L4" s="6" t="s">
        <v>5</v>
      </c>
      <c r="M4" s="6" t="s">
        <v>8</v>
      </c>
      <c r="N4" s="6" t="s">
        <v>9</v>
      </c>
      <c r="O4" s="6" t="s">
        <v>10</v>
      </c>
      <c r="P4" s="6" t="s">
        <v>11</v>
      </c>
      <c r="Q4" s="6" t="s">
        <v>12</v>
      </c>
      <c r="R4" s="6" t="s">
        <v>13</v>
      </c>
      <c r="S4" s="6" t="s">
        <v>14</v>
      </c>
      <c r="T4" s="6" t="s">
        <v>15</v>
      </c>
      <c r="U4" s="6" t="s">
        <v>16</v>
      </c>
      <c r="V4" s="6" t="s">
        <v>17</v>
      </c>
      <c r="W4" s="6" t="s">
        <v>24</v>
      </c>
      <c r="X4" s="6" t="s">
        <v>0</v>
      </c>
      <c r="Y4" s="18" t="s">
        <v>1</v>
      </c>
      <c r="Z4" s="18" t="s">
        <v>20</v>
      </c>
      <c r="AA4" s="18" t="s">
        <v>284</v>
      </c>
      <c r="AB4" s="18"/>
      <c r="AC4" s="19" t="s">
        <v>23</v>
      </c>
      <c r="AD4" s="15" t="s">
        <v>648</v>
      </c>
      <c r="AE4" s="15" t="s">
        <v>4</v>
      </c>
      <c r="AF4" s="15" t="s">
        <v>7</v>
      </c>
      <c r="AG4" s="15" t="s">
        <v>5</v>
      </c>
      <c r="AH4" s="15" t="s">
        <v>11</v>
      </c>
      <c r="AI4" s="15" t="s">
        <v>12</v>
      </c>
      <c r="AJ4" s="15" t="s">
        <v>13</v>
      </c>
      <c r="AK4" s="15" t="s">
        <v>14</v>
      </c>
      <c r="AL4" s="15" t="s">
        <v>15</v>
      </c>
      <c r="AM4" s="15" t="s">
        <v>24</v>
      </c>
      <c r="AN4" s="15" t="s">
        <v>1</v>
      </c>
      <c r="AO4" s="15" t="s">
        <v>284</v>
      </c>
    </row>
    <row r="5" spans="1:41">
      <c r="C5" s="43">
        <v>2.8513945087812256</v>
      </c>
      <c r="D5" s="20">
        <v>0.15</v>
      </c>
      <c r="E5" s="1">
        <v>277</v>
      </c>
      <c r="F5" s="39">
        <v>3.8999999999999998E-3</v>
      </c>
      <c r="G5" s="39">
        <v>3.3E-3</v>
      </c>
      <c r="H5" s="39">
        <v>9.4999999999999998E-3</v>
      </c>
      <c r="I5" s="39">
        <v>1.67E-2</v>
      </c>
      <c r="J5" s="39">
        <v>9.4000000000000004E-3</v>
      </c>
      <c r="K5" s="39">
        <v>6.7000000000000002E-3</v>
      </c>
      <c r="L5" s="39">
        <v>6.1999999999999998E-3</v>
      </c>
      <c r="M5" s="39">
        <v>6.1999999999999998E-3</v>
      </c>
      <c r="N5" s="39">
        <v>6.6E-3</v>
      </c>
      <c r="O5" s="39">
        <v>5.0000000000000001E-3</v>
      </c>
      <c r="P5" s="39">
        <v>6.0000000000000001E-3</v>
      </c>
      <c r="Q5" s="39">
        <v>4.1000000000000003E-3</v>
      </c>
      <c r="R5" s="39">
        <v>3.7000000000000002E-3</v>
      </c>
      <c r="S5" s="39">
        <v>4.4000000000000003E-3</v>
      </c>
      <c r="T5" s="39">
        <v>4.4000000000000003E-3</v>
      </c>
      <c r="U5" s="39">
        <v>4.4000000000000003E-3</v>
      </c>
      <c r="V5" s="39">
        <v>4.7999999999999996E-3</v>
      </c>
      <c r="W5" s="39">
        <v>1.21E-2</v>
      </c>
      <c r="X5" s="39">
        <v>1.2999999999999999E-2</v>
      </c>
      <c r="Y5" s="39">
        <v>1.0800000000000001E-2</v>
      </c>
      <c r="Z5" s="39">
        <v>1.8599999999999998E-2</v>
      </c>
      <c r="AA5" s="39">
        <v>4.0000000000000001E-3</v>
      </c>
      <c r="AB5" s="39"/>
      <c r="AC5" s="22">
        <v>277</v>
      </c>
      <c r="AD5" s="40">
        <v>3.3E-3</v>
      </c>
      <c r="AE5" s="40">
        <v>9.4000000000000004E-3</v>
      </c>
      <c r="AF5" s="40">
        <v>6.7000000000000002E-3</v>
      </c>
      <c r="AG5" s="40">
        <v>6.1999999999999998E-3</v>
      </c>
      <c r="AH5" s="40">
        <v>6.0000000000000001E-3</v>
      </c>
      <c r="AI5" s="40">
        <v>4.1000000000000003E-3</v>
      </c>
      <c r="AJ5" s="40">
        <v>3.7000000000000002E-3</v>
      </c>
      <c r="AK5" s="40">
        <v>4.4000000000000003E-3</v>
      </c>
      <c r="AL5" s="40">
        <v>4.4000000000000003E-3</v>
      </c>
      <c r="AM5" s="40">
        <v>1.21E-2</v>
      </c>
      <c r="AN5" s="40">
        <v>1.0800000000000001E-2</v>
      </c>
      <c r="AO5" s="40">
        <v>4.0000000000000001E-3</v>
      </c>
    </row>
    <row r="6" spans="1:41">
      <c r="C6" s="43">
        <v>2.8513945087812256</v>
      </c>
      <c r="D6" s="20">
        <v>0.15</v>
      </c>
      <c r="E6" s="1">
        <v>315</v>
      </c>
      <c r="F6" s="39">
        <v>3.5000000000000001E-3</v>
      </c>
      <c r="G6" s="39">
        <v>2.8999999999999998E-3</v>
      </c>
      <c r="H6" s="39">
        <v>8.3999999999999995E-3</v>
      </c>
      <c r="I6" s="39">
        <v>1.47E-2</v>
      </c>
      <c r="J6" s="39">
        <v>8.3000000000000001E-3</v>
      </c>
      <c r="K6" s="39">
        <v>5.8999999999999999E-3</v>
      </c>
      <c r="L6" s="39">
        <v>5.4999999999999997E-3</v>
      </c>
      <c r="M6" s="39">
        <v>5.4000000000000003E-3</v>
      </c>
      <c r="N6" s="39">
        <v>5.7999999999999996E-3</v>
      </c>
      <c r="O6" s="39">
        <v>4.4000000000000003E-3</v>
      </c>
      <c r="P6" s="39">
        <v>5.1999999999999998E-3</v>
      </c>
      <c r="Q6" s="39">
        <v>3.5999999999999999E-3</v>
      </c>
      <c r="R6" s="39">
        <v>3.2000000000000002E-3</v>
      </c>
      <c r="S6" s="39">
        <v>3.8999999999999998E-3</v>
      </c>
      <c r="T6" s="39">
        <v>3.8999999999999998E-3</v>
      </c>
      <c r="U6" s="39">
        <v>3.8999999999999998E-3</v>
      </c>
      <c r="V6" s="39">
        <v>4.1999999999999997E-3</v>
      </c>
      <c r="W6" s="39">
        <v>1.0699999999999999E-2</v>
      </c>
      <c r="X6" s="39">
        <v>1.15E-2</v>
      </c>
      <c r="Y6" s="39">
        <v>9.4999999999999998E-3</v>
      </c>
      <c r="Z6" s="39">
        <v>1.6299999999999999E-2</v>
      </c>
      <c r="AA6" s="39">
        <v>3.5000000000000001E-3</v>
      </c>
      <c r="AB6" s="39"/>
      <c r="AC6" s="22">
        <v>315</v>
      </c>
      <c r="AD6" s="40">
        <v>2.8999999999999998E-3</v>
      </c>
      <c r="AE6" s="40">
        <v>8.3000000000000001E-3</v>
      </c>
      <c r="AF6" s="40">
        <v>5.8999999999999999E-3</v>
      </c>
      <c r="AG6" s="40">
        <v>5.4999999999999997E-3</v>
      </c>
      <c r="AH6" s="40">
        <v>5.1999999999999998E-3</v>
      </c>
      <c r="AI6" s="40">
        <v>3.5999999999999999E-3</v>
      </c>
      <c r="AJ6" s="40">
        <v>3.2000000000000002E-3</v>
      </c>
      <c r="AK6" s="40">
        <v>3.8999999999999998E-3</v>
      </c>
      <c r="AL6" s="40">
        <v>3.8999999999999998E-3</v>
      </c>
      <c r="AM6" s="40">
        <v>1.0699999999999999E-2</v>
      </c>
      <c r="AN6" s="40">
        <v>9.4999999999999998E-3</v>
      </c>
      <c r="AO6" s="40">
        <v>3.5000000000000001E-3</v>
      </c>
    </row>
    <row r="7" spans="1:41">
      <c r="C7" s="43">
        <v>2.8513945087812256</v>
      </c>
      <c r="D7" s="20">
        <v>0.15</v>
      </c>
      <c r="E7" s="1">
        <v>493</v>
      </c>
      <c r="F7" s="39">
        <v>2.2000000000000001E-3</v>
      </c>
      <c r="G7" s="39">
        <v>1.9E-3</v>
      </c>
      <c r="H7" s="39">
        <v>5.4000000000000003E-3</v>
      </c>
      <c r="I7" s="39">
        <v>9.4000000000000004E-3</v>
      </c>
      <c r="J7" s="39">
        <v>5.3E-3</v>
      </c>
      <c r="K7" s="39">
        <v>3.8E-3</v>
      </c>
      <c r="L7" s="39">
        <v>3.5000000000000001E-3</v>
      </c>
      <c r="M7" s="39">
        <v>3.5000000000000001E-3</v>
      </c>
      <c r="N7" s="39">
        <v>3.7000000000000002E-3</v>
      </c>
      <c r="O7" s="39">
        <v>2.8E-3</v>
      </c>
      <c r="P7" s="39">
        <v>3.3E-3</v>
      </c>
      <c r="Q7" s="39">
        <v>2.3E-3</v>
      </c>
      <c r="R7" s="39">
        <v>2.0999999999999999E-3</v>
      </c>
      <c r="S7" s="39">
        <v>2.5000000000000001E-3</v>
      </c>
      <c r="T7" s="39">
        <v>2.5000000000000001E-3</v>
      </c>
      <c r="U7" s="39">
        <v>2.5000000000000001E-3</v>
      </c>
      <c r="V7" s="39">
        <v>2.7000000000000001E-3</v>
      </c>
      <c r="W7" s="39">
        <v>6.7999999999999996E-3</v>
      </c>
      <c r="X7" s="39">
        <v>7.3000000000000001E-3</v>
      </c>
      <c r="Y7" s="39">
        <v>6.1000000000000004E-3</v>
      </c>
      <c r="Z7" s="39">
        <v>1.04E-2</v>
      </c>
      <c r="AA7" s="39">
        <v>2.2000000000000001E-3</v>
      </c>
      <c r="AB7" s="39"/>
      <c r="AC7" s="22">
        <v>493</v>
      </c>
      <c r="AD7" s="40">
        <v>1.9E-3</v>
      </c>
      <c r="AE7" s="40">
        <v>5.3E-3</v>
      </c>
      <c r="AF7" s="40">
        <v>3.8E-3</v>
      </c>
      <c r="AG7" s="40">
        <v>3.5000000000000001E-3</v>
      </c>
      <c r="AH7" s="40">
        <v>3.3E-3</v>
      </c>
      <c r="AI7" s="40">
        <v>2.3E-3</v>
      </c>
      <c r="AJ7" s="40">
        <v>2.0999999999999999E-3</v>
      </c>
      <c r="AK7" s="40">
        <v>2.5000000000000001E-3</v>
      </c>
      <c r="AL7" s="40">
        <v>2.5000000000000001E-3</v>
      </c>
      <c r="AM7" s="40">
        <v>6.7999999999999996E-3</v>
      </c>
      <c r="AN7" s="40">
        <v>6.1000000000000004E-3</v>
      </c>
      <c r="AO7" s="40">
        <v>2.2000000000000001E-3</v>
      </c>
    </row>
    <row r="8" spans="1:41">
      <c r="C8" s="43">
        <v>2.8513945087812256</v>
      </c>
      <c r="D8" s="20">
        <v>0.15</v>
      </c>
      <c r="E8" s="1">
        <v>517</v>
      </c>
      <c r="F8" s="39">
        <v>2.0999999999999999E-3</v>
      </c>
      <c r="G8" s="39">
        <v>1.8E-3</v>
      </c>
      <c r="H8" s="39">
        <v>5.1000000000000004E-3</v>
      </c>
      <c r="I8" s="39">
        <v>8.8999999999999999E-3</v>
      </c>
      <c r="J8" s="39">
        <v>5.1000000000000004E-3</v>
      </c>
      <c r="K8" s="39">
        <v>3.5999999999999999E-3</v>
      </c>
      <c r="L8" s="39">
        <v>3.3E-3</v>
      </c>
      <c r="M8" s="39">
        <v>3.3E-3</v>
      </c>
      <c r="N8" s="39">
        <v>3.5000000000000001E-3</v>
      </c>
      <c r="O8" s="39">
        <v>2.7000000000000001E-3</v>
      </c>
      <c r="P8" s="39">
        <v>3.2000000000000002E-3</v>
      </c>
      <c r="Q8" s="39">
        <v>2.2000000000000001E-3</v>
      </c>
      <c r="R8" s="39">
        <v>2E-3</v>
      </c>
      <c r="S8" s="39">
        <v>2.3E-3</v>
      </c>
      <c r="T8" s="39">
        <v>2.3999999999999998E-3</v>
      </c>
      <c r="U8" s="39">
        <v>2.3999999999999998E-3</v>
      </c>
      <c r="V8" s="39">
        <v>2.5999999999999999E-3</v>
      </c>
      <c r="W8" s="39">
        <v>6.4999999999999997E-3</v>
      </c>
      <c r="X8" s="39">
        <v>7.0000000000000001E-3</v>
      </c>
      <c r="Y8" s="39">
        <v>5.7999999999999996E-3</v>
      </c>
      <c r="Z8" s="39">
        <v>0.01</v>
      </c>
      <c r="AA8" s="39">
        <v>2.0999999999999999E-3</v>
      </c>
      <c r="AB8" s="39"/>
      <c r="AC8" s="22">
        <v>517</v>
      </c>
      <c r="AD8" s="40">
        <v>1.8E-3</v>
      </c>
      <c r="AE8" s="40">
        <v>5.1000000000000004E-3</v>
      </c>
      <c r="AF8" s="40">
        <v>3.5999999999999999E-3</v>
      </c>
      <c r="AG8" s="40">
        <v>3.3E-3</v>
      </c>
      <c r="AH8" s="40">
        <v>3.2000000000000002E-3</v>
      </c>
      <c r="AI8" s="40">
        <v>2.2000000000000001E-3</v>
      </c>
      <c r="AJ8" s="40">
        <v>2E-3</v>
      </c>
      <c r="AK8" s="40">
        <v>2.3E-3</v>
      </c>
      <c r="AL8" s="40">
        <v>2.3999999999999998E-3</v>
      </c>
      <c r="AM8" s="40">
        <v>6.4999999999999997E-3</v>
      </c>
      <c r="AN8" s="40">
        <v>5.7999999999999996E-3</v>
      </c>
      <c r="AO8" s="40">
        <v>2.0999999999999999E-3</v>
      </c>
    </row>
    <row r="9" spans="1:41">
      <c r="C9" s="43">
        <v>2.8513945087812256</v>
      </c>
      <c r="D9" s="20">
        <v>0.15</v>
      </c>
      <c r="E9" s="1">
        <v>525</v>
      </c>
      <c r="F9" s="39">
        <v>2.0999999999999999E-3</v>
      </c>
      <c r="G9" s="39">
        <v>1.6999999999999999E-3</v>
      </c>
      <c r="H9" s="39">
        <v>5.0000000000000001E-3</v>
      </c>
      <c r="I9" s="39">
        <v>8.8000000000000005E-3</v>
      </c>
      <c r="J9" s="39">
        <v>5.0000000000000001E-3</v>
      </c>
      <c r="K9" s="39">
        <v>3.5000000000000001E-3</v>
      </c>
      <c r="L9" s="39">
        <v>3.3E-3</v>
      </c>
      <c r="M9" s="39">
        <v>3.3E-3</v>
      </c>
      <c r="N9" s="39">
        <v>3.5000000000000001E-3</v>
      </c>
      <c r="O9" s="39">
        <v>2.5999999999999999E-3</v>
      </c>
      <c r="P9" s="39">
        <v>3.0999999999999999E-3</v>
      </c>
      <c r="Q9" s="39">
        <v>2.2000000000000001E-3</v>
      </c>
      <c r="R9" s="39">
        <v>1.9E-3</v>
      </c>
      <c r="S9" s="39">
        <v>2.3E-3</v>
      </c>
      <c r="T9" s="39">
        <v>2.3E-3</v>
      </c>
      <c r="U9" s="39">
        <v>2.3E-3</v>
      </c>
      <c r="V9" s="39">
        <v>2.5000000000000001E-3</v>
      </c>
      <c r="W9" s="39">
        <v>6.4000000000000003E-3</v>
      </c>
      <c r="X9" s="39">
        <v>6.8999999999999999E-3</v>
      </c>
      <c r="Y9" s="39">
        <v>5.7000000000000002E-3</v>
      </c>
      <c r="Z9" s="39">
        <v>9.7999999999999997E-3</v>
      </c>
      <c r="AA9" s="39">
        <v>2.0999999999999999E-3</v>
      </c>
      <c r="AB9" s="39"/>
      <c r="AC9" s="22">
        <v>525</v>
      </c>
      <c r="AD9" s="40">
        <v>1.6999999999999999E-3</v>
      </c>
      <c r="AE9" s="40">
        <v>5.0000000000000001E-3</v>
      </c>
      <c r="AF9" s="40">
        <v>3.5000000000000001E-3</v>
      </c>
      <c r="AG9" s="40">
        <v>3.3E-3</v>
      </c>
      <c r="AH9" s="40">
        <v>3.0999999999999999E-3</v>
      </c>
      <c r="AI9" s="40">
        <v>2.2000000000000001E-3</v>
      </c>
      <c r="AJ9" s="40">
        <v>1.9E-3</v>
      </c>
      <c r="AK9" s="40">
        <v>2.3E-3</v>
      </c>
      <c r="AL9" s="40">
        <v>2.3E-3</v>
      </c>
      <c r="AM9" s="40">
        <v>6.4000000000000003E-3</v>
      </c>
      <c r="AN9" s="40">
        <v>5.7000000000000002E-3</v>
      </c>
      <c r="AO9" s="40">
        <v>2.0999999999999999E-3</v>
      </c>
    </row>
    <row r="10" spans="1:41">
      <c r="C10" s="43">
        <v>2.8513945087812256</v>
      </c>
      <c r="D10" s="20">
        <v>0.15</v>
      </c>
      <c r="E10" s="1">
        <v>532</v>
      </c>
      <c r="F10" s="39">
        <v>2.0999999999999999E-3</v>
      </c>
      <c r="G10" s="39">
        <v>1.6999999999999999E-3</v>
      </c>
      <c r="H10" s="39">
        <v>5.0000000000000001E-3</v>
      </c>
      <c r="I10" s="39">
        <v>8.6999999999999994E-3</v>
      </c>
      <c r="J10" s="39">
        <v>4.8999999999999998E-3</v>
      </c>
      <c r="K10" s="39">
        <v>3.5000000000000001E-3</v>
      </c>
      <c r="L10" s="39">
        <v>3.2000000000000002E-3</v>
      </c>
      <c r="M10" s="39">
        <v>3.2000000000000002E-3</v>
      </c>
      <c r="N10" s="39">
        <v>3.3999999999999998E-3</v>
      </c>
      <c r="O10" s="39">
        <v>2.5999999999999999E-3</v>
      </c>
      <c r="P10" s="39">
        <v>3.0999999999999999E-3</v>
      </c>
      <c r="Q10" s="39">
        <v>2.2000000000000001E-3</v>
      </c>
      <c r="R10" s="39">
        <v>1.9E-3</v>
      </c>
      <c r="S10" s="39">
        <v>2.3E-3</v>
      </c>
      <c r="T10" s="39">
        <v>2.3E-3</v>
      </c>
      <c r="U10" s="39">
        <v>2.3E-3</v>
      </c>
      <c r="V10" s="39">
        <v>2.5000000000000001E-3</v>
      </c>
      <c r="W10" s="39">
        <v>6.3E-3</v>
      </c>
      <c r="X10" s="39">
        <v>6.7999999999999996E-3</v>
      </c>
      <c r="Y10" s="39">
        <v>5.5999999999999999E-3</v>
      </c>
      <c r="Z10" s="39">
        <v>9.7000000000000003E-3</v>
      </c>
      <c r="AA10" s="39">
        <v>2.0999999999999999E-3</v>
      </c>
      <c r="AB10" s="39"/>
      <c r="AC10" s="22">
        <v>532</v>
      </c>
      <c r="AD10" s="40">
        <v>1.6999999999999999E-3</v>
      </c>
      <c r="AE10" s="40">
        <v>4.8999999999999998E-3</v>
      </c>
      <c r="AF10" s="40">
        <v>3.5000000000000001E-3</v>
      </c>
      <c r="AG10" s="40">
        <v>3.2000000000000002E-3</v>
      </c>
      <c r="AH10" s="40">
        <v>3.0999999999999999E-3</v>
      </c>
      <c r="AI10" s="40">
        <v>2.2000000000000001E-3</v>
      </c>
      <c r="AJ10" s="40">
        <v>1.9E-3</v>
      </c>
      <c r="AK10" s="40">
        <v>2.3E-3</v>
      </c>
      <c r="AL10" s="40">
        <v>2.3E-3</v>
      </c>
      <c r="AM10" s="40">
        <v>6.3E-3</v>
      </c>
      <c r="AN10" s="40">
        <v>5.5999999999999999E-3</v>
      </c>
      <c r="AO10" s="40">
        <v>2.0999999999999999E-3</v>
      </c>
    </row>
    <row r="11" spans="1:41">
      <c r="C11" s="43">
        <v>2.8513945087812256</v>
      </c>
      <c r="D11" s="20">
        <v>0.15</v>
      </c>
      <c r="E11" s="1">
        <v>535</v>
      </c>
      <c r="F11" s="39">
        <v>2E-3</v>
      </c>
      <c r="G11" s="39">
        <v>1.6999999999999999E-3</v>
      </c>
      <c r="H11" s="39">
        <v>4.8999999999999998E-3</v>
      </c>
      <c r="I11" s="39">
        <v>8.6E-3</v>
      </c>
      <c r="J11" s="39">
        <v>4.8999999999999998E-3</v>
      </c>
      <c r="K11" s="39">
        <v>3.5000000000000001E-3</v>
      </c>
      <c r="L11" s="39">
        <v>3.2000000000000002E-3</v>
      </c>
      <c r="M11" s="39">
        <v>3.2000000000000002E-3</v>
      </c>
      <c r="N11" s="39">
        <v>3.3999999999999998E-3</v>
      </c>
      <c r="O11" s="39">
        <v>2.5999999999999999E-3</v>
      </c>
      <c r="P11" s="39">
        <v>3.0999999999999999E-3</v>
      </c>
      <c r="Q11" s="39">
        <v>2.0999999999999999E-3</v>
      </c>
      <c r="R11" s="39">
        <v>1.9E-3</v>
      </c>
      <c r="S11" s="39">
        <v>2.3E-3</v>
      </c>
      <c r="T11" s="39">
        <v>2.3E-3</v>
      </c>
      <c r="U11" s="39">
        <v>2.3E-3</v>
      </c>
      <c r="V11" s="39">
        <v>2.5000000000000001E-3</v>
      </c>
      <c r="W11" s="39">
        <v>6.3E-3</v>
      </c>
      <c r="X11" s="39">
        <v>6.7999999999999996E-3</v>
      </c>
      <c r="Y11" s="39">
        <v>5.5999999999999999E-3</v>
      </c>
      <c r="Z11" s="39">
        <v>9.5999999999999992E-3</v>
      </c>
      <c r="AA11" s="39">
        <v>2.0999999999999999E-3</v>
      </c>
      <c r="AB11" s="39"/>
      <c r="AC11" s="22">
        <v>535</v>
      </c>
      <c r="AD11" s="40">
        <v>1.6999999999999999E-3</v>
      </c>
      <c r="AE11" s="40">
        <v>4.8999999999999998E-3</v>
      </c>
      <c r="AF11" s="40">
        <v>3.5000000000000001E-3</v>
      </c>
      <c r="AG11" s="40">
        <v>3.2000000000000002E-3</v>
      </c>
      <c r="AH11" s="40">
        <v>3.0999999999999999E-3</v>
      </c>
      <c r="AI11" s="40">
        <v>2.0999999999999999E-3</v>
      </c>
      <c r="AJ11" s="40">
        <v>1.9E-3</v>
      </c>
      <c r="AK11" s="40">
        <v>2.3E-3</v>
      </c>
      <c r="AL11" s="40">
        <v>2.3E-3</v>
      </c>
      <c r="AM11" s="40">
        <v>6.3E-3</v>
      </c>
      <c r="AN11" s="40">
        <v>5.5999999999999999E-3</v>
      </c>
      <c r="AO11" s="40">
        <v>2.0999999999999999E-3</v>
      </c>
    </row>
    <row r="12" spans="1:41">
      <c r="C12" s="43">
        <v>2.8513945087812256</v>
      </c>
      <c r="D12" s="20">
        <v>0.15</v>
      </c>
      <c r="E12" s="1">
        <v>539</v>
      </c>
      <c r="F12" s="39">
        <v>2E-3</v>
      </c>
      <c r="G12" s="39">
        <v>1.6999999999999999E-3</v>
      </c>
      <c r="H12" s="39">
        <v>4.8999999999999998E-3</v>
      </c>
      <c r="I12" s="39">
        <v>8.6E-3</v>
      </c>
      <c r="J12" s="39">
        <v>4.7999999999999996E-3</v>
      </c>
      <c r="K12" s="39">
        <v>3.3999999999999998E-3</v>
      </c>
      <c r="L12" s="39">
        <v>3.2000000000000002E-3</v>
      </c>
      <c r="M12" s="39">
        <v>3.2000000000000002E-3</v>
      </c>
      <c r="N12" s="39">
        <v>3.3999999999999998E-3</v>
      </c>
      <c r="O12" s="39">
        <v>2.5999999999999999E-3</v>
      </c>
      <c r="P12" s="39">
        <v>3.0999999999999999E-3</v>
      </c>
      <c r="Q12" s="39">
        <v>2.0999999999999999E-3</v>
      </c>
      <c r="R12" s="39">
        <v>1.9E-3</v>
      </c>
      <c r="S12" s="39">
        <v>2.3E-3</v>
      </c>
      <c r="T12" s="39">
        <v>2.3E-3</v>
      </c>
      <c r="U12" s="39">
        <v>2.3E-3</v>
      </c>
      <c r="V12" s="39">
        <v>2.5000000000000001E-3</v>
      </c>
      <c r="W12" s="39">
        <v>6.1999999999999998E-3</v>
      </c>
      <c r="X12" s="39">
        <v>6.7000000000000002E-3</v>
      </c>
      <c r="Y12" s="39">
        <v>5.4999999999999997E-3</v>
      </c>
      <c r="Z12" s="39">
        <v>9.4999999999999998E-3</v>
      </c>
      <c r="AA12" s="39">
        <v>2.0999999999999999E-3</v>
      </c>
      <c r="AB12" s="39"/>
      <c r="AC12" s="22">
        <v>539</v>
      </c>
      <c r="AD12" s="40">
        <v>1.6999999999999999E-3</v>
      </c>
      <c r="AE12" s="40">
        <v>4.7999999999999996E-3</v>
      </c>
      <c r="AF12" s="40">
        <v>3.3999999999999998E-3</v>
      </c>
      <c r="AG12" s="40">
        <v>3.2000000000000002E-3</v>
      </c>
      <c r="AH12" s="40">
        <v>3.0999999999999999E-3</v>
      </c>
      <c r="AI12" s="40">
        <v>2.0999999999999999E-3</v>
      </c>
      <c r="AJ12" s="40">
        <v>1.9E-3</v>
      </c>
      <c r="AK12" s="40">
        <v>2.3E-3</v>
      </c>
      <c r="AL12" s="40">
        <v>2.3E-3</v>
      </c>
      <c r="AM12" s="40">
        <v>6.1999999999999998E-3</v>
      </c>
      <c r="AN12" s="40">
        <v>5.4999999999999997E-3</v>
      </c>
      <c r="AO12" s="40">
        <v>2.0999999999999999E-3</v>
      </c>
    </row>
    <row r="13" spans="1:41">
      <c r="C13" s="43">
        <v>2.8513945087812256</v>
      </c>
      <c r="D13" s="20">
        <v>0.15</v>
      </c>
      <c r="E13" s="1">
        <v>540</v>
      </c>
      <c r="F13" s="39">
        <v>2E-3</v>
      </c>
      <c r="G13" s="39">
        <v>1.6999999999999999E-3</v>
      </c>
      <c r="H13" s="39">
        <v>4.8999999999999998E-3</v>
      </c>
      <c r="I13" s="39">
        <v>8.6E-3</v>
      </c>
      <c r="J13" s="39">
        <v>4.7999999999999996E-3</v>
      </c>
      <c r="K13" s="39">
        <v>3.3999999999999998E-3</v>
      </c>
      <c r="L13" s="39">
        <v>3.2000000000000002E-3</v>
      </c>
      <c r="M13" s="39">
        <v>3.2000000000000002E-3</v>
      </c>
      <c r="N13" s="39">
        <v>3.3999999999999998E-3</v>
      </c>
      <c r="O13" s="39">
        <v>2.5999999999999999E-3</v>
      </c>
      <c r="P13" s="39">
        <v>3.0999999999999999E-3</v>
      </c>
      <c r="Q13" s="39">
        <v>2.0999999999999999E-3</v>
      </c>
      <c r="R13" s="39">
        <v>1.9E-3</v>
      </c>
      <c r="S13" s="39">
        <v>2.2000000000000001E-3</v>
      </c>
      <c r="T13" s="39">
        <v>2.3E-3</v>
      </c>
      <c r="U13" s="39">
        <v>2.3E-3</v>
      </c>
      <c r="V13" s="39">
        <v>2.3999999999999998E-3</v>
      </c>
      <c r="W13" s="39">
        <v>6.1999999999999998E-3</v>
      </c>
      <c r="X13" s="39">
        <v>6.7000000000000002E-3</v>
      </c>
      <c r="Y13" s="39">
        <v>5.4999999999999997E-3</v>
      </c>
      <c r="Z13" s="39">
        <v>9.4999999999999998E-3</v>
      </c>
      <c r="AA13" s="39">
        <v>2E-3</v>
      </c>
      <c r="AB13" s="39"/>
      <c r="AC13" s="22">
        <v>540</v>
      </c>
      <c r="AD13" s="40">
        <v>1.6999999999999999E-3</v>
      </c>
      <c r="AE13" s="40">
        <v>4.7999999999999996E-3</v>
      </c>
      <c r="AF13" s="40">
        <v>3.3999999999999998E-3</v>
      </c>
      <c r="AG13" s="40">
        <v>3.2000000000000002E-3</v>
      </c>
      <c r="AH13" s="40">
        <v>3.0999999999999999E-3</v>
      </c>
      <c r="AI13" s="40">
        <v>2.0999999999999999E-3</v>
      </c>
      <c r="AJ13" s="40">
        <v>1.9E-3</v>
      </c>
      <c r="AK13" s="40">
        <v>2.2000000000000001E-3</v>
      </c>
      <c r="AL13" s="40">
        <v>2.3E-3</v>
      </c>
      <c r="AM13" s="40">
        <v>6.1999999999999998E-3</v>
      </c>
      <c r="AN13" s="40">
        <v>5.4999999999999997E-3</v>
      </c>
      <c r="AO13" s="40">
        <v>2E-3</v>
      </c>
    </row>
    <row r="14" spans="1:41">
      <c r="C14" s="43">
        <v>2.8513945087812256</v>
      </c>
      <c r="D14" s="20">
        <v>0.15</v>
      </c>
      <c r="E14" s="1">
        <v>547</v>
      </c>
      <c r="F14" s="39">
        <v>2E-3</v>
      </c>
      <c r="G14" s="39">
        <v>1.6999999999999999E-3</v>
      </c>
      <c r="H14" s="39">
        <v>4.7999999999999996E-3</v>
      </c>
      <c r="I14" s="39">
        <v>8.3999999999999995E-3</v>
      </c>
      <c r="J14" s="39">
        <v>4.7999999999999996E-3</v>
      </c>
      <c r="K14" s="39">
        <v>3.3999999999999998E-3</v>
      </c>
      <c r="L14" s="39">
        <v>3.0999999999999999E-3</v>
      </c>
      <c r="M14" s="39">
        <v>3.0999999999999999E-3</v>
      </c>
      <c r="N14" s="39">
        <v>3.3E-3</v>
      </c>
      <c r="O14" s="39">
        <v>2.5000000000000001E-3</v>
      </c>
      <c r="P14" s="39">
        <v>3.0000000000000001E-3</v>
      </c>
      <c r="Q14" s="39">
        <v>2.0999999999999999E-3</v>
      </c>
      <c r="R14" s="39">
        <v>1.9E-3</v>
      </c>
      <c r="S14" s="39">
        <v>2.2000000000000001E-3</v>
      </c>
      <c r="T14" s="39">
        <v>2.2000000000000001E-3</v>
      </c>
      <c r="U14" s="39">
        <v>2.2000000000000001E-3</v>
      </c>
      <c r="V14" s="39">
        <v>2.3999999999999998E-3</v>
      </c>
      <c r="W14" s="39">
        <v>6.1000000000000004E-3</v>
      </c>
      <c r="X14" s="39">
        <v>6.6E-3</v>
      </c>
      <c r="Y14" s="39">
        <v>5.4999999999999997E-3</v>
      </c>
      <c r="Z14" s="39">
        <v>9.4000000000000004E-3</v>
      </c>
      <c r="AA14" s="39">
        <v>2E-3</v>
      </c>
      <c r="AB14" s="39"/>
      <c r="AC14" s="22">
        <v>547</v>
      </c>
      <c r="AD14" s="40">
        <v>1.6999999999999999E-3</v>
      </c>
      <c r="AE14" s="40">
        <v>4.7999999999999996E-3</v>
      </c>
      <c r="AF14" s="40">
        <v>3.3999999999999998E-3</v>
      </c>
      <c r="AG14" s="40">
        <v>3.0999999999999999E-3</v>
      </c>
      <c r="AH14" s="40">
        <v>3.0000000000000001E-3</v>
      </c>
      <c r="AI14" s="40">
        <v>2.0999999999999999E-3</v>
      </c>
      <c r="AJ14" s="40">
        <v>1.9E-3</v>
      </c>
      <c r="AK14" s="40">
        <v>2.2000000000000001E-3</v>
      </c>
      <c r="AL14" s="40">
        <v>2.2000000000000001E-3</v>
      </c>
      <c r="AM14" s="40">
        <v>6.1000000000000004E-3</v>
      </c>
      <c r="AN14" s="40">
        <v>5.4999999999999997E-3</v>
      </c>
      <c r="AO14" s="40">
        <v>2E-3</v>
      </c>
    </row>
    <row r="15" spans="1:41">
      <c r="C15" s="43">
        <v>2.8513945087812256</v>
      </c>
      <c r="D15" s="20">
        <v>0.15</v>
      </c>
      <c r="E15" s="1">
        <v>548</v>
      </c>
      <c r="F15" s="39">
        <v>2E-3</v>
      </c>
      <c r="G15" s="39">
        <v>1.6999999999999999E-3</v>
      </c>
      <c r="H15" s="39">
        <v>4.7999999999999996E-3</v>
      </c>
      <c r="I15" s="39">
        <v>8.3999999999999995E-3</v>
      </c>
      <c r="J15" s="39">
        <v>4.7999999999999996E-3</v>
      </c>
      <c r="K15" s="39">
        <v>3.3999999999999998E-3</v>
      </c>
      <c r="L15" s="39">
        <v>3.0999999999999999E-3</v>
      </c>
      <c r="M15" s="39">
        <v>3.0999999999999999E-3</v>
      </c>
      <c r="N15" s="39">
        <v>3.3E-3</v>
      </c>
      <c r="O15" s="39">
        <v>2.5000000000000001E-3</v>
      </c>
      <c r="P15" s="39">
        <v>3.0000000000000001E-3</v>
      </c>
      <c r="Q15" s="39">
        <v>2.0999999999999999E-3</v>
      </c>
      <c r="R15" s="39">
        <v>1.8E-3</v>
      </c>
      <c r="S15" s="39">
        <v>2.2000000000000001E-3</v>
      </c>
      <c r="T15" s="39">
        <v>2.2000000000000001E-3</v>
      </c>
      <c r="U15" s="39">
        <v>2.2000000000000001E-3</v>
      </c>
      <c r="V15" s="39">
        <v>2.3999999999999998E-3</v>
      </c>
      <c r="W15" s="39">
        <v>6.1000000000000004E-3</v>
      </c>
      <c r="X15" s="39">
        <v>6.6E-3</v>
      </c>
      <c r="Y15" s="39">
        <v>5.4000000000000003E-3</v>
      </c>
      <c r="Z15" s="39">
        <v>9.4000000000000004E-3</v>
      </c>
      <c r="AA15" s="39">
        <v>2E-3</v>
      </c>
      <c r="AB15" s="39"/>
      <c r="AC15" s="22">
        <v>548</v>
      </c>
      <c r="AD15" s="40">
        <v>1.6999999999999999E-3</v>
      </c>
      <c r="AE15" s="40">
        <v>4.7999999999999996E-3</v>
      </c>
      <c r="AF15" s="40">
        <v>3.3999999999999998E-3</v>
      </c>
      <c r="AG15" s="40">
        <v>3.0999999999999999E-3</v>
      </c>
      <c r="AH15" s="40">
        <v>3.0000000000000001E-3</v>
      </c>
      <c r="AI15" s="40">
        <v>2.0999999999999999E-3</v>
      </c>
      <c r="AJ15" s="40">
        <v>1.8E-3</v>
      </c>
      <c r="AK15" s="40">
        <v>2.2000000000000001E-3</v>
      </c>
      <c r="AL15" s="40">
        <v>2.2000000000000001E-3</v>
      </c>
      <c r="AM15" s="40">
        <v>6.1000000000000004E-3</v>
      </c>
      <c r="AN15" s="40">
        <v>5.4000000000000003E-3</v>
      </c>
      <c r="AO15" s="40">
        <v>2E-3</v>
      </c>
    </row>
    <row r="16" spans="1:41">
      <c r="C16" s="43">
        <v>2.8513945087812256</v>
      </c>
      <c r="D16" s="20">
        <v>0.15</v>
      </c>
      <c r="E16" s="1">
        <v>549</v>
      </c>
      <c r="F16" s="39">
        <v>2E-3</v>
      </c>
      <c r="G16" s="39">
        <v>1.6999999999999999E-3</v>
      </c>
      <c r="H16" s="39">
        <v>4.7999999999999996E-3</v>
      </c>
      <c r="I16" s="39">
        <v>8.3999999999999995E-3</v>
      </c>
      <c r="J16" s="39">
        <v>4.7999999999999996E-3</v>
      </c>
      <c r="K16" s="39">
        <v>3.3999999999999998E-3</v>
      </c>
      <c r="L16" s="39">
        <v>3.0999999999999999E-3</v>
      </c>
      <c r="M16" s="39">
        <v>3.0999999999999999E-3</v>
      </c>
      <c r="N16" s="39">
        <v>3.3E-3</v>
      </c>
      <c r="O16" s="39">
        <v>2.5000000000000001E-3</v>
      </c>
      <c r="P16" s="39">
        <v>3.0000000000000001E-3</v>
      </c>
      <c r="Q16" s="39">
        <v>2.0999999999999999E-3</v>
      </c>
      <c r="R16" s="39">
        <v>1.8E-3</v>
      </c>
      <c r="S16" s="39">
        <v>2.2000000000000001E-3</v>
      </c>
      <c r="T16" s="39">
        <v>2.2000000000000001E-3</v>
      </c>
      <c r="U16" s="39">
        <v>2.2000000000000001E-3</v>
      </c>
      <c r="V16" s="39">
        <v>2.3999999999999998E-3</v>
      </c>
      <c r="W16" s="39">
        <v>6.1000000000000004E-3</v>
      </c>
      <c r="X16" s="39">
        <v>6.6E-3</v>
      </c>
      <c r="Y16" s="39">
        <v>5.4000000000000003E-3</v>
      </c>
      <c r="Z16" s="39">
        <v>9.4000000000000004E-3</v>
      </c>
      <c r="AA16" s="39">
        <v>2E-3</v>
      </c>
      <c r="AB16" s="39"/>
      <c r="AC16" s="22">
        <v>549</v>
      </c>
      <c r="AD16" s="40">
        <v>1.6999999999999999E-3</v>
      </c>
      <c r="AE16" s="40">
        <v>4.7999999999999996E-3</v>
      </c>
      <c r="AF16" s="40">
        <v>3.3999999999999998E-3</v>
      </c>
      <c r="AG16" s="40">
        <v>3.0999999999999999E-3</v>
      </c>
      <c r="AH16" s="40">
        <v>3.0000000000000001E-3</v>
      </c>
      <c r="AI16" s="40">
        <v>2.0999999999999999E-3</v>
      </c>
      <c r="AJ16" s="40">
        <v>1.8E-3</v>
      </c>
      <c r="AK16" s="40">
        <v>2.2000000000000001E-3</v>
      </c>
      <c r="AL16" s="40">
        <v>2.2000000000000001E-3</v>
      </c>
      <c r="AM16" s="40">
        <v>6.1000000000000004E-3</v>
      </c>
      <c r="AN16" s="40">
        <v>5.4000000000000003E-3</v>
      </c>
      <c r="AO16" s="40">
        <v>2E-3</v>
      </c>
    </row>
    <row r="17" spans="3:41">
      <c r="C17" s="43">
        <v>2.8513945087812256</v>
      </c>
      <c r="D17" s="20">
        <v>0.15</v>
      </c>
      <c r="E17" s="147">
        <v>1030</v>
      </c>
      <c r="F17" s="39">
        <v>1.1000000000000001E-3</v>
      </c>
      <c r="G17" s="39">
        <v>8.9999999999999998E-4</v>
      </c>
      <c r="H17" s="39">
        <v>2.5999999999999999E-3</v>
      </c>
      <c r="I17" s="39">
        <v>4.4999999999999997E-3</v>
      </c>
      <c r="J17" s="39">
        <v>2.5000000000000001E-3</v>
      </c>
      <c r="K17" s="39">
        <v>1.8E-3</v>
      </c>
      <c r="L17" s="39">
        <v>1.6999999999999999E-3</v>
      </c>
      <c r="M17" s="39">
        <v>1.6999999999999999E-3</v>
      </c>
      <c r="N17" s="39">
        <v>1.8E-3</v>
      </c>
      <c r="O17" s="39">
        <v>1.2999999999999999E-3</v>
      </c>
      <c r="P17" s="39">
        <v>1.6000000000000001E-3</v>
      </c>
      <c r="Q17" s="39">
        <v>1.1000000000000001E-3</v>
      </c>
      <c r="R17" s="39">
        <v>1E-3</v>
      </c>
      <c r="S17" s="39">
        <v>1.1999999999999999E-3</v>
      </c>
      <c r="T17" s="39">
        <v>1.1999999999999999E-3</v>
      </c>
      <c r="U17" s="39">
        <v>1.1999999999999999E-3</v>
      </c>
      <c r="V17" s="39">
        <v>1.2999999999999999E-3</v>
      </c>
      <c r="W17" s="39">
        <v>3.3E-3</v>
      </c>
      <c r="X17" s="39">
        <v>3.5000000000000001E-3</v>
      </c>
      <c r="Y17" s="39">
        <v>2.8999999999999998E-3</v>
      </c>
      <c r="Z17" s="39">
        <v>5.0000000000000001E-3</v>
      </c>
      <c r="AA17" s="39">
        <v>1.1000000000000001E-3</v>
      </c>
      <c r="AB17" s="39"/>
      <c r="AC17" s="22">
        <v>1030</v>
      </c>
      <c r="AD17" s="40">
        <v>8.9999999999999998E-4</v>
      </c>
      <c r="AE17" s="40">
        <v>2.5000000000000001E-3</v>
      </c>
      <c r="AF17" s="40">
        <v>1.8E-3</v>
      </c>
      <c r="AG17" s="40">
        <v>1.6999999999999999E-3</v>
      </c>
      <c r="AH17" s="40">
        <v>1.6000000000000001E-3</v>
      </c>
      <c r="AI17" s="40">
        <v>1.1000000000000001E-3</v>
      </c>
      <c r="AJ17" s="40">
        <v>1E-3</v>
      </c>
      <c r="AK17" s="40">
        <v>1.1999999999999999E-3</v>
      </c>
      <c r="AL17" s="40">
        <v>1.1999999999999999E-3</v>
      </c>
      <c r="AM17" s="40">
        <v>3.3E-3</v>
      </c>
      <c r="AN17" s="40">
        <v>2.8999999999999998E-3</v>
      </c>
      <c r="AO17" s="40">
        <v>1.1000000000000001E-3</v>
      </c>
    </row>
    <row r="18" spans="3:41">
      <c r="C18" s="43">
        <v>2.8513945087812256</v>
      </c>
      <c r="D18" s="20">
        <v>0.15</v>
      </c>
      <c r="E18" s="1">
        <v>1050</v>
      </c>
      <c r="F18" s="39">
        <v>1E-3</v>
      </c>
      <c r="G18" s="39">
        <v>8.9999999999999998E-4</v>
      </c>
      <c r="H18" s="39">
        <v>2.5000000000000001E-3</v>
      </c>
      <c r="I18" s="39">
        <v>4.4000000000000003E-3</v>
      </c>
      <c r="J18" s="39">
        <v>2.5000000000000001E-3</v>
      </c>
      <c r="K18" s="39">
        <v>1.8E-3</v>
      </c>
      <c r="L18" s="39">
        <v>1.6000000000000001E-3</v>
      </c>
      <c r="M18" s="39">
        <v>1.6000000000000001E-3</v>
      </c>
      <c r="N18" s="39">
        <v>1.6999999999999999E-3</v>
      </c>
      <c r="O18" s="39">
        <v>1.2999999999999999E-3</v>
      </c>
      <c r="P18" s="39">
        <v>1.6000000000000001E-3</v>
      </c>
      <c r="Q18" s="39">
        <v>1.1000000000000001E-3</v>
      </c>
      <c r="R18" s="39">
        <v>1E-3</v>
      </c>
      <c r="S18" s="39">
        <v>1.1999999999999999E-3</v>
      </c>
      <c r="T18" s="39">
        <v>1.1999999999999999E-3</v>
      </c>
      <c r="U18" s="39">
        <v>1.1999999999999999E-3</v>
      </c>
      <c r="V18" s="39">
        <v>1.2999999999999999E-3</v>
      </c>
      <c r="W18" s="39">
        <v>3.2000000000000002E-3</v>
      </c>
      <c r="X18" s="39">
        <v>3.3999999999999998E-3</v>
      </c>
      <c r="Y18" s="39">
        <v>2.8E-3</v>
      </c>
      <c r="Z18" s="39">
        <v>4.8999999999999998E-3</v>
      </c>
      <c r="AA18" s="39">
        <v>1.1000000000000001E-3</v>
      </c>
      <c r="AB18" s="39"/>
      <c r="AC18" s="22">
        <v>1050</v>
      </c>
      <c r="AD18" s="40">
        <v>8.9999999999999998E-4</v>
      </c>
      <c r="AE18" s="40">
        <v>2.5000000000000001E-3</v>
      </c>
      <c r="AF18" s="40">
        <v>1.8E-3</v>
      </c>
      <c r="AG18" s="40">
        <v>1.6000000000000001E-3</v>
      </c>
      <c r="AH18" s="40">
        <v>1.6000000000000001E-3</v>
      </c>
      <c r="AI18" s="40">
        <v>1.1000000000000001E-3</v>
      </c>
      <c r="AJ18" s="40">
        <v>1E-3</v>
      </c>
      <c r="AK18" s="40">
        <v>1.1999999999999999E-3</v>
      </c>
      <c r="AL18" s="40">
        <v>1.1999999999999999E-3</v>
      </c>
      <c r="AM18" s="40">
        <v>3.2000000000000002E-3</v>
      </c>
      <c r="AN18" s="40">
        <v>2.8E-3</v>
      </c>
      <c r="AO18" s="40">
        <v>1.1000000000000001E-3</v>
      </c>
    </row>
    <row r="19" spans="3:41">
      <c r="C19" s="43">
        <v>2.8513945087812256</v>
      </c>
      <c r="D19" s="20">
        <v>0.15</v>
      </c>
      <c r="E19" s="1">
        <v>1055</v>
      </c>
      <c r="F19" s="39">
        <v>1E-3</v>
      </c>
      <c r="G19" s="39">
        <v>8.9999999999999998E-4</v>
      </c>
      <c r="H19" s="39">
        <v>2.5000000000000001E-3</v>
      </c>
      <c r="I19" s="39">
        <v>4.4000000000000003E-3</v>
      </c>
      <c r="J19" s="39">
        <v>2.5000000000000001E-3</v>
      </c>
      <c r="K19" s="39">
        <v>1.8E-3</v>
      </c>
      <c r="L19" s="39">
        <v>1.6000000000000001E-3</v>
      </c>
      <c r="M19" s="39">
        <v>1.6000000000000001E-3</v>
      </c>
      <c r="N19" s="39">
        <v>1.6999999999999999E-3</v>
      </c>
      <c r="O19" s="39">
        <v>1.2999999999999999E-3</v>
      </c>
      <c r="P19" s="39">
        <v>1.6000000000000001E-3</v>
      </c>
      <c r="Q19" s="39">
        <v>1.1000000000000001E-3</v>
      </c>
      <c r="R19" s="39">
        <v>1E-3</v>
      </c>
      <c r="S19" s="39">
        <v>1.1000000000000001E-3</v>
      </c>
      <c r="T19" s="39">
        <v>1.1999999999999999E-3</v>
      </c>
      <c r="U19" s="39">
        <v>1.1999999999999999E-3</v>
      </c>
      <c r="V19" s="39">
        <v>1.2999999999999999E-3</v>
      </c>
      <c r="W19" s="39">
        <v>3.2000000000000002E-3</v>
      </c>
      <c r="X19" s="39">
        <v>3.3999999999999998E-3</v>
      </c>
      <c r="Y19" s="39">
        <v>2.8E-3</v>
      </c>
      <c r="Z19" s="39">
        <v>4.8999999999999998E-3</v>
      </c>
      <c r="AA19" s="39">
        <v>1E-3</v>
      </c>
      <c r="AB19" s="39"/>
      <c r="AC19" s="22">
        <v>1055</v>
      </c>
      <c r="AD19" s="40">
        <v>8.9999999999999998E-4</v>
      </c>
      <c r="AE19" s="40">
        <v>2.5000000000000001E-3</v>
      </c>
      <c r="AF19" s="40">
        <v>1.8E-3</v>
      </c>
      <c r="AG19" s="40">
        <v>1.6000000000000001E-3</v>
      </c>
      <c r="AH19" s="40">
        <v>1.6000000000000001E-3</v>
      </c>
      <c r="AI19" s="40">
        <v>1.1000000000000001E-3</v>
      </c>
      <c r="AJ19" s="40">
        <v>1E-3</v>
      </c>
      <c r="AK19" s="40">
        <v>1.1000000000000001E-3</v>
      </c>
      <c r="AL19" s="40">
        <v>1.1999999999999999E-3</v>
      </c>
      <c r="AM19" s="40">
        <v>3.2000000000000002E-3</v>
      </c>
      <c r="AN19" s="40">
        <v>2.8E-3</v>
      </c>
      <c r="AO19" s="40">
        <v>1E-3</v>
      </c>
    </row>
    <row r="20" spans="3:41">
      <c r="C20" s="43">
        <v>2.8513945087812256</v>
      </c>
      <c r="D20" s="20">
        <v>0.15</v>
      </c>
      <c r="E20" s="1">
        <v>1057</v>
      </c>
      <c r="F20" s="39">
        <v>1E-3</v>
      </c>
      <c r="G20" s="39">
        <v>8.9999999999999998E-4</v>
      </c>
      <c r="H20" s="39">
        <v>2.5000000000000001E-3</v>
      </c>
      <c r="I20" s="39">
        <v>4.4000000000000003E-3</v>
      </c>
      <c r="J20" s="39">
        <v>2.5000000000000001E-3</v>
      </c>
      <c r="K20" s="39">
        <v>1.6999999999999999E-3</v>
      </c>
      <c r="L20" s="39">
        <v>1.6000000000000001E-3</v>
      </c>
      <c r="M20" s="39">
        <v>1.6000000000000001E-3</v>
      </c>
      <c r="N20" s="39">
        <v>1.6999999999999999E-3</v>
      </c>
      <c r="O20" s="39">
        <v>1.2999999999999999E-3</v>
      </c>
      <c r="P20" s="39">
        <v>1.6000000000000001E-3</v>
      </c>
      <c r="Q20" s="39">
        <v>1.1000000000000001E-3</v>
      </c>
      <c r="R20" s="39">
        <v>1E-3</v>
      </c>
      <c r="S20" s="39">
        <v>1.1000000000000001E-3</v>
      </c>
      <c r="T20" s="39">
        <v>1.1999999999999999E-3</v>
      </c>
      <c r="U20" s="39">
        <v>1.1999999999999999E-3</v>
      </c>
      <c r="V20" s="39">
        <v>1.1999999999999999E-3</v>
      </c>
      <c r="W20" s="39">
        <v>3.2000000000000002E-3</v>
      </c>
      <c r="X20" s="39">
        <v>3.3999999999999998E-3</v>
      </c>
      <c r="Y20" s="39">
        <v>2.8E-3</v>
      </c>
      <c r="Z20" s="39">
        <v>4.8999999999999998E-3</v>
      </c>
      <c r="AA20" s="39">
        <v>1E-3</v>
      </c>
      <c r="AB20" s="39"/>
      <c r="AC20" s="22">
        <v>1057</v>
      </c>
      <c r="AD20" s="40">
        <v>8.9999999999999998E-4</v>
      </c>
      <c r="AE20" s="40">
        <v>2.5000000000000001E-3</v>
      </c>
      <c r="AF20" s="40">
        <v>1.6999999999999999E-3</v>
      </c>
      <c r="AG20" s="40">
        <v>1.6000000000000001E-3</v>
      </c>
      <c r="AH20" s="40">
        <v>1.6000000000000001E-3</v>
      </c>
      <c r="AI20" s="40">
        <v>1.1000000000000001E-3</v>
      </c>
      <c r="AJ20" s="40">
        <v>1E-3</v>
      </c>
      <c r="AK20" s="40">
        <v>1.1000000000000001E-3</v>
      </c>
      <c r="AL20" s="40">
        <v>1.1999999999999999E-3</v>
      </c>
      <c r="AM20" s="40">
        <v>3.2000000000000002E-3</v>
      </c>
      <c r="AN20" s="40">
        <v>2.8E-3</v>
      </c>
      <c r="AO20" s="40">
        <v>1E-3</v>
      </c>
    </row>
    <row r="21" spans="3:41">
      <c r="C21" s="43">
        <v>2.8513945087812256</v>
      </c>
      <c r="D21" s="20">
        <v>0.15</v>
      </c>
      <c r="E21" s="1">
        <v>1060</v>
      </c>
      <c r="F21" s="39">
        <v>1E-3</v>
      </c>
      <c r="G21" s="39">
        <v>8.9999999999999998E-4</v>
      </c>
      <c r="H21" s="39">
        <v>2.5000000000000001E-3</v>
      </c>
      <c r="I21" s="39">
        <v>4.4000000000000003E-3</v>
      </c>
      <c r="J21" s="39">
        <v>2.5000000000000001E-3</v>
      </c>
      <c r="K21" s="39">
        <v>1.6999999999999999E-3</v>
      </c>
      <c r="L21" s="39">
        <v>1.6000000000000001E-3</v>
      </c>
      <c r="M21" s="39">
        <v>1.6000000000000001E-3</v>
      </c>
      <c r="N21" s="39">
        <v>1.6999999999999999E-3</v>
      </c>
      <c r="O21" s="39">
        <v>1.2999999999999999E-3</v>
      </c>
      <c r="P21" s="39">
        <v>1.6000000000000001E-3</v>
      </c>
      <c r="Q21" s="39">
        <v>1.1000000000000001E-3</v>
      </c>
      <c r="R21" s="39">
        <v>1E-3</v>
      </c>
      <c r="S21" s="39">
        <v>1.1000000000000001E-3</v>
      </c>
      <c r="T21" s="39">
        <v>1.1999999999999999E-3</v>
      </c>
      <c r="U21" s="39">
        <v>1.1999999999999999E-3</v>
      </c>
      <c r="V21" s="39">
        <v>1.1999999999999999E-3</v>
      </c>
      <c r="W21" s="39">
        <v>3.2000000000000002E-3</v>
      </c>
      <c r="X21" s="39">
        <v>3.3999999999999998E-3</v>
      </c>
      <c r="Y21" s="39">
        <v>2.8E-3</v>
      </c>
      <c r="Z21" s="39">
        <v>4.8999999999999998E-3</v>
      </c>
      <c r="AA21" s="39">
        <v>1E-3</v>
      </c>
      <c r="AB21" s="39"/>
      <c r="AC21" s="22">
        <v>1060</v>
      </c>
      <c r="AD21" s="40">
        <v>8.9999999999999998E-4</v>
      </c>
      <c r="AE21" s="40">
        <v>2.5000000000000001E-3</v>
      </c>
      <c r="AF21" s="40">
        <v>1.6999999999999999E-3</v>
      </c>
      <c r="AG21" s="40">
        <v>1.6000000000000001E-3</v>
      </c>
      <c r="AH21" s="40">
        <v>1.6000000000000001E-3</v>
      </c>
      <c r="AI21" s="40">
        <v>1.1000000000000001E-3</v>
      </c>
      <c r="AJ21" s="40">
        <v>1E-3</v>
      </c>
      <c r="AK21" s="40">
        <v>1.1000000000000001E-3</v>
      </c>
      <c r="AL21" s="40">
        <v>1.1999999999999999E-3</v>
      </c>
      <c r="AM21" s="40">
        <v>3.2000000000000002E-3</v>
      </c>
      <c r="AN21" s="40">
        <v>2.8E-3</v>
      </c>
      <c r="AO21" s="40">
        <v>1E-3</v>
      </c>
    </row>
    <row r="22" spans="3:41">
      <c r="C22" s="43"/>
      <c r="E22" s="1"/>
      <c r="F22" s="39"/>
      <c r="G22" s="39"/>
      <c r="H22" s="39"/>
      <c r="I22" s="39"/>
      <c r="J22" s="39"/>
      <c r="K22" s="39"/>
      <c r="L22" s="39"/>
      <c r="M22" s="39"/>
      <c r="N22" s="39"/>
      <c r="O22" s="39"/>
      <c r="P22" s="39"/>
      <c r="Q22" s="39"/>
      <c r="R22" s="39"/>
      <c r="S22" s="39"/>
      <c r="T22" s="39"/>
      <c r="U22" s="39"/>
      <c r="V22" s="39"/>
      <c r="W22" s="39"/>
      <c r="X22" s="39"/>
      <c r="Y22" s="39"/>
      <c r="Z22" s="39"/>
      <c r="AA22" s="39"/>
      <c r="AB22" s="39"/>
      <c r="AC22" s="40"/>
      <c r="AD22" s="40"/>
      <c r="AE22" s="40"/>
      <c r="AF22" s="40"/>
      <c r="AG22" s="40"/>
      <c r="AH22" s="40"/>
      <c r="AI22" s="40"/>
      <c r="AJ22" s="40"/>
      <c r="AK22" s="40"/>
      <c r="AL22" s="40"/>
      <c r="AM22" s="40"/>
      <c r="AN22" s="40"/>
      <c r="AO22" s="40"/>
    </row>
    <row r="23" spans="3:41">
      <c r="E23" s="1"/>
      <c r="F23" s="39"/>
      <c r="G23" s="39"/>
      <c r="H23" s="39"/>
      <c r="I23" s="39"/>
      <c r="J23" s="39"/>
      <c r="K23" s="39"/>
      <c r="L23" s="39"/>
      <c r="M23" s="39"/>
      <c r="N23" s="39"/>
      <c r="O23" s="39"/>
      <c r="P23" s="39"/>
      <c r="Q23" s="39"/>
      <c r="R23" s="39"/>
      <c r="S23" s="39"/>
      <c r="T23" s="39"/>
      <c r="U23" s="39"/>
      <c r="V23" s="39"/>
      <c r="W23" s="39"/>
      <c r="X23" s="39"/>
      <c r="Y23" s="39"/>
      <c r="Z23" s="39"/>
      <c r="AA23" s="39"/>
      <c r="AB23" s="39"/>
      <c r="AC23" s="40"/>
      <c r="AD23" s="40"/>
      <c r="AE23" s="40"/>
      <c r="AF23" s="40"/>
      <c r="AG23" s="40"/>
      <c r="AH23" s="40"/>
      <c r="AI23" s="40"/>
      <c r="AJ23" s="40"/>
      <c r="AK23" s="40"/>
      <c r="AL23" s="40"/>
      <c r="AM23" s="40"/>
      <c r="AN23" s="40"/>
      <c r="AO23" s="40"/>
    </row>
    <row r="24" spans="3:41">
      <c r="E24" s="1"/>
      <c r="F24" s="39"/>
      <c r="G24" s="39"/>
      <c r="H24" s="39"/>
      <c r="I24" s="39"/>
      <c r="J24" s="39"/>
      <c r="K24" s="39"/>
      <c r="L24" s="39"/>
      <c r="M24" s="39"/>
      <c r="N24" s="39"/>
      <c r="O24" s="39"/>
      <c r="P24" s="39"/>
      <c r="Q24" s="39"/>
      <c r="R24" s="39"/>
      <c r="S24" s="39"/>
      <c r="T24" s="39"/>
      <c r="U24" s="39"/>
      <c r="V24" s="39"/>
      <c r="W24" s="39"/>
      <c r="X24" s="39"/>
      <c r="Y24" s="39"/>
      <c r="Z24" s="39"/>
      <c r="AA24" s="39"/>
      <c r="AB24" s="39"/>
      <c r="AC24" s="40"/>
      <c r="AD24" s="40"/>
      <c r="AE24" s="40"/>
      <c r="AF24" s="40"/>
      <c r="AG24" s="40"/>
      <c r="AH24" s="40"/>
      <c r="AI24" s="40"/>
      <c r="AJ24" s="40"/>
      <c r="AK24" s="40"/>
      <c r="AL24" s="40"/>
      <c r="AM24" s="40"/>
      <c r="AN24" s="40"/>
      <c r="AO24" s="40"/>
    </row>
    <row r="25" spans="3:41">
      <c r="E25" s="1"/>
      <c r="F25" s="21"/>
      <c r="G25" s="21"/>
      <c r="H25" s="21"/>
      <c r="I25" s="21"/>
      <c r="J25" s="21"/>
      <c r="K25" s="21"/>
      <c r="L25" s="21"/>
      <c r="M25" s="21"/>
      <c r="N25" s="21"/>
      <c r="O25" s="21"/>
      <c r="P25" s="21"/>
      <c r="Q25" s="21"/>
      <c r="R25" s="21"/>
      <c r="S25" s="21"/>
      <c r="T25" s="21"/>
      <c r="U25" s="21"/>
      <c r="V25" s="21"/>
      <c r="W25" s="21"/>
      <c r="X25" s="21"/>
      <c r="Y25" s="21"/>
      <c r="Z25" s="21"/>
      <c r="AA25" s="21"/>
    </row>
    <row r="26" spans="3:41">
      <c r="E26" s="1"/>
      <c r="F26" s="21"/>
      <c r="G26" s="21"/>
      <c r="H26" s="21"/>
      <c r="I26" s="21"/>
      <c r="J26" s="21"/>
      <c r="K26" s="21"/>
      <c r="L26" s="21"/>
      <c r="M26" s="21"/>
      <c r="N26" s="21"/>
      <c r="O26" s="21"/>
      <c r="P26" s="21"/>
      <c r="Q26" s="21"/>
      <c r="R26" s="21"/>
      <c r="S26" s="21"/>
      <c r="T26" s="21"/>
      <c r="U26" s="21"/>
      <c r="V26" s="21"/>
      <c r="W26" s="21"/>
      <c r="X26" s="21"/>
      <c r="Y26" s="21"/>
      <c r="Z26" s="21"/>
      <c r="AA26" s="21"/>
    </row>
    <row r="27" spans="3:41">
      <c r="E27" s="1"/>
      <c r="F27" s="21"/>
      <c r="G27" s="21"/>
      <c r="H27" s="21"/>
      <c r="I27" s="21"/>
      <c r="J27" s="21"/>
      <c r="K27" s="21"/>
      <c r="L27" s="21"/>
      <c r="M27" s="21"/>
      <c r="N27" s="21"/>
      <c r="O27" s="21"/>
      <c r="P27" s="21"/>
      <c r="Q27" s="21"/>
      <c r="R27" s="21"/>
      <c r="S27" s="21"/>
      <c r="T27" s="21"/>
      <c r="U27" s="21"/>
      <c r="V27" s="21"/>
      <c r="W27" s="21"/>
      <c r="X27" s="21"/>
      <c r="Y27" s="21"/>
      <c r="Z27" s="21"/>
      <c r="AA27" s="21"/>
    </row>
    <row r="28" spans="3:41">
      <c r="E28" s="1"/>
      <c r="F28" s="21"/>
      <c r="G28" s="21"/>
      <c r="H28" s="21"/>
      <c r="I28" s="21"/>
      <c r="J28" s="21"/>
      <c r="K28" s="21"/>
      <c r="L28" s="21"/>
      <c r="M28" s="21"/>
      <c r="N28" s="21"/>
      <c r="O28" s="21"/>
      <c r="P28" s="21"/>
      <c r="Q28" s="21"/>
      <c r="R28" s="21"/>
      <c r="S28" s="21"/>
      <c r="T28" s="21"/>
      <c r="U28" s="21"/>
      <c r="V28" s="21"/>
      <c r="W28" s="21"/>
      <c r="X28" s="21"/>
      <c r="Y28" s="21"/>
      <c r="Z28" s="21"/>
      <c r="AA28" s="21"/>
    </row>
    <row r="29" spans="3:41">
      <c r="E29" s="1"/>
      <c r="F29" s="21"/>
      <c r="G29" s="21"/>
      <c r="H29" s="21"/>
      <c r="I29" s="21"/>
      <c r="J29" s="21"/>
      <c r="K29" s="21"/>
      <c r="L29" s="21"/>
      <c r="M29" s="21"/>
      <c r="N29" s="21"/>
      <c r="O29" s="21"/>
      <c r="P29" s="21"/>
      <c r="Q29" s="21"/>
      <c r="R29" s="21"/>
      <c r="S29" s="21"/>
      <c r="T29" s="21"/>
      <c r="U29" s="21"/>
      <c r="V29" s="21"/>
      <c r="W29" s="21"/>
      <c r="X29" s="21"/>
      <c r="Y29" s="21"/>
      <c r="Z29" s="21"/>
      <c r="AA29" s="21"/>
    </row>
    <row r="30" spans="3:41">
      <c r="E30" s="1"/>
      <c r="F30" s="21"/>
      <c r="G30" s="21"/>
      <c r="H30" s="21"/>
      <c r="I30" s="21"/>
      <c r="J30" s="21"/>
      <c r="K30" s="21"/>
      <c r="L30" s="21"/>
      <c r="M30" s="21"/>
      <c r="N30" s="21"/>
      <c r="O30" s="21"/>
      <c r="P30" s="21"/>
      <c r="Q30" s="21"/>
      <c r="R30" s="21"/>
      <c r="S30" s="21"/>
      <c r="T30" s="21"/>
      <c r="U30" s="21"/>
      <c r="V30" s="21"/>
      <c r="W30" s="21"/>
      <c r="X30" s="21"/>
      <c r="Y30" s="21"/>
      <c r="Z30" s="21"/>
      <c r="AA30" s="21"/>
    </row>
    <row r="31" spans="3:41">
      <c r="E31" s="1"/>
      <c r="F31" s="21"/>
      <c r="G31" s="21"/>
      <c r="H31" s="21"/>
      <c r="I31" s="21"/>
      <c r="J31" s="21"/>
      <c r="K31" s="21"/>
      <c r="L31" s="21"/>
      <c r="M31" s="21"/>
      <c r="N31" s="21"/>
      <c r="O31" s="21"/>
      <c r="P31" s="21"/>
      <c r="Q31" s="21"/>
      <c r="R31" s="21"/>
      <c r="S31" s="21"/>
      <c r="T31" s="21"/>
      <c r="U31" s="21"/>
      <c r="V31" s="21"/>
      <c r="W31" s="21"/>
      <c r="X31" s="21"/>
      <c r="Y31" s="21"/>
      <c r="Z31" s="21"/>
      <c r="AA31" s="21"/>
    </row>
    <row r="32" spans="3:41">
      <c r="E32" s="1"/>
      <c r="F32" s="21"/>
      <c r="G32" s="21"/>
      <c r="H32" s="21"/>
      <c r="I32" s="21"/>
      <c r="J32" s="21"/>
      <c r="K32" s="21"/>
      <c r="L32" s="21"/>
      <c r="M32" s="21"/>
      <c r="N32" s="21"/>
      <c r="O32" s="21"/>
      <c r="P32" s="21"/>
      <c r="Q32" s="21"/>
      <c r="R32" s="21"/>
      <c r="S32" s="21"/>
      <c r="T32" s="21"/>
      <c r="U32" s="21"/>
      <c r="V32" s="21"/>
      <c r="W32" s="21"/>
      <c r="X32" s="21"/>
      <c r="Y32" s="21"/>
      <c r="Z32" s="21"/>
      <c r="AA32" s="21"/>
    </row>
    <row r="33" spans="5:27">
      <c r="E33" s="147"/>
      <c r="F33" s="21"/>
      <c r="G33" s="21"/>
      <c r="H33" s="21"/>
      <c r="I33" s="21"/>
      <c r="J33" s="21"/>
      <c r="K33" s="21"/>
      <c r="L33" s="21"/>
      <c r="M33" s="21"/>
      <c r="N33" s="21"/>
      <c r="O33" s="21"/>
      <c r="P33" s="21"/>
      <c r="Q33" s="21"/>
      <c r="R33" s="21"/>
      <c r="S33" s="21"/>
      <c r="T33" s="21"/>
      <c r="U33" s="21"/>
      <c r="V33" s="21"/>
      <c r="W33" s="21"/>
      <c r="X33" s="21"/>
      <c r="Y33" s="21"/>
      <c r="Z33" s="21"/>
      <c r="AA33" s="21"/>
    </row>
    <row r="34" spans="5:27">
      <c r="E34" s="1"/>
      <c r="F34" s="21"/>
      <c r="G34" s="21"/>
      <c r="H34" s="21"/>
      <c r="I34" s="21"/>
      <c r="J34" s="21"/>
      <c r="K34" s="21"/>
      <c r="L34" s="21"/>
      <c r="M34" s="21"/>
      <c r="N34" s="21"/>
      <c r="O34" s="21"/>
      <c r="P34" s="21"/>
      <c r="Q34" s="21"/>
      <c r="R34" s="21"/>
      <c r="S34" s="21"/>
      <c r="T34" s="21"/>
      <c r="U34" s="21"/>
      <c r="V34" s="21"/>
      <c r="W34" s="21"/>
      <c r="X34" s="21"/>
      <c r="Y34" s="21"/>
      <c r="Z34" s="21"/>
      <c r="AA34" s="21"/>
    </row>
    <row r="35" spans="5:27">
      <c r="E35" s="1"/>
      <c r="F35" s="21"/>
      <c r="G35" s="21"/>
      <c r="H35" s="21"/>
      <c r="I35" s="21"/>
      <c r="J35" s="21"/>
      <c r="K35" s="21"/>
      <c r="L35" s="21"/>
      <c r="M35" s="21"/>
      <c r="N35" s="21"/>
      <c r="O35" s="21"/>
      <c r="P35" s="21"/>
      <c r="Q35" s="21"/>
      <c r="R35" s="21"/>
      <c r="S35" s="21"/>
      <c r="T35" s="21"/>
      <c r="U35" s="21"/>
      <c r="V35" s="21"/>
      <c r="W35" s="21"/>
      <c r="X35" s="21"/>
      <c r="Y35" s="21"/>
      <c r="Z35" s="21"/>
      <c r="AA35" s="21"/>
    </row>
    <row r="36" spans="5:27">
      <c r="E36" s="1"/>
      <c r="F36" s="21"/>
      <c r="G36" s="21"/>
      <c r="H36" s="21"/>
      <c r="I36" s="21"/>
      <c r="J36" s="21"/>
      <c r="K36" s="21"/>
      <c r="L36" s="21"/>
      <c r="M36" s="21"/>
      <c r="N36" s="21"/>
      <c r="O36" s="21"/>
      <c r="P36" s="21"/>
      <c r="Q36" s="21"/>
      <c r="R36" s="21"/>
      <c r="S36" s="21"/>
      <c r="T36" s="21"/>
      <c r="U36" s="21"/>
      <c r="V36" s="21"/>
      <c r="W36" s="21"/>
      <c r="X36" s="21"/>
      <c r="Y36" s="21"/>
      <c r="Z36" s="21"/>
      <c r="AA36" s="21"/>
    </row>
    <row r="37" spans="5:27">
      <c r="E37" s="1"/>
      <c r="F37" s="21"/>
      <c r="G37" s="21"/>
      <c r="H37" s="21"/>
      <c r="I37" s="21"/>
      <c r="J37" s="21"/>
      <c r="K37" s="21"/>
      <c r="L37" s="21"/>
      <c r="M37" s="21"/>
      <c r="N37" s="21"/>
      <c r="O37" s="21"/>
      <c r="P37" s="21"/>
      <c r="Q37" s="21"/>
      <c r="R37" s="21"/>
      <c r="S37" s="21"/>
      <c r="T37" s="21"/>
      <c r="U37" s="21"/>
      <c r="V37" s="21"/>
      <c r="W37" s="21"/>
      <c r="X37" s="21"/>
      <c r="Y37" s="21"/>
      <c r="Z37" s="21"/>
      <c r="AA37" s="21"/>
    </row>
    <row r="38" spans="5:27">
      <c r="E38"/>
      <c r="F38" s="21"/>
      <c r="G38" s="21"/>
      <c r="H38" s="21"/>
      <c r="I38" s="21"/>
      <c r="J38" s="21"/>
      <c r="K38" s="21"/>
      <c r="L38" s="21"/>
      <c r="M38" s="21"/>
      <c r="N38" s="21"/>
      <c r="O38" s="21"/>
      <c r="P38" s="21"/>
      <c r="Q38" s="21"/>
      <c r="R38" s="21"/>
      <c r="S38" s="21"/>
      <c r="T38" s="21"/>
      <c r="U38" s="21"/>
      <c r="V38" s="21"/>
      <c r="W38" s="21"/>
      <c r="X38" s="21"/>
      <c r="Y38" s="21"/>
      <c r="Z38" s="21"/>
      <c r="AA38" s="21"/>
    </row>
    <row r="39" spans="5:27">
      <c r="E39"/>
      <c r="F39" s="21"/>
      <c r="G39" s="21"/>
      <c r="H39" s="21"/>
      <c r="I39" s="21"/>
      <c r="J39" s="21"/>
      <c r="K39" s="21"/>
      <c r="L39" s="21"/>
      <c r="M39" s="21"/>
      <c r="N39" s="21"/>
      <c r="O39" s="21"/>
      <c r="P39" s="21"/>
      <c r="Q39" s="21"/>
      <c r="R39" s="21"/>
      <c r="S39" s="21"/>
      <c r="T39" s="21"/>
      <c r="U39" s="21"/>
      <c r="V39" s="21"/>
      <c r="W39" s="21"/>
      <c r="X39" s="21"/>
      <c r="Y39" s="21"/>
      <c r="Z39" s="21"/>
      <c r="AA39" s="21"/>
    </row>
    <row r="40" spans="5:27">
      <c r="E40"/>
      <c r="F40" s="21"/>
      <c r="G40" s="21"/>
      <c r="H40" s="21"/>
      <c r="I40" s="21"/>
      <c r="J40" s="21"/>
      <c r="K40" s="21"/>
      <c r="L40" s="21"/>
      <c r="M40" s="21"/>
      <c r="N40" s="21"/>
      <c r="O40" s="21"/>
      <c r="P40" s="21"/>
      <c r="Q40" s="21"/>
      <c r="R40" s="21"/>
      <c r="S40" s="21"/>
      <c r="T40" s="21"/>
      <c r="U40" s="21"/>
      <c r="V40" s="21"/>
      <c r="W40" s="21"/>
      <c r="X40" s="21"/>
      <c r="Y40" s="21"/>
      <c r="Z40" s="21"/>
      <c r="AA40" s="21"/>
    </row>
    <row r="41" spans="5:27">
      <c r="E41"/>
      <c r="F41" s="21"/>
      <c r="G41" s="21"/>
      <c r="H41" s="21"/>
      <c r="I41" s="21"/>
      <c r="J41" s="21"/>
      <c r="K41" s="21"/>
      <c r="L41" s="21"/>
      <c r="M41" s="21"/>
      <c r="N41" s="21"/>
      <c r="O41" s="21"/>
      <c r="P41" s="21"/>
      <c r="Q41" s="21"/>
      <c r="R41" s="21"/>
      <c r="S41" s="21"/>
      <c r="T41" s="21"/>
      <c r="U41" s="21"/>
      <c r="V41" s="21"/>
      <c r="W41" s="21"/>
      <c r="X41" s="21"/>
      <c r="Y41" s="21"/>
      <c r="Z41" s="21"/>
      <c r="AA41" s="21"/>
    </row>
    <row r="42" spans="5:27">
      <c r="E42"/>
      <c r="F42" s="21"/>
      <c r="G42" s="21"/>
      <c r="H42" s="21"/>
      <c r="I42" s="21"/>
      <c r="J42" s="21"/>
      <c r="K42" s="21"/>
      <c r="L42" s="21"/>
      <c r="M42" s="21"/>
      <c r="N42" s="21"/>
      <c r="O42" s="21"/>
      <c r="P42" s="21"/>
      <c r="Q42" s="21"/>
      <c r="R42" s="21"/>
      <c r="S42" s="21"/>
      <c r="T42" s="21"/>
      <c r="U42" s="21"/>
      <c r="V42" s="21"/>
      <c r="W42" s="21"/>
      <c r="X42" s="21"/>
      <c r="Y42" s="21"/>
      <c r="Z42" s="21"/>
      <c r="AA42" s="21"/>
    </row>
    <row r="43" spans="5:27">
      <c r="E43"/>
      <c r="F43" s="21"/>
      <c r="G43" s="21"/>
      <c r="H43" s="21"/>
      <c r="I43" s="21"/>
      <c r="J43" s="21"/>
      <c r="K43" s="21"/>
      <c r="L43" s="21"/>
      <c r="M43" s="21"/>
      <c r="N43" s="21"/>
      <c r="O43" s="21"/>
      <c r="P43" s="21"/>
      <c r="Q43" s="21"/>
      <c r="R43" s="21"/>
      <c r="S43" s="21"/>
      <c r="T43" s="21"/>
      <c r="U43" s="21"/>
      <c r="V43" s="21"/>
      <c r="W43" s="21"/>
      <c r="X43" s="21"/>
      <c r="Y43" s="21"/>
      <c r="Z43" s="21"/>
      <c r="AA43" s="21"/>
    </row>
    <row r="44" spans="5:27">
      <c r="E44"/>
    </row>
    <row r="45" spans="5:27">
      <c r="E45"/>
    </row>
    <row r="46" spans="5:27">
      <c r="E46"/>
    </row>
    <row r="47" spans="5:27">
      <c r="E47"/>
    </row>
    <row r="48" spans="5:27">
      <c r="E48"/>
    </row>
    <row r="49" spans="5:5">
      <c r="E49"/>
    </row>
    <row r="50" spans="5:5">
      <c r="E50"/>
    </row>
    <row r="51" spans="5:5">
      <c r="E51"/>
    </row>
    <row r="52" spans="5:5">
      <c r="E52"/>
    </row>
    <row r="53" spans="5:5">
      <c r="E53"/>
    </row>
    <row r="54" spans="5:5">
      <c r="E54"/>
    </row>
    <row r="55" spans="5:5">
      <c r="E55"/>
    </row>
    <row r="56" spans="5:5">
      <c r="E56"/>
    </row>
    <row r="57" spans="5:5">
      <c r="E57"/>
    </row>
    <row r="58" spans="5:5">
      <c r="E58"/>
    </row>
    <row r="59" spans="5:5">
      <c r="E59"/>
    </row>
    <row r="60" spans="5:5">
      <c r="E60"/>
    </row>
    <row r="61" spans="5:5">
      <c r="E61"/>
    </row>
    <row r="62" spans="5:5">
      <c r="E62"/>
    </row>
    <row r="63" spans="5:5">
      <c r="E63"/>
    </row>
    <row r="64" spans="5:5">
      <c r="E64"/>
    </row>
    <row r="65" spans="5:5">
      <c r="E65"/>
    </row>
    <row r="66" spans="5:5">
      <c r="E66"/>
    </row>
    <row r="67" spans="5:5">
      <c r="E67"/>
    </row>
    <row r="68" spans="5:5">
      <c r="E68"/>
    </row>
    <row r="69" spans="5:5">
      <c r="E69"/>
    </row>
    <row r="70" spans="5:5">
      <c r="E70"/>
    </row>
    <row r="71" spans="5:5">
      <c r="E71"/>
    </row>
    <row r="72" spans="5:5">
      <c r="E72"/>
    </row>
    <row r="73" spans="5:5">
      <c r="E73"/>
    </row>
    <row r="74" spans="5:5">
      <c r="E74"/>
    </row>
    <row r="75" spans="5:5">
      <c r="E75"/>
    </row>
    <row r="76" spans="5:5">
      <c r="E76"/>
    </row>
    <row r="77" spans="5:5">
      <c r="E77"/>
    </row>
    <row r="78" spans="5:5">
      <c r="E78"/>
    </row>
    <row r="79" spans="5:5">
      <c r="E79"/>
    </row>
    <row r="80" spans="5:5">
      <c r="E80"/>
    </row>
    <row r="81" spans="5:5">
      <c r="E81"/>
    </row>
    <row r="82" spans="5:5">
      <c r="E82"/>
    </row>
    <row r="83" spans="5:5">
      <c r="E83"/>
    </row>
    <row r="84" spans="5:5">
      <c r="E84"/>
    </row>
    <row r="85" spans="5:5">
      <c r="E85"/>
    </row>
    <row r="86" spans="5:5">
      <c r="E86"/>
    </row>
    <row r="87" spans="5:5">
      <c r="E87"/>
    </row>
    <row r="88" spans="5:5">
      <c r="E88"/>
    </row>
    <row r="89" spans="5:5">
      <c r="E89"/>
    </row>
    <row r="90" spans="5:5">
      <c r="E90"/>
    </row>
    <row r="91" spans="5:5">
      <c r="E91"/>
    </row>
    <row r="92" spans="5:5">
      <c r="E92"/>
    </row>
    <row r="93" spans="5:5">
      <c r="E93"/>
    </row>
    <row r="94" spans="5:5">
      <c r="E94"/>
    </row>
    <row r="95" spans="5:5">
      <c r="E95"/>
    </row>
    <row r="96" spans="5:5">
      <c r="E96"/>
    </row>
    <row r="97" spans="5:5">
      <c r="E97"/>
    </row>
    <row r="98" spans="5:5">
      <c r="E98"/>
    </row>
    <row r="99" spans="5:5">
      <c r="E99"/>
    </row>
    <row r="100" spans="5:5">
      <c r="E100"/>
    </row>
    <row r="101" spans="5:5">
      <c r="E101"/>
    </row>
    <row r="102" spans="5:5">
      <c r="E102"/>
    </row>
    <row r="103" spans="5:5">
      <c r="E103"/>
    </row>
    <row r="104" spans="5:5">
      <c r="E104"/>
    </row>
    <row r="105" spans="5:5">
      <c r="E105"/>
    </row>
    <row r="106" spans="5:5">
      <c r="E106"/>
    </row>
    <row r="107" spans="5:5">
      <c r="E107"/>
    </row>
    <row r="108" spans="5:5">
      <c r="E108"/>
    </row>
    <row r="109" spans="5:5">
      <c r="E109"/>
    </row>
    <row r="110" spans="5:5">
      <c r="E110"/>
    </row>
    <row r="111" spans="5:5">
      <c r="E111"/>
    </row>
    <row r="112" spans="5:5">
      <c r="E112"/>
    </row>
    <row r="113" spans="5:5">
      <c r="E113"/>
    </row>
    <row r="114" spans="5:5">
      <c r="E114"/>
    </row>
    <row r="115" spans="5:5">
      <c r="E115"/>
    </row>
    <row r="116" spans="5:5">
      <c r="E116"/>
    </row>
    <row r="117" spans="5:5">
      <c r="E117"/>
    </row>
    <row r="118" spans="5:5">
      <c r="E118"/>
    </row>
    <row r="119" spans="5:5">
      <c r="E119"/>
    </row>
    <row r="120" spans="5:5">
      <c r="E120"/>
    </row>
    <row r="121" spans="5:5">
      <c r="E121"/>
    </row>
    <row r="122" spans="5:5">
      <c r="E122"/>
    </row>
    <row r="123" spans="5:5">
      <c r="E123"/>
    </row>
    <row r="124" spans="5:5">
      <c r="E124"/>
    </row>
    <row r="125" spans="5:5">
      <c r="E125"/>
    </row>
    <row r="126" spans="5:5">
      <c r="E126"/>
    </row>
    <row r="127" spans="5:5">
      <c r="E127"/>
    </row>
    <row r="128" spans="5:5">
      <c r="E128"/>
    </row>
    <row r="129" spans="5:5">
      <c r="E129"/>
    </row>
    <row r="130" spans="5:5">
      <c r="E130"/>
    </row>
    <row r="131" spans="5:5">
      <c r="E131"/>
    </row>
    <row r="132" spans="5:5">
      <c r="E132"/>
    </row>
    <row r="133" spans="5:5">
      <c r="E133"/>
    </row>
    <row r="134" spans="5:5">
      <c r="E134"/>
    </row>
    <row r="135" spans="5:5">
      <c r="E135"/>
    </row>
    <row r="136" spans="5:5">
      <c r="E136"/>
    </row>
    <row r="137" spans="5:5">
      <c r="E137"/>
    </row>
    <row r="138" spans="5:5">
      <c r="E138"/>
    </row>
    <row r="139" spans="5:5">
      <c r="E139"/>
    </row>
    <row r="140" spans="5:5">
      <c r="E140"/>
    </row>
    <row r="141" spans="5:5">
      <c r="E141"/>
    </row>
    <row r="142" spans="5:5">
      <c r="E142"/>
    </row>
    <row r="143" spans="5:5">
      <c r="E143"/>
    </row>
    <row r="144" spans="5:5">
      <c r="E144"/>
    </row>
    <row r="145" spans="5:5">
      <c r="E145"/>
    </row>
    <row r="146" spans="5:5">
      <c r="E146"/>
    </row>
    <row r="147" spans="5:5">
      <c r="E147"/>
    </row>
    <row r="148" spans="5:5">
      <c r="E148"/>
    </row>
    <row r="149" spans="5:5">
      <c r="E149"/>
    </row>
    <row r="150" spans="5:5">
      <c r="E150"/>
    </row>
    <row r="151" spans="5:5">
      <c r="E151"/>
    </row>
    <row r="152" spans="5:5">
      <c r="E152"/>
    </row>
    <row r="153" spans="5:5">
      <c r="E153"/>
    </row>
    <row r="154" spans="5:5">
      <c r="E154"/>
    </row>
  </sheetData>
  <sortState ref="E21:E37">
    <sortCondition ref="E21"/>
  </sortState>
  <phoneticPr fontId="2" type="noConversion"/>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154"/>
  <sheetViews>
    <sheetView workbookViewId="0"/>
  </sheetViews>
  <sheetFormatPr defaultColWidth="11.44140625" defaultRowHeight="13.2"/>
  <cols>
    <col min="1" max="2" width="11.44140625" style="155" customWidth="1"/>
    <col min="3" max="3" width="20" style="2" customWidth="1"/>
    <col min="4" max="4" width="15" style="2" customWidth="1"/>
    <col min="5" max="5" width="15.5546875" style="2" customWidth="1"/>
    <col min="6" max="9" width="11.44140625" style="2" customWidth="1"/>
    <col min="10" max="10" width="11.44140625" style="67" customWidth="1"/>
    <col min="11" max="11" width="11.44140625" style="2" customWidth="1"/>
    <col min="12" max="12" width="13" style="2" customWidth="1"/>
    <col min="13" max="16" width="11.44140625" style="2" customWidth="1"/>
    <col min="17" max="17" width="14.44140625" style="2" customWidth="1"/>
    <col min="18" max="24" width="11.44140625" style="2" customWidth="1"/>
    <col min="25" max="16384" width="11.44140625" style="68"/>
  </cols>
  <sheetData>
    <row r="1" spans="1:24">
      <c r="A1" s="154" t="s">
        <v>219</v>
      </c>
    </row>
    <row r="2" spans="1:24">
      <c r="A2" s="154" t="s">
        <v>220</v>
      </c>
      <c r="J2" s="46" t="s">
        <v>221</v>
      </c>
      <c r="K2" s="47"/>
      <c r="L2" s="47"/>
      <c r="M2" s="47"/>
      <c r="N2" s="69"/>
    </row>
    <row r="3" spans="1:24">
      <c r="A3" s="154"/>
      <c r="J3" s="46" t="s">
        <v>222</v>
      </c>
      <c r="K3" s="47"/>
      <c r="L3" s="47"/>
      <c r="M3" s="47"/>
      <c r="N3" s="48"/>
    </row>
    <row r="4" spans="1:24" s="52" customFormat="1">
      <c r="A4" s="156" t="s">
        <v>223</v>
      </c>
      <c r="B4" s="157"/>
      <c r="C4" s="50">
        <v>42846</v>
      </c>
      <c r="D4" s="49" t="s">
        <v>224</v>
      </c>
      <c r="E4" s="51"/>
      <c r="F4" s="51"/>
      <c r="G4" s="51"/>
      <c r="H4" s="51"/>
      <c r="J4" s="53" t="s">
        <v>225</v>
      </c>
      <c r="K4" s="60"/>
      <c r="L4" s="60"/>
      <c r="M4" s="70"/>
      <c r="N4" s="69"/>
      <c r="O4" s="51"/>
      <c r="P4" s="51"/>
      <c r="Q4" s="51"/>
      <c r="R4" s="51"/>
      <c r="S4" s="51"/>
      <c r="T4" s="51"/>
      <c r="U4" s="51"/>
      <c r="V4" s="51"/>
      <c r="W4" s="51"/>
      <c r="X4" s="51"/>
    </row>
    <row r="6" spans="1:24" ht="17.399999999999999">
      <c r="A6" s="158" t="s">
        <v>226</v>
      </c>
      <c r="Q6" s="71"/>
      <c r="R6" s="72"/>
      <c r="S6" s="72"/>
    </row>
    <row r="7" spans="1:24" ht="16.5" customHeight="1">
      <c r="A7" s="159" t="s">
        <v>227</v>
      </c>
    </row>
    <row r="8" spans="1:24" ht="16.5" customHeight="1">
      <c r="A8" s="159"/>
      <c r="B8" s="154" t="s">
        <v>228</v>
      </c>
    </row>
    <row r="9" spans="1:24" ht="16.5" customHeight="1">
      <c r="A9" s="159"/>
      <c r="B9" s="154" t="s">
        <v>273</v>
      </c>
    </row>
    <row r="10" spans="1:24" ht="16.5" customHeight="1">
      <c r="A10" s="159" t="s">
        <v>274</v>
      </c>
      <c r="Q10" s="71"/>
      <c r="R10" s="72"/>
      <c r="S10" s="72"/>
    </row>
    <row r="11" spans="1:24" s="23" customFormat="1" ht="20.25" customHeight="1">
      <c r="A11" s="159" t="s">
        <v>229</v>
      </c>
      <c r="B11" s="160"/>
      <c r="C11" s="24"/>
      <c r="D11" s="24"/>
      <c r="E11" s="24"/>
      <c r="F11" s="24"/>
      <c r="G11" s="24"/>
      <c r="H11" s="24"/>
      <c r="I11" s="24"/>
      <c r="J11" s="26"/>
      <c r="K11" s="24"/>
      <c r="L11" s="24"/>
      <c r="M11" s="24"/>
      <c r="N11" s="24"/>
      <c r="O11" s="24"/>
      <c r="P11" s="24"/>
      <c r="Q11" s="25"/>
      <c r="R11" s="27"/>
      <c r="S11" s="27"/>
      <c r="T11" s="24"/>
      <c r="U11" s="24"/>
      <c r="V11" s="24"/>
      <c r="W11" s="24"/>
      <c r="X11" s="24"/>
    </row>
    <row r="12" spans="1:24" s="32" customFormat="1" ht="19.5" customHeight="1">
      <c r="A12" s="161" t="s">
        <v>230</v>
      </c>
      <c r="B12" s="162"/>
      <c r="C12" s="28"/>
      <c r="D12" s="28"/>
      <c r="E12" s="28"/>
      <c r="F12" s="28"/>
      <c r="G12" s="28"/>
      <c r="H12" s="28"/>
      <c r="I12" s="28"/>
      <c r="J12" s="30"/>
      <c r="K12" s="28"/>
      <c r="L12" s="28"/>
      <c r="M12" s="28"/>
      <c r="N12" s="28"/>
      <c r="O12" s="28"/>
      <c r="P12" s="28"/>
      <c r="Q12" s="29"/>
      <c r="R12" s="31"/>
      <c r="S12" s="31"/>
      <c r="T12" s="28"/>
      <c r="U12" s="28"/>
      <c r="V12" s="28"/>
      <c r="W12" s="28"/>
      <c r="X12" s="28"/>
    </row>
    <row r="13" spans="1:24" s="32" customFormat="1" ht="19.5" customHeight="1">
      <c r="A13" s="161" t="s">
        <v>231</v>
      </c>
      <c r="B13" s="162"/>
      <c r="C13" s="28"/>
      <c r="D13" s="28"/>
      <c r="E13" s="28"/>
      <c r="F13" s="28"/>
      <c r="G13" s="28"/>
      <c r="H13" s="28"/>
      <c r="I13" s="28"/>
      <c r="J13" s="30"/>
      <c r="K13" s="28"/>
      <c r="L13" s="28"/>
      <c r="M13" s="28"/>
      <c r="N13" s="28"/>
      <c r="O13" s="28"/>
      <c r="P13" s="28"/>
      <c r="Q13" s="29"/>
      <c r="R13" s="31"/>
      <c r="S13" s="31"/>
      <c r="T13" s="28"/>
      <c r="U13" s="28"/>
      <c r="V13" s="28"/>
      <c r="W13" s="28"/>
      <c r="X13" s="28"/>
    </row>
    <row r="14" spans="1:24" s="32" customFormat="1" ht="19.5" customHeight="1">
      <c r="A14" s="161"/>
      <c r="B14" s="162"/>
      <c r="C14" s="28"/>
      <c r="D14" s="28"/>
      <c r="E14" s="28"/>
      <c r="F14" s="28"/>
      <c r="G14" s="28"/>
      <c r="H14" s="28"/>
      <c r="I14" s="28"/>
      <c r="J14" s="30"/>
      <c r="K14" s="28"/>
      <c r="L14" s="28"/>
      <c r="M14" s="28"/>
      <c r="N14" s="28"/>
      <c r="O14" s="28"/>
      <c r="P14" s="28"/>
      <c r="Q14" s="29"/>
      <c r="R14" s="31"/>
      <c r="S14" s="31"/>
      <c r="T14" s="28"/>
      <c r="U14" s="28"/>
      <c r="V14" s="28"/>
      <c r="W14" s="28"/>
      <c r="X14" s="28"/>
    </row>
    <row r="15" spans="1:24" s="32" customFormat="1" ht="19.5" customHeight="1">
      <c r="A15" s="162"/>
      <c r="B15" s="162"/>
      <c r="C15" s="28"/>
      <c r="D15" s="28"/>
      <c r="E15" s="28"/>
      <c r="F15" s="28"/>
      <c r="G15" s="28"/>
      <c r="H15" s="28"/>
      <c r="I15" s="28"/>
      <c r="J15" s="30"/>
      <c r="K15" s="28"/>
      <c r="L15" s="28"/>
      <c r="M15" s="28"/>
      <c r="N15" s="28"/>
      <c r="O15" s="28"/>
      <c r="P15" s="28"/>
      <c r="Q15" s="29"/>
      <c r="T15" s="28"/>
      <c r="U15" s="28"/>
      <c r="V15" s="28"/>
      <c r="W15" s="28"/>
      <c r="X15" s="28"/>
    </row>
    <row r="16" spans="1:24" s="36" customFormat="1" ht="19.5" customHeight="1">
      <c r="A16" s="163"/>
      <c r="B16" s="163"/>
      <c r="E16" s="33"/>
      <c r="F16" s="33"/>
      <c r="G16" s="33"/>
      <c r="H16" s="33"/>
      <c r="I16" s="33"/>
      <c r="J16" s="35"/>
      <c r="K16" s="33"/>
      <c r="L16" s="33"/>
      <c r="M16" s="34"/>
      <c r="N16" s="34"/>
      <c r="O16" s="34"/>
      <c r="Q16" s="54" t="s">
        <v>232</v>
      </c>
      <c r="R16" s="54" t="s">
        <v>233</v>
      </c>
      <c r="S16" s="54" t="s">
        <v>234</v>
      </c>
      <c r="T16" s="33"/>
      <c r="U16" s="33"/>
      <c r="V16" s="33"/>
      <c r="W16" s="33"/>
      <c r="X16" s="33"/>
    </row>
    <row r="17" spans="1:24" s="3" customFormat="1" ht="66">
      <c r="A17" s="164"/>
      <c r="B17" s="164"/>
      <c r="C17" s="3" t="s">
        <v>235</v>
      </c>
      <c r="D17" s="3" t="s">
        <v>236</v>
      </c>
      <c r="E17" s="3" t="s">
        <v>237</v>
      </c>
      <c r="F17" s="3" t="s">
        <v>238</v>
      </c>
      <c r="J17" s="4"/>
      <c r="M17" s="3" t="s">
        <v>239</v>
      </c>
      <c r="N17" s="55" t="s">
        <v>240</v>
      </c>
      <c r="O17" s="3" t="s">
        <v>241</v>
      </c>
      <c r="P17" s="55" t="s">
        <v>242</v>
      </c>
      <c r="Q17" s="3" t="s">
        <v>243</v>
      </c>
      <c r="R17" s="56" t="s">
        <v>244</v>
      </c>
      <c r="S17" s="56" t="s">
        <v>244</v>
      </c>
      <c r="V17" s="5" t="s">
        <v>245</v>
      </c>
    </row>
    <row r="18" spans="1:24" s="37" customFormat="1" ht="66">
      <c r="A18" s="165" t="s">
        <v>246</v>
      </c>
      <c r="B18" s="165" t="s">
        <v>247</v>
      </c>
      <c r="C18" s="37" t="s">
        <v>248</v>
      </c>
      <c r="D18" s="37" t="s">
        <v>249</v>
      </c>
      <c r="E18" s="37" t="s">
        <v>250</v>
      </c>
      <c r="F18" s="37" t="s">
        <v>251</v>
      </c>
      <c r="G18" s="37" t="s">
        <v>252</v>
      </c>
      <c r="H18" s="37" t="s">
        <v>253</v>
      </c>
      <c r="I18" s="37" t="s">
        <v>254</v>
      </c>
      <c r="J18" s="57" t="s">
        <v>255</v>
      </c>
      <c r="K18" s="37" t="s">
        <v>256</v>
      </c>
      <c r="L18" s="37" t="s">
        <v>257</v>
      </c>
      <c r="M18" s="37" t="s">
        <v>258</v>
      </c>
      <c r="N18" s="37" t="s">
        <v>259</v>
      </c>
      <c r="O18" s="37" t="s">
        <v>260</v>
      </c>
      <c r="P18" s="37" t="s">
        <v>261</v>
      </c>
      <c r="Q18" s="58" t="s">
        <v>262</v>
      </c>
      <c r="R18" s="59" t="s">
        <v>263</v>
      </c>
      <c r="S18" s="59" t="s">
        <v>264</v>
      </c>
      <c r="T18" s="37" t="s">
        <v>265</v>
      </c>
      <c r="U18" s="37" t="s">
        <v>266</v>
      </c>
      <c r="V18" s="37" t="s">
        <v>267</v>
      </c>
      <c r="W18" s="37" t="s">
        <v>268</v>
      </c>
      <c r="X18" s="37" t="s">
        <v>268</v>
      </c>
    </row>
    <row r="19" spans="1:24" s="38" customFormat="1">
      <c r="A19" s="167" t="s">
        <v>301</v>
      </c>
      <c r="B19" s="166"/>
      <c r="C19" s="176" t="s">
        <v>435</v>
      </c>
      <c r="D19" s="176" t="s">
        <v>436</v>
      </c>
      <c r="E19" s="176" t="s">
        <v>437</v>
      </c>
      <c r="F19" s="177" t="s">
        <v>272</v>
      </c>
      <c r="G19" s="177">
        <v>549</v>
      </c>
      <c r="H19" s="177">
        <v>1</v>
      </c>
      <c r="I19" s="177">
        <v>5</v>
      </c>
      <c r="J19" s="177">
        <v>11.6</v>
      </c>
      <c r="K19" s="177">
        <v>21</v>
      </c>
      <c r="L19" s="176" t="s">
        <v>570</v>
      </c>
      <c r="M19" s="177">
        <v>2018</v>
      </c>
      <c r="N19" s="177" t="s">
        <v>571</v>
      </c>
      <c r="O19" s="177">
        <v>31</v>
      </c>
      <c r="P19" s="177">
        <v>31</v>
      </c>
      <c r="Q19" s="177" t="s">
        <v>572</v>
      </c>
      <c r="R19" s="177">
        <v>-70.879000000000005</v>
      </c>
      <c r="S19" s="177">
        <v>41.197000000000003</v>
      </c>
      <c r="T19" s="177" t="s">
        <v>271</v>
      </c>
      <c r="U19" s="177">
        <v>25</v>
      </c>
      <c r="V19" s="176" t="s">
        <v>573</v>
      </c>
      <c r="W19" t="s">
        <v>574</v>
      </c>
      <c r="X19" s="148"/>
    </row>
    <row r="20" spans="1:24">
      <c r="A20" s="167" t="s">
        <v>303</v>
      </c>
      <c r="C20" s="176" t="s">
        <v>435</v>
      </c>
      <c r="D20" s="176" t="s">
        <v>438</v>
      </c>
      <c r="E20" s="176" t="s">
        <v>437</v>
      </c>
      <c r="F20" s="177" t="s">
        <v>272</v>
      </c>
      <c r="G20" s="177">
        <v>547</v>
      </c>
      <c r="H20" s="177">
        <v>1</v>
      </c>
      <c r="I20" s="177">
        <v>9</v>
      </c>
      <c r="J20" s="177">
        <v>7</v>
      </c>
      <c r="K20" s="177">
        <v>21</v>
      </c>
      <c r="L20" s="176" t="s">
        <v>570</v>
      </c>
      <c r="M20" s="177">
        <v>2018</v>
      </c>
      <c r="N20" s="177" t="s">
        <v>571</v>
      </c>
      <c r="O20" s="177">
        <v>31</v>
      </c>
      <c r="P20" s="177">
        <v>31</v>
      </c>
      <c r="Q20" s="177" t="s">
        <v>572</v>
      </c>
      <c r="R20" s="177">
        <v>-70.879000000000005</v>
      </c>
      <c r="S20" s="177">
        <v>41.197000000000003</v>
      </c>
      <c r="T20" s="177" t="s">
        <v>271</v>
      </c>
      <c r="U20" s="177">
        <v>25</v>
      </c>
      <c r="V20" s="176" t="s">
        <v>573</v>
      </c>
      <c r="W20" t="s">
        <v>574</v>
      </c>
      <c r="X20" s="148"/>
    </row>
    <row r="21" spans="1:24">
      <c r="A21" s="167" t="s">
        <v>304</v>
      </c>
      <c r="C21" s="176" t="s">
        <v>435</v>
      </c>
      <c r="D21" s="176" t="s">
        <v>439</v>
      </c>
      <c r="E21" s="176" t="s">
        <v>437</v>
      </c>
      <c r="F21" s="177" t="s">
        <v>272</v>
      </c>
      <c r="G21" s="177">
        <v>535</v>
      </c>
      <c r="H21" s="177">
        <v>1</v>
      </c>
      <c r="I21" s="177">
        <v>19</v>
      </c>
      <c r="J21" s="177">
        <v>2.7</v>
      </c>
      <c r="K21" s="177">
        <v>21</v>
      </c>
      <c r="L21" s="176" t="s">
        <v>570</v>
      </c>
      <c r="M21" s="177">
        <v>2018</v>
      </c>
      <c r="N21" s="177" t="s">
        <v>571</v>
      </c>
      <c r="O21" s="177">
        <v>31</v>
      </c>
      <c r="P21" s="177">
        <v>31</v>
      </c>
      <c r="Q21" s="177" t="s">
        <v>572</v>
      </c>
      <c r="R21" s="177">
        <v>-70.879000000000005</v>
      </c>
      <c r="S21" s="177">
        <v>41.197000000000003</v>
      </c>
      <c r="T21" s="177" t="s">
        <v>271</v>
      </c>
      <c r="U21" s="177">
        <v>25</v>
      </c>
      <c r="V21" s="176" t="s">
        <v>573</v>
      </c>
      <c r="W21" t="s">
        <v>574</v>
      </c>
      <c r="X21" s="148"/>
    </row>
    <row r="22" spans="1:24">
      <c r="A22" s="167" t="s">
        <v>305</v>
      </c>
      <c r="C22" s="176" t="s">
        <v>435</v>
      </c>
      <c r="D22" s="176" t="s">
        <v>440</v>
      </c>
      <c r="E22" s="176" t="s">
        <v>437</v>
      </c>
      <c r="F22" s="177" t="s">
        <v>272</v>
      </c>
      <c r="G22" s="177">
        <v>535</v>
      </c>
      <c r="H22" s="177">
        <v>1</v>
      </c>
      <c r="I22" s="177">
        <v>5</v>
      </c>
      <c r="J22" s="177">
        <v>11.6</v>
      </c>
      <c r="K22" s="177">
        <v>21</v>
      </c>
      <c r="L22" s="176" t="s">
        <v>570</v>
      </c>
      <c r="M22" s="177">
        <v>2018</v>
      </c>
      <c r="N22" s="177" t="s">
        <v>571</v>
      </c>
      <c r="O22" s="177">
        <v>31</v>
      </c>
      <c r="P22" s="177">
        <v>31</v>
      </c>
      <c r="Q22" s="177" t="s">
        <v>572</v>
      </c>
      <c r="R22" s="177">
        <v>-70.879000000000005</v>
      </c>
      <c r="S22" s="177">
        <v>41.197000000000003</v>
      </c>
      <c r="T22" s="177" t="s">
        <v>271</v>
      </c>
      <c r="U22" s="177">
        <v>25</v>
      </c>
      <c r="V22" s="176" t="s">
        <v>573</v>
      </c>
      <c r="W22" t="s">
        <v>574</v>
      </c>
      <c r="X22" s="148"/>
    </row>
    <row r="23" spans="1:24">
      <c r="A23" s="167" t="s">
        <v>306</v>
      </c>
      <c r="C23" s="176" t="s">
        <v>435</v>
      </c>
      <c r="D23" s="176" t="s">
        <v>441</v>
      </c>
      <c r="E23" s="176" t="s">
        <v>437</v>
      </c>
      <c r="F23" s="177" t="s">
        <v>272</v>
      </c>
      <c r="G23" s="177">
        <v>535</v>
      </c>
      <c r="H23" s="177">
        <v>1</v>
      </c>
      <c r="I23" s="177">
        <v>9</v>
      </c>
      <c r="J23" s="177">
        <v>7</v>
      </c>
      <c r="K23" s="177">
        <v>21</v>
      </c>
      <c r="L23" s="176" t="s">
        <v>570</v>
      </c>
      <c r="M23" s="177">
        <v>2018</v>
      </c>
      <c r="N23" s="177" t="s">
        <v>571</v>
      </c>
      <c r="O23" s="177">
        <v>31</v>
      </c>
      <c r="P23" s="177">
        <v>31</v>
      </c>
      <c r="Q23" s="177" t="s">
        <v>572</v>
      </c>
      <c r="R23" s="177">
        <v>-70.879000000000005</v>
      </c>
      <c r="S23" s="177">
        <v>41.197000000000003</v>
      </c>
      <c r="T23" s="177" t="s">
        <v>271</v>
      </c>
      <c r="U23" s="177">
        <v>25</v>
      </c>
      <c r="V23" s="176" t="s">
        <v>573</v>
      </c>
      <c r="W23" t="s">
        <v>574</v>
      </c>
      <c r="X23" s="148"/>
    </row>
    <row r="24" spans="1:24">
      <c r="A24" s="167" t="s">
        <v>307</v>
      </c>
      <c r="C24" s="176" t="s">
        <v>435</v>
      </c>
      <c r="D24" s="176" t="s">
        <v>442</v>
      </c>
      <c r="E24" s="176" t="s">
        <v>437</v>
      </c>
      <c r="F24" s="177" t="s">
        <v>272</v>
      </c>
      <c r="G24" s="177">
        <v>540</v>
      </c>
      <c r="H24" s="177">
        <v>1</v>
      </c>
      <c r="I24" s="177">
        <v>19</v>
      </c>
      <c r="J24" s="177">
        <v>2.7</v>
      </c>
      <c r="K24" s="177">
        <v>21</v>
      </c>
      <c r="L24" s="176" t="s">
        <v>570</v>
      </c>
      <c r="M24" s="177">
        <v>2018</v>
      </c>
      <c r="N24" s="177" t="s">
        <v>571</v>
      </c>
      <c r="O24" s="177">
        <v>31</v>
      </c>
      <c r="P24" s="177">
        <v>31</v>
      </c>
      <c r="Q24" s="177" t="s">
        <v>572</v>
      </c>
      <c r="R24" s="177">
        <v>-70.879000000000005</v>
      </c>
      <c r="S24" s="177">
        <v>41.197000000000003</v>
      </c>
      <c r="T24" s="177" t="s">
        <v>271</v>
      </c>
      <c r="U24" s="177">
        <v>25</v>
      </c>
      <c r="V24" s="176" t="s">
        <v>573</v>
      </c>
      <c r="W24" t="s">
        <v>574</v>
      </c>
      <c r="X24" s="148"/>
    </row>
    <row r="25" spans="1:24">
      <c r="A25" s="167" t="s">
        <v>308</v>
      </c>
      <c r="C25" s="176" t="s">
        <v>435</v>
      </c>
      <c r="D25" s="176" t="s">
        <v>443</v>
      </c>
      <c r="E25" s="176" t="s">
        <v>437</v>
      </c>
      <c r="F25" s="177" t="s">
        <v>269</v>
      </c>
      <c r="G25" s="177">
        <v>547</v>
      </c>
      <c r="H25" s="177">
        <v>4</v>
      </c>
      <c r="I25" s="177">
        <v>4</v>
      </c>
      <c r="J25" s="177">
        <v>29.6</v>
      </c>
      <c r="K25" s="177">
        <v>48</v>
      </c>
      <c r="L25" s="176" t="s">
        <v>570</v>
      </c>
      <c r="M25" s="177">
        <v>2018</v>
      </c>
      <c r="N25" s="177" t="s">
        <v>270</v>
      </c>
      <c r="O25" s="177">
        <v>1</v>
      </c>
      <c r="P25" s="177">
        <v>32</v>
      </c>
      <c r="Q25" s="177" t="s">
        <v>575</v>
      </c>
      <c r="R25" s="177">
        <v>-70.873000000000005</v>
      </c>
      <c r="S25" s="177">
        <v>41.021999999999998</v>
      </c>
      <c r="T25" s="177" t="s">
        <v>271</v>
      </c>
      <c r="U25" s="177">
        <v>25</v>
      </c>
      <c r="V25" s="176" t="s">
        <v>573</v>
      </c>
      <c r="W25" t="s">
        <v>576</v>
      </c>
      <c r="X25" s="149"/>
    </row>
    <row r="26" spans="1:24">
      <c r="A26" s="167" t="s">
        <v>309</v>
      </c>
      <c r="C26" s="176" t="s">
        <v>435</v>
      </c>
      <c r="D26" s="176" t="s">
        <v>444</v>
      </c>
      <c r="E26" s="176" t="s">
        <v>437</v>
      </c>
      <c r="F26" s="177" t="s">
        <v>269</v>
      </c>
      <c r="G26" s="177">
        <v>535</v>
      </c>
      <c r="H26" s="177">
        <v>4</v>
      </c>
      <c r="I26" s="177">
        <v>12</v>
      </c>
      <c r="J26" s="177">
        <v>3.5</v>
      </c>
      <c r="K26" s="177">
        <v>48</v>
      </c>
      <c r="L26" s="176" t="s">
        <v>570</v>
      </c>
      <c r="M26" s="177">
        <v>2018</v>
      </c>
      <c r="N26" s="177" t="s">
        <v>270</v>
      </c>
      <c r="O26" s="177">
        <v>1</v>
      </c>
      <c r="P26" s="177">
        <v>32</v>
      </c>
      <c r="Q26" s="177" t="s">
        <v>575</v>
      </c>
      <c r="R26" s="177">
        <v>-70.873000000000005</v>
      </c>
      <c r="S26" s="177">
        <v>41.021999999999998</v>
      </c>
      <c r="T26" s="177" t="s">
        <v>271</v>
      </c>
      <c r="U26" s="177">
        <v>25</v>
      </c>
      <c r="V26" s="176" t="s">
        <v>573</v>
      </c>
      <c r="W26" t="s">
        <v>576</v>
      </c>
      <c r="X26" s="149"/>
    </row>
    <row r="27" spans="1:24">
      <c r="A27" s="167" t="s">
        <v>310</v>
      </c>
      <c r="C27" s="176" t="s">
        <v>435</v>
      </c>
      <c r="D27" s="176" t="s">
        <v>445</v>
      </c>
      <c r="E27" s="176" t="s">
        <v>437</v>
      </c>
      <c r="F27" s="177" t="s">
        <v>269</v>
      </c>
      <c r="G27" s="177">
        <v>547</v>
      </c>
      <c r="H27" s="177">
        <v>5</v>
      </c>
      <c r="I27" s="177">
        <v>5</v>
      </c>
      <c r="J27" s="177">
        <v>30</v>
      </c>
      <c r="K27" s="177">
        <v>56</v>
      </c>
      <c r="L27" s="176" t="s">
        <v>570</v>
      </c>
      <c r="M27" s="177">
        <v>2018</v>
      </c>
      <c r="N27" s="177" t="s">
        <v>270</v>
      </c>
      <c r="O27" s="177">
        <v>1</v>
      </c>
      <c r="P27" s="177">
        <v>32</v>
      </c>
      <c r="Q27" s="177" t="s">
        <v>577</v>
      </c>
      <c r="R27" s="177">
        <v>-70.884</v>
      </c>
      <c r="S27" s="177">
        <v>40.859000000000002</v>
      </c>
      <c r="T27" s="177" t="s">
        <v>271</v>
      </c>
      <c r="U27" s="177">
        <v>25</v>
      </c>
      <c r="V27" s="176" t="s">
        <v>573</v>
      </c>
      <c r="W27" t="s">
        <v>578</v>
      </c>
      <c r="X27" s="149"/>
    </row>
    <row r="28" spans="1:24">
      <c r="A28" s="167" t="s">
        <v>311</v>
      </c>
      <c r="C28" s="176" t="s">
        <v>435</v>
      </c>
      <c r="D28" s="176" t="s">
        <v>446</v>
      </c>
      <c r="E28" s="176" t="s">
        <v>437</v>
      </c>
      <c r="F28" s="177" t="s">
        <v>269</v>
      </c>
      <c r="G28" s="177">
        <v>535</v>
      </c>
      <c r="H28" s="177">
        <v>5</v>
      </c>
      <c r="I28" s="177">
        <v>13</v>
      </c>
      <c r="J28" s="177">
        <v>3.2</v>
      </c>
      <c r="K28" s="177">
        <v>56</v>
      </c>
      <c r="L28" s="176" t="s">
        <v>570</v>
      </c>
      <c r="M28" s="177">
        <v>2018</v>
      </c>
      <c r="N28" s="177" t="s">
        <v>270</v>
      </c>
      <c r="O28" s="177">
        <v>1</v>
      </c>
      <c r="P28" s="177">
        <v>32</v>
      </c>
      <c r="Q28" s="177" t="s">
        <v>577</v>
      </c>
      <c r="R28" s="177">
        <v>-70.884</v>
      </c>
      <c r="S28" s="177">
        <v>40.859000000000002</v>
      </c>
      <c r="T28" s="177" t="s">
        <v>271</v>
      </c>
      <c r="U28" s="177">
        <v>25</v>
      </c>
      <c r="V28" s="176" t="s">
        <v>573</v>
      </c>
      <c r="W28" t="s">
        <v>578</v>
      </c>
      <c r="X28" s="149"/>
    </row>
    <row r="29" spans="1:24">
      <c r="A29" s="167" t="s">
        <v>312</v>
      </c>
      <c r="C29" s="176" t="s">
        <v>435</v>
      </c>
      <c r="D29" s="176" t="s">
        <v>447</v>
      </c>
      <c r="E29" s="176" t="s">
        <v>437</v>
      </c>
      <c r="F29" s="177" t="s">
        <v>269</v>
      </c>
      <c r="G29" s="177">
        <v>549</v>
      </c>
      <c r="H29" s="177">
        <v>8</v>
      </c>
      <c r="I29" s="177">
        <v>9</v>
      </c>
      <c r="J29" s="177">
        <v>29.6</v>
      </c>
      <c r="K29" s="177">
        <v>66</v>
      </c>
      <c r="L29" s="176" t="s">
        <v>570</v>
      </c>
      <c r="M29" s="177">
        <v>2018</v>
      </c>
      <c r="N29" s="177" t="s">
        <v>270</v>
      </c>
      <c r="O29" s="177">
        <v>1</v>
      </c>
      <c r="P29" s="177">
        <v>32</v>
      </c>
      <c r="Q29" s="177" t="s">
        <v>579</v>
      </c>
      <c r="R29" s="177">
        <v>-70.885000000000005</v>
      </c>
      <c r="S29" s="177">
        <v>40.697000000000003</v>
      </c>
      <c r="T29" s="177" t="s">
        <v>271</v>
      </c>
      <c r="U29" s="177">
        <v>25</v>
      </c>
      <c r="V29" s="176" t="s">
        <v>573</v>
      </c>
      <c r="W29" t="s">
        <v>580</v>
      </c>
      <c r="X29" s="149"/>
    </row>
    <row r="30" spans="1:24">
      <c r="A30" s="167" t="s">
        <v>313</v>
      </c>
      <c r="C30" s="176" t="s">
        <v>435</v>
      </c>
      <c r="D30" s="176" t="s">
        <v>448</v>
      </c>
      <c r="E30" s="176" t="s">
        <v>437</v>
      </c>
      <c r="F30" s="177" t="s">
        <v>269</v>
      </c>
      <c r="G30" s="177">
        <v>547</v>
      </c>
      <c r="H30" s="177">
        <v>8</v>
      </c>
      <c r="I30" s="177">
        <v>12</v>
      </c>
      <c r="J30" s="177">
        <v>14.6</v>
      </c>
      <c r="K30" s="177">
        <v>66</v>
      </c>
      <c r="L30" s="176" t="s">
        <v>570</v>
      </c>
      <c r="M30" s="177">
        <v>2018</v>
      </c>
      <c r="N30" s="177" t="s">
        <v>270</v>
      </c>
      <c r="O30" s="177">
        <v>1</v>
      </c>
      <c r="P30" s="177">
        <v>32</v>
      </c>
      <c r="Q30" s="177" t="s">
        <v>579</v>
      </c>
      <c r="R30" s="177">
        <v>-70.885000000000005</v>
      </c>
      <c r="S30" s="177">
        <v>40.697000000000003</v>
      </c>
      <c r="T30" s="177" t="s">
        <v>271</v>
      </c>
      <c r="U30" s="177">
        <v>25</v>
      </c>
      <c r="V30" s="176" t="s">
        <v>573</v>
      </c>
      <c r="W30" t="s">
        <v>580</v>
      </c>
      <c r="X30" s="149"/>
    </row>
    <row r="31" spans="1:24">
      <c r="A31" s="167" t="s">
        <v>314</v>
      </c>
      <c r="C31" s="176" t="s">
        <v>435</v>
      </c>
      <c r="D31" s="176" t="s">
        <v>449</v>
      </c>
      <c r="E31" s="176" t="s">
        <v>437</v>
      </c>
      <c r="F31" s="177" t="s">
        <v>269</v>
      </c>
      <c r="G31" s="177">
        <v>535</v>
      </c>
      <c r="H31" s="177">
        <v>8</v>
      </c>
      <c r="I31" s="177">
        <v>16</v>
      </c>
      <c r="J31" s="177">
        <v>5.4</v>
      </c>
      <c r="K31" s="177">
        <v>66</v>
      </c>
      <c r="L31" s="176" t="s">
        <v>570</v>
      </c>
      <c r="M31" s="177">
        <v>2018</v>
      </c>
      <c r="N31" s="177" t="s">
        <v>270</v>
      </c>
      <c r="O31" s="177">
        <v>1</v>
      </c>
      <c r="P31" s="177">
        <v>32</v>
      </c>
      <c r="Q31" s="177" t="s">
        <v>579</v>
      </c>
      <c r="R31" s="177">
        <v>-70.885000000000005</v>
      </c>
      <c r="S31" s="177">
        <v>40.697000000000003</v>
      </c>
      <c r="T31" s="177" t="s">
        <v>271</v>
      </c>
      <c r="U31" s="177">
        <v>25</v>
      </c>
      <c r="V31" s="176" t="s">
        <v>573</v>
      </c>
      <c r="W31" t="s">
        <v>580</v>
      </c>
      <c r="X31" s="149"/>
    </row>
    <row r="32" spans="1:24">
      <c r="A32" s="167" t="s">
        <v>315</v>
      </c>
      <c r="C32" s="176" t="s">
        <v>435</v>
      </c>
      <c r="D32" s="176" t="s">
        <v>450</v>
      </c>
      <c r="E32" s="176" t="s">
        <v>437</v>
      </c>
      <c r="F32" s="177" t="s">
        <v>269</v>
      </c>
      <c r="G32" s="177">
        <v>549</v>
      </c>
      <c r="H32" s="177">
        <v>9</v>
      </c>
      <c r="I32" s="177">
        <v>9</v>
      </c>
      <c r="J32" s="177">
        <v>30</v>
      </c>
      <c r="K32" s="177">
        <v>76</v>
      </c>
      <c r="L32" s="176" t="s">
        <v>570</v>
      </c>
      <c r="M32" s="177">
        <v>2018</v>
      </c>
      <c r="N32" s="177" t="s">
        <v>270</v>
      </c>
      <c r="O32" s="177">
        <v>1</v>
      </c>
      <c r="P32" s="177">
        <v>32</v>
      </c>
      <c r="Q32" s="177" t="s">
        <v>581</v>
      </c>
      <c r="R32" s="177">
        <v>-70.893000000000001</v>
      </c>
      <c r="S32" s="177">
        <v>40.524000000000001</v>
      </c>
      <c r="T32" s="177" t="s">
        <v>271</v>
      </c>
      <c r="U32" s="177">
        <v>25</v>
      </c>
      <c r="V32" s="176" t="s">
        <v>573</v>
      </c>
      <c r="W32" t="s">
        <v>582</v>
      </c>
      <c r="X32" s="149"/>
    </row>
    <row r="33" spans="1:24">
      <c r="A33" s="167" t="s">
        <v>316</v>
      </c>
      <c r="C33" s="176" t="s">
        <v>435</v>
      </c>
      <c r="D33" s="176" t="s">
        <v>451</v>
      </c>
      <c r="E33" s="176" t="s">
        <v>437</v>
      </c>
      <c r="F33" s="177" t="s">
        <v>269</v>
      </c>
      <c r="G33" s="177">
        <v>535</v>
      </c>
      <c r="H33" s="177">
        <v>9</v>
      </c>
      <c r="I33" s="177">
        <v>16</v>
      </c>
      <c r="J33" s="177">
        <v>4</v>
      </c>
      <c r="K33" s="177">
        <v>76</v>
      </c>
      <c r="L33" s="176" t="s">
        <v>570</v>
      </c>
      <c r="M33" s="177">
        <v>2018</v>
      </c>
      <c r="N33" s="177" t="s">
        <v>270</v>
      </c>
      <c r="O33" s="177">
        <v>1</v>
      </c>
      <c r="P33" s="177">
        <v>32</v>
      </c>
      <c r="Q33" s="177" t="s">
        <v>581</v>
      </c>
      <c r="R33" s="177">
        <v>-70.893000000000001</v>
      </c>
      <c r="S33" s="177">
        <v>40.524000000000001</v>
      </c>
      <c r="T33" s="177" t="s">
        <v>271</v>
      </c>
      <c r="U33" s="177">
        <v>25</v>
      </c>
      <c r="V33" s="176" t="s">
        <v>573</v>
      </c>
      <c r="W33" t="s">
        <v>582</v>
      </c>
      <c r="X33" s="149"/>
    </row>
    <row r="34" spans="1:24">
      <c r="A34" s="167" t="s">
        <v>317</v>
      </c>
      <c r="C34" s="176" t="s">
        <v>435</v>
      </c>
      <c r="D34" s="176" t="s">
        <v>452</v>
      </c>
      <c r="E34" s="176" t="s">
        <v>437</v>
      </c>
      <c r="F34" s="177" t="s">
        <v>269</v>
      </c>
      <c r="G34" s="177">
        <v>549</v>
      </c>
      <c r="H34" s="177">
        <v>12</v>
      </c>
      <c r="I34" s="177">
        <v>8</v>
      </c>
      <c r="J34" s="177">
        <v>54.6</v>
      </c>
      <c r="K34" s="177">
        <v>96</v>
      </c>
      <c r="L34" s="176" t="s">
        <v>570</v>
      </c>
      <c r="M34" s="177">
        <v>2018</v>
      </c>
      <c r="N34" s="177" t="s">
        <v>270</v>
      </c>
      <c r="O34" s="177">
        <v>2</v>
      </c>
      <c r="P34" s="177">
        <v>33</v>
      </c>
      <c r="Q34" s="177" t="s">
        <v>583</v>
      </c>
      <c r="R34" s="177">
        <v>-70.879000000000005</v>
      </c>
      <c r="S34" s="177">
        <v>40.359000000000002</v>
      </c>
      <c r="T34" s="177" t="s">
        <v>271</v>
      </c>
      <c r="U34" s="177">
        <v>25</v>
      </c>
      <c r="V34" s="176" t="s">
        <v>573</v>
      </c>
      <c r="W34" t="s">
        <v>584</v>
      </c>
      <c r="X34" s="149"/>
    </row>
    <row r="35" spans="1:24">
      <c r="A35" s="167" t="s">
        <v>318</v>
      </c>
      <c r="C35" s="176" t="s">
        <v>435</v>
      </c>
      <c r="D35" s="176" t="s">
        <v>453</v>
      </c>
      <c r="E35" s="176" t="s">
        <v>437</v>
      </c>
      <c r="F35" s="177" t="s">
        <v>269</v>
      </c>
      <c r="G35" s="177">
        <v>547</v>
      </c>
      <c r="H35" s="177">
        <v>12</v>
      </c>
      <c r="I35" s="177">
        <v>11</v>
      </c>
      <c r="J35" s="177">
        <v>35.6</v>
      </c>
      <c r="K35" s="177">
        <v>96</v>
      </c>
      <c r="L35" s="176" t="s">
        <v>570</v>
      </c>
      <c r="M35" s="177">
        <v>2018</v>
      </c>
      <c r="N35" s="177" t="s">
        <v>270</v>
      </c>
      <c r="O35" s="177">
        <v>2</v>
      </c>
      <c r="P35" s="177">
        <v>33</v>
      </c>
      <c r="Q35" s="177" t="s">
        <v>583</v>
      </c>
      <c r="R35" s="177">
        <v>-70.879000000000005</v>
      </c>
      <c r="S35" s="177">
        <v>40.359000000000002</v>
      </c>
      <c r="T35" s="177" t="s">
        <v>271</v>
      </c>
      <c r="U35" s="177">
        <v>25</v>
      </c>
      <c r="V35" s="176" t="s">
        <v>573</v>
      </c>
      <c r="W35" t="s">
        <v>584</v>
      </c>
      <c r="X35" s="149"/>
    </row>
    <row r="36" spans="1:24">
      <c r="A36" s="167" t="s">
        <v>319</v>
      </c>
      <c r="C36" s="176" t="s">
        <v>435</v>
      </c>
      <c r="D36" s="176" t="s">
        <v>454</v>
      </c>
      <c r="E36" s="176" t="s">
        <v>437</v>
      </c>
      <c r="F36" s="177" t="s">
        <v>269</v>
      </c>
      <c r="G36" s="177">
        <v>535</v>
      </c>
      <c r="H36" s="177">
        <v>12</v>
      </c>
      <c r="I36" s="177">
        <v>18</v>
      </c>
      <c r="J36" s="177">
        <v>4.8</v>
      </c>
      <c r="K36" s="177">
        <v>96</v>
      </c>
      <c r="L36" s="176" t="s">
        <v>570</v>
      </c>
      <c r="M36" s="177">
        <v>2018</v>
      </c>
      <c r="N36" s="177" t="s">
        <v>270</v>
      </c>
      <c r="O36" s="177">
        <v>2</v>
      </c>
      <c r="P36" s="177">
        <v>33</v>
      </c>
      <c r="Q36" s="177" t="s">
        <v>583</v>
      </c>
      <c r="R36" s="177">
        <v>-70.879000000000005</v>
      </c>
      <c r="S36" s="177">
        <v>40.359000000000002</v>
      </c>
      <c r="T36" s="177" t="s">
        <v>271</v>
      </c>
      <c r="U36" s="177">
        <v>25</v>
      </c>
      <c r="V36" s="176" t="s">
        <v>573</v>
      </c>
      <c r="W36" t="s">
        <v>584</v>
      </c>
      <c r="X36" s="149"/>
    </row>
    <row r="37" spans="1:24">
      <c r="A37" s="167" t="s">
        <v>320</v>
      </c>
      <c r="C37" s="176" t="s">
        <v>435</v>
      </c>
      <c r="D37" s="176" t="s">
        <v>455</v>
      </c>
      <c r="E37" s="176" t="s">
        <v>437</v>
      </c>
      <c r="F37" s="177" t="s">
        <v>269</v>
      </c>
      <c r="G37" s="177">
        <v>1055</v>
      </c>
      <c r="H37" s="177">
        <v>14</v>
      </c>
      <c r="I37" s="177">
        <v>13</v>
      </c>
      <c r="J37" s="177">
        <v>67.099999999999994</v>
      </c>
      <c r="K37" s="177">
        <v>129</v>
      </c>
      <c r="L37" s="176" t="s">
        <v>570</v>
      </c>
      <c r="M37" s="177">
        <v>2018</v>
      </c>
      <c r="N37" s="177" t="s">
        <v>270</v>
      </c>
      <c r="O37" s="177">
        <v>2</v>
      </c>
      <c r="P37" s="177">
        <v>33</v>
      </c>
      <c r="Q37" s="177" t="s">
        <v>585</v>
      </c>
      <c r="R37" s="177">
        <v>-70.894000000000005</v>
      </c>
      <c r="S37" s="177">
        <v>40.215000000000003</v>
      </c>
      <c r="T37" s="177" t="s">
        <v>271</v>
      </c>
      <c r="U37" s="177">
        <v>25</v>
      </c>
      <c r="V37" s="176" t="s">
        <v>573</v>
      </c>
      <c r="W37" t="s">
        <v>586</v>
      </c>
      <c r="X37" s="149"/>
    </row>
    <row r="38" spans="1:24">
      <c r="A38" s="167" t="s">
        <v>321</v>
      </c>
      <c r="C38" s="176" t="s">
        <v>435</v>
      </c>
      <c r="D38" s="176" t="s">
        <v>456</v>
      </c>
      <c r="E38" s="176" t="s">
        <v>437</v>
      </c>
      <c r="F38" s="177" t="s">
        <v>269</v>
      </c>
      <c r="G38" s="177">
        <v>1057</v>
      </c>
      <c r="H38" s="177">
        <v>14</v>
      </c>
      <c r="I38" s="177">
        <v>22</v>
      </c>
      <c r="J38" s="177">
        <v>6.9</v>
      </c>
      <c r="K38" s="177">
        <v>129</v>
      </c>
      <c r="L38" s="176" t="s">
        <v>570</v>
      </c>
      <c r="M38" s="177">
        <v>2018</v>
      </c>
      <c r="N38" s="177" t="s">
        <v>270</v>
      </c>
      <c r="O38" s="177">
        <v>2</v>
      </c>
      <c r="P38" s="177">
        <v>33</v>
      </c>
      <c r="Q38" s="177" t="s">
        <v>585</v>
      </c>
      <c r="R38" s="177">
        <v>-70.894000000000005</v>
      </c>
      <c r="S38" s="177">
        <v>40.215000000000003</v>
      </c>
      <c r="T38" s="177" t="s">
        <v>271</v>
      </c>
      <c r="U38" s="177">
        <v>25</v>
      </c>
      <c r="V38" s="176" t="s">
        <v>573</v>
      </c>
      <c r="W38" t="s">
        <v>586</v>
      </c>
      <c r="X38" s="149"/>
    </row>
    <row r="39" spans="1:24">
      <c r="A39" s="167" t="s">
        <v>322</v>
      </c>
      <c r="C39" s="176" t="s">
        <v>435</v>
      </c>
      <c r="D39" s="176" t="s">
        <v>457</v>
      </c>
      <c r="E39" s="176" t="s">
        <v>437</v>
      </c>
      <c r="F39" s="177" t="s">
        <v>269</v>
      </c>
      <c r="G39" s="180">
        <v>1050</v>
      </c>
      <c r="H39" s="177">
        <v>15</v>
      </c>
      <c r="I39" s="177">
        <v>11</v>
      </c>
      <c r="J39" s="177">
        <v>34.200000000000003</v>
      </c>
      <c r="K39" s="177">
        <v>137</v>
      </c>
      <c r="L39" s="176" t="s">
        <v>570</v>
      </c>
      <c r="M39" s="177">
        <v>2018</v>
      </c>
      <c r="N39" s="177" t="s">
        <v>270</v>
      </c>
      <c r="O39" s="177">
        <v>2</v>
      </c>
      <c r="P39" s="177">
        <v>33</v>
      </c>
      <c r="Q39" s="177" t="s">
        <v>587</v>
      </c>
      <c r="R39" s="177">
        <v>-70.798000000000002</v>
      </c>
      <c r="S39" s="177">
        <v>40.125999999999998</v>
      </c>
      <c r="T39" s="177" t="s">
        <v>271</v>
      </c>
      <c r="U39" s="177">
        <v>25</v>
      </c>
      <c r="V39" s="176" t="s">
        <v>573</v>
      </c>
      <c r="W39" t="s">
        <v>588</v>
      </c>
      <c r="X39" s="149" t="s">
        <v>589</v>
      </c>
    </row>
    <row r="40" spans="1:24">
      <c r="A40" s="167" t="s">
        <v>323</v>
      </c>
      <c r="C40" s="176" t="s">
        <v>435</v>
      </c>
      <c r="D40" s="176" t="s">
        <v>458</v>
      </c>
      <c r="E40" s="176" t="s">
        <v>437</v>
      </c>
      <c r="F40" s="177" t="s">
        <v>269</v>
      </c>
      <c r="G40" s="177">
        <v>1060</v>
      </c>
      <c r="H40" s="177">
        <v>15</v>
      </c>
      <c r="I40" s="177">
        <v>15</v>
      </c>
      <c r="J40" s="177">
        <v>14.4</v>
      </c>
      <c r="K40" s="177">
        <v>137</v>
      </c>
      <c r="L40" s="176" t="s">
        <v>570</v>
      </c>
      <c r="M40" s="177">
        <v>2018</v>
      </c>
      <c r="N40" s="177" t="s">
        <v>270</v>
      </c>
      <c r="O40" s="177">
        <v>2</v>
      </c>
      <c r="P40" s="177">
        <v>33</v>
      </c>
      <c r="Q40" s="177" t="s">
        <v>587</v>
      </c>
      <c r="R40" s="177">
        <v>-70.798000000000002</v>
      </c>
      <c r="S40" s="177">
        <v>40.125999999999998</v>
      </c>
      <c r="T40" s="177" t="s">
        <v>271</v>
      </c>
      <c r="U40" s="177">
        <v>25</v>
      </c>
      <c r="V40" s="176" t="s">
        <v>573</v>
      </c>
      <c r="W40" t="s">
        <v>588</v>
      </c>
      <c r="X40" s="149"/>
    </row>
    <row r="41" spans="1:24">
      <c r="A41" s="167" t="s">
        <v>324</v>
      </c>
      <c r="C41" s="176" t="s">
        <v>435</v>
      </c>
      <c r="D41" s="176" t="s">
        <v>459</v>
      </c>
      <c r="E41" s="176" t="s">
        <v>437</v>
      </c>
      <c r="F41" s="177" t="s">
        <v>269</v>
      </c>
      <c r="G41" s="177">
        <v>1057</v>
      </c>
      <c r="H41" s="177">
        <v>15</v>
      </c>
      <c r="I41" s="177">
        <v>19</v>
      </c>
      <c r="J41" s="177">
        <v>6.3</v>
      </c>
      <c r="K41" s="177">
        <v>137</v>
      </c>
      <c r="L41" s="176" t="s">
        <v>570</v>
      </c>
      <c r="M41" s="177">
        <v>2018</v>
      </c>
      <c r="N41" s="177" t="s">
        <v>270</v>
      </c>
      <c r="O41" s="177">
        <v>2</v>
      </c>
      <c r="P41" s="177">
        <v>33</v>
      </c>
      <c r="Q41" s="177" t="s">
        <v>587</v>
      </c>
      <c r="R41" s="177">
        <v>-70.798000000000002</v>
      </c>
      <c r="S41" s="177">
        <v>40.125999999999998</v>
      </c>
      <c r="T41" s="177" t="s">
        <v>271</v>
      </c>
      <c r="U41" s="177">
        <v>25</v>
      </c>
      <c r="V41" s="176" t="s">
        <v>573</v>
      </c>
      <c r="W41" t="s">
        <v>588</v>
      </c>
      <c r="X41" s="149"/>
    </row>
    <row r="42" spans="1:24">
      <c r="A42" s="167" t="s">
        <v>325</v>
      </c>
      <c r="C42" s="176" t="s">
        <v>435</v>
      </c>
      <c r="D42" s="176" t="s">
        <v>460</v>
      </c>
      <c r="E42" s="176" t="s">
        <v>437</v>
      </c>
      <c r="F42" s="177" t="s">
        <v>269</v>
      </c>
      <c r="G42" s="177">
        <v>1060</v>
      </c>
      <c r="H42" s="177">
        <v>19</v>
      </c>
      <c r="I42" s="177">
        <v>11</v>
      </c>
      <c r="J42" s="177">
        <v>54.6</v>
      </c>
      <c r="K42" s="177">
        <v>1604</v>
      </c>
      <c r="L42" s="176" t="s">
        <v>570</v>
      </c>
      <c r="M42" s="177">
        <v>2018</v>
      </c>
      <c r="N42" s="177" t="s">
        <v>270</v>
      </c>
      <c r="O42" s="177">
        <v>3</v>
      </c>
      <c r="P42" s="177">
        <v>34</v>
      </c>
      <c r="Q42" s="177" t="s">
        <v>590</v>
      </c>
      <c r="R42" s="177">
        <v>-70.885999999999996</v>
      </c>
      <c r="S42" s="177">
        <v>39.768999999999998</v>
      </c>
      <c r="T42" s="177" t="s">
        <v>271</v>
      </c>
      <c r="U42" s="177">
        <v>25</v>
      </c>
      <c r="V42" s="176" t="s">
        <v>573</v>
      </c>
      <c r="W42" t="s">
        <v>591</v>
      </c>
      <c r="X42" s="149"/>
    </row>
    <row r="43" spans="1:24">
      <c r="A43" s="167" t="s">
        <v>326</v>
      </c>
      <c r="C43" s="176" t="s">
        <v>435</v>
      </c>
      <c r="D43" s="176" t="s">
        <v>461</v>
      </c>
      <c r="E43" s="176" t="s">
        <v>437</v>
      </c>
      <c r="F43" s="177" t="s">
        <v>269</v>
      </c>
      <c r="G43" s="177">
        <v>1057</v>
      </c>
      <c r="H43" s="177">
        <v>19</v>
      </c>
      <c r="I43" s="177">
        <v>18</v>
      </c>
      <c r="J43" s="177">
        <v>4.3</v>
      </c>
      <c r="K43" s="177">
        <v>1604</v>
      </c>
      <c r="L43" s="176" t="s">
        <v>570</v>
      </c>
      <c r="M43" s="177">
        <v>2018</v>
      </c>
      <c r="N43" s="177" t="s">
        <v>270</v>
      </c>
      <c r="O43" s="177">
        <v>3</v>
      </c>
      <c r="P43" s="177">
        <v>34</v>
      </c>
      <c r="Q43" s="177" t="s">
        <v>590</v>
      </c>
      <c r="R43" s="177">
        <v>-70.885999999999996</v>
      </c>
      <c r="S43" s="177">
        <v>39.768999999999998</v>
      </c>
      <c r="T43" s="177" t="s">
        <v>271</v>
      </c>
      <c r="U43" s="177">
        <v>25</v>
      </c>
      <c r="V43" s="176" t="s">
        <v>573</v>
      </c>
      <c r="W43" t="s">
        <v>591</v>
      </c>
      <c r="X43" s="149"/>
    </row>
    <row r="44" spans="1:24">
      <c r="A44" s="167" t="s">
        <v>327</v>
      </c>
      <c r="C44" s="181" t="s">
        <v>435</v>
      </c>
      <c r="D44" s="181" t="s">
        <v>462</v>
      </c>
      <c r="E44" s="181" t="s">
        <v>437</v>
      </c>
      <c r="F44" s="182" t="s">
        <v>269</v>
      </c>
      <c r="G44" s="182">
        <v>1055</v>
      </c>
      <c r="H44" s="182">
        <v>21</v>
      </c>
      <c r="I44" s="182">
        <v>9</v>
      </c>
      <c r="J44" s="182">
        <v>99.5</v>
      </c>
      <c r="K44" s="182">
        <v>462</v>
      </c>
      <c r="L44" s="181" t="s">
        <v>570</v>
      </c>
      <c r="M44" s="182">
        <v>2018</v>
      </c>
      <c r="N44" s="182" t="s">
        <v>270</v>
      </c>
      <c r="O44" s="182">
        <v>3</v>
      </c>
      <c r="P44" s="182">
        <v>34</v>
      </c>
      <c r="Q44" s="182" t="s">
        <v>592</v>
      </c>
      <c r="R44" s="182">
        <v>-70.888000000000005</v>
      </c>
      <c r="S44" s="182">
        <v>39.932000000000002</v>
      </c>
      <c r="T44" s="182" t="s">
        <v>271</v>
      </c>
      <c r="U44" s="182">
        <v>25</v>
      </c>
      <c r="V44" s="181" t="s">
        <v>573</v>
      </c>
      <c r="W44" s="145" t="s">
        <v>593</v>
      </c>
      <c r="X44" s="150"/>
    </row>
    <row r="45" spans="1:24">
      <c r="A45" s="167" t="s">
        <v>328</v>
      </c>
      <c r="C45" s="181" t="s">
        <v>435</v>
      </c>
      <c r="D45" s="181" t="s">
        <v>463</v>
      </c>
      <c r="E45" s="181" t="s">
        <v>437</v>
      </c>
      <c r="F45" s="182" t="s">
        <v>269</v>
      </c>
      <c r="G45" s="182">
        <v>1060</v>
      </c>
      <c r="H45" s="182">
        <v>21</v>
      </c>
      <c r="I45" s="182">
        <v>14</v>
      </c>
      <c r="J45" s="182">
        <v>30.6</v>
      </c>
      <c r="K45" s="182">
        <v>462</v>
      </c>
      <c r="L45" s="181" t="s">
        <v>570</v>
      </c>
      <c r="M45" s="182">
        <v>2018</v>
      </c>
      <c r="N45" s="182" t="s">
        <v>270</v>
      </c>
      <c r="O45" s="182">
        <v>3</v>
      </c>
      <c r="P45" s="182">
        <v>34</v>
      </c>
      <c r="Q45" s="182" t="s">
        <v>592</v>
      </c>
      <c r="R45" s="182">
        <v>-70.888000000000005</v>
      </c>
      <c r="S45" s="182">
        <v>39.932000000000002</v>
      </c>
      <c r="T45" s="182" t="s">
        <v>271</v>
      </c>
      <c r="U45" s="182">
        <v>25</v>
      </c>
      <c r="V45" s="181" t="s">
        <v>573</v>
      </c>
      <c r="W45" s="145" t="s">
        <v>593</v>
      </c>
      <c r="X45" s="150"/>
    </row>
    <row r="46" spans="1:24">
      <c r="A46" s="167" t="s">
        <v>329</v>
      </c>
      <c r="C46" s="181" t="s">
        <v>435</v>
      </c>
      <c r="D46" s="181" t="s">
        <v>464</v>
      </c>
      <c r="E46" s="181" t="s">
        <v>437</v>
      </c>
      <c r="F46" s="182" t="s">
        <v>269</v>
      </c>
      <c r="G46" s="182">
        <v>1057</v>
      </c>
      <c r="H46" s="182">
        <v>21</v>
      </c>
      <c r="I46" s="182">
        <v>19</v>
      </c>
      <c r="J46" s="182">
        <v>5.2</v>
      </c>
      <c r="K46" s="182">
        <v>462</v>
      </c>
      <c r="L46" s="181" t="s">
        <v>570</v>
      </c>
      <c r="M46" s="182">
        <v>2018</v>
      </c>
      <c r="N46" s="182" t="s">
        <v>270</v>
      </c>
      <c r="O46" s="182">
        <v>3</v>
      </c>
      <c r="P46" s="182">
        <v>34</v>
      </c>
      <c r="Q46" s="182" t="s">
        <v>592</v>
      </c>
      <c r="R46" s="182">
        <v>-70.888000000000005</v>
      </c>
      <c r="S46" s="182">
        <v>39.932000000000002</v>
      </c>
      <c r="T46" s="182" t="s">
        <v>271</v>
      </c>
      <c r="U46" s="182">
        <v>25</v>
      </c>
      <c r="V46" s="181" t="s">
        <v>573</v>
      </c>
      <c r="W46" s="145" t="s">
        <v>593</v>
      </c>
      <c r="X46" s="150"/>
    </row>
    <row r="47" spans="1:24">
      <c r="A47" s="167" t="s">
        <v>330</v>
      </c>
      <c r="C47" s="181" t="s">
        <v>435</v>
      </c>
      <c r="D47" s="181" t="s">
        <v>465</v>
      </c>
      <c r="E47" s="181" t="s">
        <v>437</v>
      </c>
      <c r="F47" s="182" t="s">
        <v>269</v>
      </c>
      <c r="G47" s="182">
        <v>1030</v>
      </c>
      <c r="H47" s="182">
        <v>22</v>
      </c>
      <c r="I47" s="182">
        <v>13</v>
      </c>
      <c r="J47" s="182">
        <v>41.1</v>
      </c>
      <c r="K47" s="182">
        <v>150</v>
      </c>
      <c r="L47" s="181" t="s">
        <v>570</v>
      </c>
      <c r="M47" s="182">
        <v>2018</v>
      </c>
      <c r="N47" s="182" t="s">
        <v>270</v>
      </c>
      <c r="O47" s="182">
        <v>4</v>
      </c>
      <c r="P47" s="182">
        <v>35</v>
      </c>
      <c r="Q47" s="182" t="s">
        <v>594</v>
      </c>
      <c r="R47" s="182">
        <v>-70.856999999999999</v>
      </c>
      <c r="S47" s="182">
        <v>40.085999999999999</v>
      </c>
      <c r="T47" s="182" t="s">
        <v>271</v>
      </c>
      <c r="U47" s="182">
        <v>25</v>
      </c>
      <c r="V47" s="181" t="s">
        <v>573</v>
      </c>
      <c r="W47" s="145" t="s">
        <v>593</v>
      </c>
      <c r="X47" s="150"/>
    </row>
    <row r="48" spans="1:24">
      <c r="A48" s="167" t="s">
        <v>332</v>
      </c>
      <c r="C48" s="181" t="s">
        <v>435</v>
      </c>
      <c r="D48" s="181" t="s">
        <v>466</v>
      </c>
      <c r="E48" s="181" t="s">
        <v>437</v>
      </c>
      <c r="F48" s="182" t="s">
        <v>269</v>
      </c>
      <c r="G48" s="182">
        <v>1030</v>
      </c>
      <c r="H48" s="182">
        <v>22</v>
      </c>
      <c r="I48" s="182">
        <v>19</v>
      </c>
      <c r="J48" s="182">
        <v>5.2</v>
      </c>
      <c r="K48" s="182">
        <v>150</v>
      </c>
      <c r="L48" s="181" t="s">
        <v>570</v>
      </c>
      <c r="M48" s="182">
        <v>2018</v>
      </c>
      <c r="N48" s="182" t="s">
        <v>270</v>
      </c>
      <c r="O48" s="182">
        <v>4</v>
      </c>
      <c r="P48" s="182">
        <v>35</v>
      </c>
      <c r="Q48" s="182" t="s">
        <v>594</v>
      </c>
      <c r="R48" s="182">
        <v>-70.856999999999999</v>
      </c>
      <c r="S48" s="182">
        <v>40.085999999999999</v>
      </c>
      <c r="T48" s="182" t="s">
        <v>271</v>
      </c>
      <c r="U48" s="182">
        <v>25</v>
      </c>
      <c r="V48" s="181" t="s">
        <v>573</v>
      </c>
      <c r="W48" s="145" t="s">
        <v>593</v>
      </c>
      <c r="X48" s="150"/>
    </row>
    <row r="49" spans="1:24">
      <c r="A49" s="167" t="s">
        <v>333</v>
      </c>
      <c r="C49" s="176" t="s">
        <v>435</v>
      </c>
      <c r="D49" s="176" t="s">
        <v>467</v>
      </c>
      <c r="E49" s="176" t="s">
        <v>437</v>
      </c>
      <c r="F49" s="177" t="s">
        <v>269</v>
      </c>
      <c r="G49" s="177">
        <v>535</v>
      </c>
      <c r="H49" s="177">
        <v>30</v>
      </c>
      <c r="I49" s="177">
        <v>1</v>
      </c>
      <c r="J49" s="177">
        <v>13.4</v>
      </c>
      <c r="K49" s="177">
        <v>17</v>
      </c>
      <c r="L49" s="176" t="s">
        <v>570</v>
      </c>
      <c r="M49" s="177">
        <v>2018</v>
      </c>
      <c r="N49" s="177" t="s">
        <v>270</v>
      </c>
      <c r="O49" s="177">
        <v>5</v>
      </c>
      <c r="P49" s="177">
        <v>36</v>
      </c>
      <c r="Q49" s="177" t="s">
        <v>595</v>
      </c>
      <c r="R49" s="177">
        <v>-70.575999999999993</v>
      </c>
      <c r="S49" s="177">
        <v>41.322000000000003</v>
      </c>
      <c r="T49" s="177" t="s">
        <v>271</v>
      </c>
      <c r="U49" s="177">
        <v>25</v>
      </c>
      <c r="V49" s="176" t="s">
        <v>573</v>
      </c>
      <c r="W49" t="s">
        <v>596</v>
      </c>
      <c r="X49" s="149"/>
    </row>
    <row r="50" spans="1:24">
      <c r="A50" s="167" t="s">
        <v>334</v>
      </c>
      <c r="C50" s="176" t="s">
        <v>435</v>
      </c>
      <c r="D50" s="176" t="s">
        <v>468</v>
      </c>
      <c r="E50" s="176" t="s">
        <v>437</v>
      </c>
      <c r="F50" s="177" t="s">
        <v>269</v>
      </c>
      <c r="G50" s="177">
        <v>535</v>
      </c>
      <c r="H50" s="177">
        <v>30</v>
      </c>
      <c r="I50" s="177">
        <v>5</v>
      </c>
      <c r="J50" s="177">
        <v>10.199999999999999</v>
      </c>
      <c r="K50" s="177">
        <v>17</v>
      </c>
      <c r="L50" s="176" t="s">
        <v>570</v>
      </c>
      <c r="M50" s="177">
        <v>2018</v>
      </c>
      <c r="N50" s="177" t="s">
        <v>270</v>
      </c>
      <c r="O50" s="177">
        <v>5</v>
      </c>
      <c r="P50" s="177">
        <v>36</v>
      </c>
      <c r="Q50" s="177" t="s">
        <v>595</v>
      </c>
      <c r="R50" s="177">
        <v>-70.575999999999993</v>
      </c>
      <c r="S50" s="177">
        <v>41.322000000000003</v>
      </c>
      <c r="T50" s="177" t="s">
        <v>271</v>
      </c>
      <c r="U50" s="177">
        <v>25</v>
      </c>
      <c r="V50" s="176" t="s">
        <v>573</v>
      </c>
      <c r="W50" t="s">
        <v>596</v>
      </c>
      <c r="X50" s="149"/>
    </row>
    <row r="51" spans="1:24">
      <c r="A51" s="167" t="s">
        <v>335</v>
      </c>
      <c r="C51" s="176" t="s">
        <v>435</v>
      </c>
      <c r="D51" s="176" t="s">
        <v>469</v>
      </c>
      <c r="E51" s="176" t="s">
        <v>437</v>
      </c>
      <c r="F51" s="177" t="s">
        <v>272</v>
      </c>
      <c r="G51" s="177">
        <v>535</v>
      </c>
      <c r="H51" s="177">
        <v>30</v>
      </c>
      <c r="I51" s="177">
        <v>9</v>
      </c>
      <c r="J51" s="177">
        <v>4</v>
      </c>
      <c r="K51" s="177">
        <v>17</v>
      </c>
      <c r="L51" s="176" t="s">
        <v>570</v>
      </c>
      <c r="M51" s="177">
        <v>2018</v>
      </c>
      <c r="N51" s="177" t="s">
        <v>270</v>
      </c>
      <c r="O51" s="177">
        <v>5</v>
      </c>
      <c r="P51" s="177">
        <v>36</v>
      </c>
      <c r="Q51" s="177" t="s">
        <v>595</v>
      </c>
      <c r="R51" s="177">
        <v>-70.575999999999993</v>
      </c>
      <c r="S51" s="177">
        <v>41.322000000000003</v>
      </c>
      <c r="T51" s="177" t="s">
        <v>271</v>
      </c>
      <c r="U51" s="177">
        <v>25</v>
      </c>
      <c r="V51" s="176" t="s">
        <v>573</v>
      </c>
      <c r="W51" t="s">
        <v>596</v>
      </c>
      <c r="X51" s="149"/>
    </row>
    <row r="52" spans="1:24">
      <c r="A52" s="167" t="s">
        <v>336</v>
      </c>
      <c r="C52" s="176" t="s">
        <v>435</v>
      </c>
      <c r="D52" s="176" t="s">
        <v>470</v>
      </c>
      <c r="E52" s="176" t="s">
        <v>437</v>
      </c>
      <c r="F52" s="177" t="s">
        <v>272</v>
      </c>
      <c r="G52" s="177">
        <v>540</v>
      </c>
      <c r="H52" s="177">
        <v>30</v>
      </c>
      <c r="I52" s="177">
        <v>9</v>
      </c>
      <c r="J52" s="177">
        <v>4</v>
      </c>
      <c r="K52" s="177">
        <v>17</v>
      </c>
      <c r="L52" s="176" t="s">
        <v>570</v>
      </c>
      <c r="M52" s="177">
        <v>2018</v>
      </c>
      <c r="N52" s="177" t="s">
        <v>270</v>
      </c>
      <c r="O52" s="177">
        <v>5</v>
      </c>
      <c r="P52" s="177">
        <v>36</v>
      </c>
      <c r="Q52" s="177" t="s">
        <v>595</v>
      </c>
      <c r="R52" s="177">
        <v>-70.575999999999993</v>
      </c>
      <c r="S52" s="177">
        <v>41.322000000000003</v>
      </c>
      <c r="T52" s="177" t="s">
        <v>271</v>
      </c>
      <c r="U52" s="177">
        <v>25</v>
      </c>
      <c r="V52" s="176" t="s">
        <v>573</v>
      </c>
      <c r="W52" t="s">
        <v>596</v>
      </c>
      <c r="X52" s="149"/>
    </row>
    <row r="53" spans="1:24">
      <c r="A53" s="167" t="s">
        <v>337</v>
      </c>
      <c r="C53" s="176" t="s">
        <v>435</v>
      </c>
      <c r="D53" s="176" t="s">
        <v>471</v>
      </c>
      <c r="E53" s="176" t="s">
        <v>472</v>
      </c>
      <c r="F53" s="177" t="s">
        <v>269</v>
      </c>
      <c r="G53" s="177">
        <v>547</v>
      </c>
      <c r="H53" s="177">
        <v>1</v>
      </c>
      <c r="I53" s="177">
        <v>5</v>
      </c>
      <c r="J53" s="177">
        <v>9</v>
      </c>
      <c r="K53" s="177">
        <v>20</v>
      </c>
      <c r="L53" s="176" t="s">
        <v>570</v>
      </c>
      <c r="M53" s="177">
        <v>2018</v>
      </c>
      <c r="N53" s="177" t="s">
        <v>597</v>
      </c>
      <c r="O53" s="177">
        <v>3</v>
      </c>
      <c r="P53" s="177">
        <v>93</v>
      </c>
      <c r="Q53" s="177" t="s">
        <v>598</v>
      </c>
      <c r="R53" s="177">
        <v>-70.882999999999996</v>
      </c>
      <c r="S53" s="177">
        <v>41.197000000000003</v>
      </c>
      <c r="T53" s="177" t="s">
        <v>271</v>
      </c>
      <c r="U53" s="177">
        <v>25</v>
      </c>
      <c r="V53" s="176" t="s">
        <v>573</v>
      </c>
      <c r="W53" t="s">
        <v>574</v>
      </c>
      <c r="X53" s="149"/>
    </row>
    <row r="54" spans="1:24">
      <c r="A54" s="167" t="s">
        <v>338</v>
      </c>
      <c r="C54" s="176" t="s">
        <v>435</v>
      </c>
      <c r="D54" s="176" t="s">
        <v>473</v>
      </c>
      <c r="E54" s="176" t="s">
        <v>472</v>
      </c>
      <c r="F54" s="177" t="s">
        <v>269</v>
      </c>
      <c r="G54" s="177">
        <v>535</v>
      </c>
      <c r="H54" s="177">
        <v>1</v>
      </c>
      <c r="I54" s="177">
        <v>8</v>
      </c>
      <c r="J54" s="177">
        <v>3</v>
      </c>
      <c r="K54" s="177">
        <v>20</v>
      </c>
      <c r="L54" s="176" t="s">
        <v>570</v>
      </c>
      <c r="M54" s="177">
        <v>2018</v>
      </c>
      <c r="N54" s="177" t="s">
        <v>597</v>
      </c>
      <c r="O54" s="177">
        <v>3</v>
      </c>
      <c r="P54" s="177">
        <v>93</v>
      </c>
      <c r="Q54" s="177" t="s">
        <v>598</v>
      </c>
      <c r="R54" s="177">
        <v>-70.882999999999996</v>
      </c>
      <c r="S54" s="177">
        <v>41.197000000000003</v>
      </c>
      <c r="T54" s="177" t="s">
        <v>271</v>
      </c>
      <c r="U54" s="177">
        <v>25</v>
      </c>
      <c r="V54" s="176" t="s">
        <v>573</v>
      </c>
      <c r="W54" t="s">
        <v>574</v>
      </c>
      <c r="X54" s="149"/>
    </row>
    <row r="55" spans="1:24">
      <c r="A55" s="167" t="s">
        <v>339</v>
      </c>
      <c r="C55" s="176" t="s">
        <v>435</v>
      </c>
      <c r="D55" s="176" t="s">
        <v>474</v>
      </c>
      <c r="E55" s="176" t="s">
        <v>472</v>
      </c>
      <c r="F55" s="177" t="s">
        <v>269</v>
      </c>
      <c r="G55" s="177">
        <v>277</v>
      </c>
      <c r="H55" s="177">
        <v>2</v>
      </c>
      <c r="I55" s="177">
        <v>5</v>
      </c>
      <c r="J55" s="177">
        <v>26.8</v>
      </c>
      <c r="K55" s="177">
        <v>46</v>
      </c>
      <c r="L55" s="176" t="s">
        <v>570</v>
      </c>
      <c r="M55" s="177">
        <v>2018</v>
      </c>
      <c r="N55" s="177" t="s">
        <v>597</v>
      </c>
      <c r="O55" s="177">
        <v>3</v>
      </c>
      <c r="P55" s="177">
        <v>93</v>
      </c>
      <c r="Q55" s="177" t="s">
        <v>599</v>
      </c>
      <c r="R55" s="177">
        <v>-70.882999999999996</v>
      </c>
      <c r="S55" s="177">
        <v>41.030999999999999</v>
      </c>
      <c r="T55" s="177" t="s">
        <v>271</v>
      </c>
      <c r="U55" s="177">
        <v>25</v>
      </c>
      <c r="V55" s="176" t="s">
        <v>573</v>
      </c>
      <c r="W55" t="s">
        <v>576</v>
      </c>
      <c r="X55" s="149"/>
    </row>
    <row r="56" spans="1:24">
      <c r="A56" s="167" t="s">
        <v>340</v>
      </c>
      <c r="C56" s="176" t="s">
        <v>435</v>
      </c>
      <c r="D56" s="176" t="s">
        <v>475</v>
      </c>
      <c r="E56" s="176" t="s">
        <v>472</v>
      </c>
      <c r="F56" s="177" t="s">
        <v>269</v>
      </c>
      <c r="G56" s="177">
        <v>547</v>
      </c>
      <c r="H56" s="177">
        <v>2</v>
      </c>
      <c r="I56" s="177">
        <v>11</v>
      </c>
      <c r="J56" s="177">
        <v>3</v>
      </c>
      <c r="K56" s="177">
        <v>46</v>
      </c>
      <c r="L56" s="176" t="s">
        <v>570</v>
      </c>
      <c r="M56" s="177">
        <v>2018</v>
      </c>
      <c r="N56" s="177" t="s">
        <v>597</v>
      </c>
      <c r="O56" s="177">
        <v>3</v>
      </c>
      <c r="P56" s="177">
        <v>93</v>
      </c>
      <c r="Q56" s="177" t="s">
        <v>599</v>
      </c>
      <c r="R56" s="177">
        <v>-70.882999999999996</v>
      </c>
      <c r="S56" s="177">
        <v>41.030999999999999</v>
      </c>
      <c r="T56" s="177" t="s">
        <v>271</v>
      </c>
      <c r="U56" s="177">
        <v>25</v>
      </c>
      <c r="V56" s="176" t="s">
        <v>573</v>
      </c>
      <c r="W56" t="s">
        <v>576</v>
      </c>
      <c r="X56" s="149"/>
    </row>
    <row r="57" spans="1:24">
      <c r="A57" s="167" t="s">
        <v>341</v>
      </c>
      <c r="C57" s="176" t="s">
        <v>435</v>
      </c>
      <c r="D57" s="176" t="s">
        <v>476</v>
      </c>
      <c r="E57" s="176" t="s">
        <v>472</v>
      </c>
      <c r="F57" s="177" t="s">
        <v>269</v>
      </c>
      <c r="G57" s="177">
        <v>517</v>
      </c>
      <c r="H57" s="177">
        <v>3</v>
      </c>
      <c r="I57" s="177">
        <v>4</v>
      </c>
      <c r="J57" s="177">
        <v>34.799999999999997</v>
      </c>
      <c r="K57" s="177">
        <v>55</v>
      </c>
      <c r="L57" s="176" t="s">
        <v>570</v>
      </c>
      <c r="M57" s="177">
        <v>2018</v>
      </c>
      <c r="N57" s="177" t="s">
        <v>597</v>
      </c>
      <c r="O57" s="177">
        <v>4</v>
      </c>
      <c r="P57" s="177">
        <v>94</v>
      </c>
      <c r="Q57" s="177" t="s">
        <v>600</v>
      </c>
      <c r="R57" s="177">
        <v>-70.885000000000005</v>
      </c>
      <c r="S57" s="177">
        <v>40.863999999999997</v>
      </c>
      <c r="T57" s="177" t="s">
        <v>271</v>
      </c>
      <c r="U57" s="177">
        <v>25</v>
      </c>
      <c r="V57" s="176" t="s">
        <v>573</v>
      </c>
      <c r="W57" t="s">
        <v>578</v>
      </c>
      <c r="X57" s="149"/>
    </row>
    <row r="58" spans="1:24">
      <c r="A58" s="167" t="s">
        <v>342</v>
      </c>
      <c r="C58" s="176" t="s">
        <v>435</v>
      </c>
      <c r="D58" s="176" t="s">
        <v>477</v>
      </c>
      <c r="E58" s="176" t="s">
        <v>472</v>
      </c>
      <c r="F58" s="177" t="s">
        <v>269</v>
      </c>
      <c r="G58" s="177">
        <v>525</v>
      </c>
      <c r="H58" s="177">
        <v>3</v>
      </c>
      <c r="I58" s="177">
        <v>9</v>
      </c>
      <c r="J58" s="177">
        <v>2</v>
      </c>
      <c r="K58" s="177">
        <v>55</v>
      </c>
      <c r="L58" s="176" t="s">
        <v>570</v>
      </c>
      <c r="M58" s="177">
        <v>2018</v>
      </c>
      <c r="N58" s="177" t="s">
        <v>597</v>
      </c>
      <c r="O58" s="177">
        <v>4</v>
      </c>
      <c r="P58" s="177">
        <v>94</v>
      </c>
      <c r="Q58" s="177" t="s">
        <v>600</v>
      </c>
      <c r="R58" s="177">
        <v>-70.885000000000005</v>
      </c>
      <c r="S58" s="177">
        <v>40.863999999999997</v>
      </c>
      <c r="T58" s="177" t="s">
        <v>271</v>
      </c>
      <c r="U58" s="177">
        <v>25</v>
      </c>
      <c r="V58" s="176" t="s">
        <v>573</v>
      </c>
      <c r="W58" t="s">
        <v>578</v>
      </c>
      <c r="X58" s="149"/>
    </row>
    <row r="59" spans="1:24">
      <c r="A59" s="167" t="s">
        <v>343</v>
      </c>
      <c r="C59" s="176" t="s">
        <v>435</v>
      </c>
      <c r="D59" s="176" t="s">
        <v>478</v>
      </c>
      <c r="E59" s="176" t="s">
        <v>472</v>
      </c>
      <c r="F59" s="177" t="s">
        <v>269</v>
      </c>
      <c r="G59" s="180">
        <v>315</v>
      </c>
      <c r="H59" s="177">
        <v>4</v>
      </c>
      <c r="I59" s="177">
        <v>3</v>
      </c>
      <c r="J59" s="177">
        <v>44.1</v>
      </c>
      <c r="K59" s="177">
        <v>66</v>
      </c>
      <c r="L59" s="176" t="s">
        <v>570</v>
      </c>
      <c r="M59" s="177">
        <v>2018</v>
      </c>
      <c r="N59" s="177" t="s">
        <v>597</v>
      </c>
      <c r="O59" s="177">
        <v>4</v>
      </c>
      <c r="P59" s="177">
        <v>94</v>
      </c>
      <c r="Q59" s="177" t="s">
        <v>601</v>
      </c>
      <c r="R59" s="177">
        <v>-70.882999999999996</v>
      </c>
      <c r="S59" s="177">
        <v>40.697000000000003</v>
      </c>
      <c r="T59" s="177" t="s">
        <v>271</v>
      </c>
      <c r="U59" s="177">
        <v>25</v>
      </c>
      <c r="V59" s="176" t="s">
        <v>573</v>
      </c>
      <c r="W59" t="s">
        <v>580</v>
      </c>
      <c r="X59" s="151" t="s">
        <v>602</v>
      </c>
    </row>
    <row r="60" spans="1:24">
      <c r="A60" s="167" t="s">
        <v>344</v>
      </c>
      <c r="C60" s="176" t="s">
        <v>435</v>
      </c>
      <c r="D60" s="176" t="s">
        <v>479</v>
      </c>
      <c r="E60" s="176" t="s">
        <v>472</v>
      </c>
      <c r="F60" s="177" t="s">
        <v>269</v>
      </c>
      <c r="G60" s="177">
        <v>535</v>
      </c>
      <c r="H60" s="177">
        <v>4</v>
      </c>
      <c r="I60" s="177">
        <v>10</v>
      </c>
      <c r="J60" s="177">
        <v>3.1</v>
      </c>
      <c r="K60" s="177">
        <v>66</v>
      </c>
      <c r="L60" s="176" t="s">
        <v>570</v>
      </c>
      <c r="M60" s="177">
        <v>2018</v>
      </c>
      <c r="N60" s="177" t="s">
        <v>597</v>
      </c>
      <c r="O60" s="177">
        <v>4</v>
      </c>
      <c r="P60" s="177">
        <v>94</v>
      </c>
      <c r="Q60" s="177" t="s">
        <v>601</v>
      </c>
      <c r="R60" s="177">
        <v>-70.882999999999996</v>
      </c>
      <c r="S60" s="177">
        <v>40.697000000000003</v>
      </c>
      <c r="T60" s="177" t="s">
        <v>271</v>
      </c>
      <c r="U60" s="177">
        <v>25</v>
      </c>
      <c r="V60" s="176" t="s">
        <v>573</v>
      </c>
      <c r="W60" t="s">
        <v>580</v>
      </c>
      <c r="X60" s="149"/>
    </row>
    <row r="61" spans="1:24">
      <c r="A61" s="167" t="s">
        <v>345</v>
      </c>
      <c r="C61" s="176" t="s">
        <v>435</v>
      </c>
      <c r="D61" s="176" t="s">
        <v>480</v>
      </c>
      <c r="E61" s="176" t="s">
        <v>472</v>
      </c>
      <c r="F61" s="177" t="s">
        <v>269</v>
      </c>
      <c r="G61" s="177">
        <v>547</v>
      </c>
      <c r="H61" s="177">
        <v>5</v>
      </c>
      <c r="I61" s="177">
        <v>7</v>
      </c>
      <c r="J61" s="177">
        <v>15</v>
      </c>
      <c r="K61" s="177">
        <v>76</v>
      </c>
      <c r="L61" s="176" t="s">
        <v>570</v>
      </c>
      <c r="M61" s="177">
        <v>2018</v>
      </c>
      <c r="N61" s="177" t="s">
        <v>597</v>
      </c>
      <c r="O61" s="177">
        <v>4</v>
      </c>
      <c r="P61" s="177">
        <v>94</v>
      </c>
      <c r="Q61" s="177" t="s">
        <v>603</v>
      </c>
      <c r="R61" s="177">
        <v>-70.882999999999996</v>
      </c>
      <c r="S61" s="177">
        <v>40.53</v>
      </c>
      <c r="T61" s="177" t="s">
        <v>271</v>
      </c>
      <c r="U61" s="177">
        <v>25</v>
      </c>
      <c r="V61" s="176" t="s">
        <v>573</v>
      </c>
      <c r="W61" t="s">
        <v>582</v>
      </c>
      <c r="X61" s="149"/>
    </row>
    <row r="62" spans="1:24">
      <c r="A62" s="167" t="s">
        <v>346</v>
      </c>
      <c r="C62" s="176" t="s">
        <v>435</v>
      </c>
      <c r="D62" s="176" t="s">
        <v>481</v>
      </c>
      <c r="E62" s="176" t="s">
        <v>472</v>
      </c>
      <c r="F62" s="177" t="s">
        <v>269</v>
      </c>
      <c r="G62" s="177">
        <v>535</v>
      </c>
      <c r="H62" s="177">
        <v>5</v>
      </c>
      <c r="I62" s="177">
        <v>10</v>
      </c>
      <c r="J62" s="177">
        <v>2.5</v>
      </c>
      <c r="K62" s="177">
        <v>76</v>
      </c>
      <c r="L62" s="176" t="s">
        <v>570</v>
      </c>
      <c r="M62" s="177">
        <v>2018</v>
      </c>
      <c r="N62" s="177" t="s">
        <v>597</v>
      </c>
      <c r="O62" s="177">
        <v>4</v>
      </c>
      <c r="P62" s="177">
        <v>94</v>
      </c>
      <c r="Q62" s="177" t="s">
        <v>603</v>
      </c>
      <c r="R62" s="177">
        <v>-70.882999999999996</v>
      </c>
      <c r="S62" s="177">
        <v>40.53</v>
      </c>
      <c r="T62" s="177" t="s">
        <v>271</v>
      </c>
      <c r="U62" s="177">
        <v>25</v>
      </c>
      <c r="V62" s="176" t="s">
        <v>573</v>
      </c>
      <c r="W62" t="s">
        <v>582</v>
      </c>
      <c r="X62" s="149"/>
    </row>
    <row r="63" spans="1:24">
      <c r="A63" s="167" t="s">
        <v>347</v>
      </c>
      <c r="C63" s="176" t="s">
        <v>435</v>
      </c>
      <c r="D63" s="176" t="s">
        <v>482</v>
      </c>
      <c r="E63" s="176" t="s">
        <v>472</v>
      </c>
      <c r="F63" s="177" t="s">
        <v>269</v>
      </c>
      <c r="G63" s="177">
        <v>1060</v>
      </c>
      <c r="H63" s="177">
        <v>10</v>
      </c>
      <c r="I63" s="177">
        <v>12</v>
      </c>
      <c r="J63" s="177">
        <v>28.1</v>
      </c>
      <c r="K63" s="177">
        <v>449</v>
      </c>
      <c r="L63" s="176" t="s">
        <v>570</v>
      </c>
      <c r="M63" s="177">
        <v>2018</v>
      </c>
      <c r="N63" s="177" t="s">
        <v>597</v>
      </c>
      <c r="O63" s="177">
        <v>9</v>
      </c>
      <c r="P63" s="177">
        <v>99</v>
      </c>
      <c r="Q63" s="177" t="s">
        <v>604</v>
      </c>
      <c r="R63" s="177">
        <v>-70.882000000000005</v>
      </c>
      <c r="S63" s="177">
        <v>39.94</v>
      </c>
      <c r="T63" s="177" t="s">
        <v>271</v>
      </c>
      <c r="U63" s="177">
        <v>25</v>
      </c>
      <c r="V63" s="176" t="s">
        <v>573</v>
      </c>
      <c r="W63" t="s">
        <v>605</v>
      </c>
      <c r="X63" s="149"/>
    </row>
    <row r="64" spans="1:24">
      <c r="A64" s="167" t="s">
        <v>348</v>
      </c>
      <c r="C64" s="176" t="s">
        <v>435</v>
      </c>
      <c r="D64" s="176" t="s">
        <v>483</v>
      </c>
      <c r="E64" s="176" t="s">
        <v>472</v>
      </c>
      <c r="F64" s="177" t="s">
        <v>269</v>
      </c>
      <c r="G64" s="177">
        <v>1057</v>
      </c>
      <c r="H64" s="177">
        <v>10</v>
      </c>
      <c r="I64" s="177">
        <v>16</v>
      </c>
      <c r="J64" s="177">
        <v>3.8</v>
      </c>
      <c r="K64" s="177">
        <v>449</v>
      </c>
      <c r="L64" s="176" t="s">
        <v>570</v>
      </c>
      <c r="M64" s="177">
        <v>2018</v>
      </c>
      <c r="N64" s="177" t="s">
        <v>597</v>
      </c>
      <c r="O64" s="177">
        <v>9</v>
      </c>
      <c r="P64" s="177">
        <v>99</v>
      </c>
      <c r="Q64" s="177" t="s">
        <v>604</v>
      </c>
      <c r="R64" s="177">
        <v>-70.882000000000005</v>
      </c>
      <c r="S64" s="177">
        <v>39.94</v>
      </c>
      <c r="T64" s="177" t="s">
        <v>271</v>
      </c>
      <c r="U64" s="177">
        <v>25</v>
      </c>
      <c r="V64" s="176" t="s">
        <v>573</v>
      </c>
      <c r="W64" t="s">
        <v>605</v>
      </c>
      <c r="X64" s="149"/>
    </row>
    <row r="65" spans="1:24">
      <c r="A65" s="167" t="s">
        <v>349</v>
      </c>
      <c r="C65" s="176" t="s">
        <v>435</v>
      </c>
      <c r="D65" s="176" t="s">
        <v>484</v>
      </c>
      <c r="E65" s="176" t="s">
        <v>472</v>
      </c>
      <c r="F65" s="177" t="s">
        <v>269</v>
      </c>
      <c r="G65" s="177">
        <v>1060</v>
      </c>
      <c r="H65" s="177">
        <v>12</v>
      </c>
      <c r="I65" s="177">
        <v>15</v>
      </c>
      <c r="J65" s="177">
        <v>23.2</v>
      </c>
      <c r="K65" s="177">
        <v>1580</v>
      </c>
      <c r="L65" s="176" t="s">
        <v>570</v>
      </c>
      <c r="M65" s="177">
        <v>2018</v>
      </c>
      <c r="N65" s="177" t="s">
        <v>597</v>
      </c>
      <c r="O65" s="177">
        <v>10</v>
      </c>
      <c r="P65" s="177">
        <v>100</v>
      </c>
      <c r="Q65" s="177" t="s">
        <v>606</v>
      </c>
      <c r="R65" s="177">
        <v>-70.884</v>
      </c>
      <c r="S65" s="177">
        <v>39.773000000000003</v>
      </c>
      <c r="T65" s="177" t="s">
        <v>271</v>
      </c>
      <c r="U65" s="177">
        <v>25</v>
      </c>
      <c r="V65" s="176" t="s">
        <v>573</v>
      </c>
      <c r="W65" t="s">
        <v>591</v>
      </c>
      <c r="X65" s="149"/>
    </row>
    <row r="66" spans="1:24">
      <c r="A66" s="167" t="s">
        <v>350</v>
      </c>
      <c r="C66" s="176" t="s">
        <v>435</v>
      </c>
      <c r="D66" s="176" t="s">
        <v>485</v>
      </c>
      <c r="E66" s="176" t="s">
        <v>472</v>
      </c>
      <c r="F66" s="177" t="s">
        <v>269</v>
      </c>
      <c r="G66" s="177">
        <v>1057</v>
      </c>
      <c r="H66" s="177">
        <v>12</v>
      </c>
      <c r="I66" s="177">
        <v>19</v>
      </c>
      <c r="J66" s="177">
        <v>2.7</v>
      </c>
      <c r="K66" s="177">
        <v>1580</v>
      </c>
      <c r="L66" s="176" t="s">
        <v>570</v>
      </c>
      <c r="M66" s="177">
        <v>2018</v>
      </c>
      <c r="N66" s="177" t="s">
        <v>597</v>
      </c>
      <c r="O66" s="177">
        <v>10</v>
      </c>
      <c r="P66" s="177">
        <v>100</v>
      </c>
      <c r="Q66" s="177" t="s">
        <v>606</v>
      </c>
      <c r="R66" s="177">
        <v>-70.884</v>
      </c>
      <c r="S66" s="177">
        <v>39.773000000000003</v>
      </c>
      <c r="T66" s="177" t="s">
        <v>271</v>
      </c>
      <c r="U66" s="177">
        <v>25</v>
      </c>
      <c r="V66" s="176" t="s">
        <v>573</v>
      </c>
      <c r="W66" t="s">
        <v>591</v>
      </c>
      <c r="X66" s="149"/>
    </row>
    <row r="67" spans="1:24">
      <c r="A67" s="167" t="s">
        <v>351</v>
      </c>
      <c r="C67" s="176" t="s">
        <v>435</v>
      </c>
      <c r="D67" s="176" t="s">
        <v>486</v>
      </c>
      <c r="E67" s="176" t="s">
        <v>472</v>
      </c>
      <c r="F67" s="177" t="s">
        <v>269</v>
      </c>
      <c r="G67" s="177">
        <v>1060</v>
      </c>
      <c r="H67" s="177">
        <v>17</v>
      </c>
      <c r="I67" s="177">
        <v>13</v>
      </c>
      <c r="J67" s="177">
        <v>16.7</v>
      </c>
      <c r="K67" s="177">
        <v>149</v>
      </c>
      <c r="L67" s="176" t="s">
        <v>570</v>
      </c>
      <c r="M67" s="177">
        <v>2018</v>
      </c>
      <c r="N67" s="177" t="s">
        <v>597</v>
      </c>
      <c r="O67" s="177">
        <v>10</v>
      </c>
      <c r="P67" s="177">
        <v>100</v>
      </c>
      <c r="Q67" s="177" t="s">
        <v>607</v>
      </c>
      <c r="R67" s="177">
        <v>-70.885000000000005</v>
      </c>
      <c r="S67" s="177">
        <v>40.095999999999997</v>
      </c>
      <c r="T67" s="177" t="s">
        <v>271</v>
      </c>
      <c r="U67" s="177">
        <v>25</v>
      </c>
      <c r="V67" s="176" t="s">
        <v>573</v>
      </c>
      <c r="W67" t="s">
        <v>608</v>
      </c>
      <c r="X67" s="149"/>
    </row>
    <row r="68" spans="1:24">
      <c r="A68" s="167" t="s">
        <v>352</v>
      </c>
      <c r="C68" s="176" t="s">
        <v>435</v>
      </c>
      <c r="D68" s="176" t="s">
        <v>487</v>
      </c>
      <c r="E68" s="176" t="s">
        <v>472</v>
      </c>
      <c r="F68" s="177" t="s">
        <v>269</v>
      </c>
      <c r="G68" s="177">
        <v>1057</v>
      </c>
      <c r="H68" s="177">
        <v>17</v>
      </c>
      <c r="I68" s="177">
        <v>17</v>
      </c>
      <c r="J68" s="177">
        <v>2</v>
      </c>
      <c r="K68" s="177">
        <v>149</v>
      </c>
      <c r="L68" s="176" t="s">
        <v>570</v>
      </c>
      <c r="M68" s="177">
        <v>2018</v>
      </c>
      <c r="N68" s="177" t="s">
        <v>597</v>
      </c>
      <c r="O68" s="177">
        <v>10</v>
      </c>
      <c r="P68" s="177">
        <v>100</v>
      </c>
      <c r="Q68" s="177" t="s">
        <v>607</v>
      </c>
      <c r="R68" s="177">
        <v>-70.885000000000005</v>
      </c>
      <c r="S68" s="177">
        <v>40.095999999999997</v>
      </c>
      <c r="T68" s="177" t="s">
        <v>271</v>
      </c>
      <c r="U68" s="177">
        <v>25</v>
      </c>
      <c r="V68" s="176" t="s">
        <v>573</v>
      </c>
      <c r="W68" t="s">
        <v>608</v>
      </c>
      <c r="X68" s="149"/>
    </row>
    <row r="69" spans="1:24">
      <c r="A69" s="167" t="s">
        <v>353</v>
      </c>
      <c r="C69" s="176" t="s">
        <v>435</v>
      </c>
      <c r="D69" s="176" t="s">
        <v>488</v>
      </c>
      <c r="E69" s="176" t="s">
        <v>472</v>
      </c>
      <c r="F69" s="177" t="s">
        <v>269</v>
      </c>
      <c r="G69" s="177">
        <v>1060</v>
      </c>
      <c r="H69" s="177">
        <v>27</v>
      </c>
      <c r="I69" s="177">
        <v>12</v>
      </c>
      <c r="J69" s="177">
        <v>33</v>
      </c>
      <c r="K69" s="177">
        <v>129</v>
      </c>
      <c r="L69" s="176" t="s">
        <v>570</v>
      </c>
      <c r="M69" s="177">
        <v>2018</v>
      </c>
      <c r="N69" s="177" t="s">
        <v>597</v>
      </c>
      <c r="O69" s="177">
        <v>11</v>
      </c>
      <c r="P69" s="177">
        <v>101</v>
      </c>
      <c r="Q69" s="177" t="s">
        <v>609</v>
      </c>
      <c r="R69" s="177">
        <v>-70.884</v>
      </c>
      <c r="S69" s="177">
        <v>40.226999999999997</v>
      </c>
      <c r="T69" s="177" t="s">
        <v>271</v>
      </c>
      <c r="U69" s="177">
        <v>25</v>
      </c>
      <c r="V69" s="176" t="s">
        <v>573</v>
      </c>
      <c r="W69" t="s">
        <v>586</v>
      </c>
      <c r="X69" s="149"/>
    </row>
    <row r="70" spans="1:24">
      <c r="A70" s="167" t="s">
        <v>354</v>
      </c>
      <c r="C70" s="176" t="s">
        <v>435</v>
      </c>
      <c r="D70" s="176" t="s">
        <v>489</v>
      </c>
      <c r="E70" s="176" t="s">
        <v>472</v>
      </c>
      <c r="F70" s="177" t="s">
        <v>269</v>
      </c>
      <c r="G70" s="177">
        <v>1057</v>
      </c>
      <c r="H70" s="177">
        <v>27</v>
      </c>
      <c r="I70" s="177">
        <v>17</v>
      </c>
      <c r="J70" s="177">
        <v>6.9</v>
      </c>
      <c r="K70" s="177">
        <v>129</v>
      </c>
      <c r="L70" s="176" t="s">
        <v>570</v>
      </c>
      <c r="M70" s="177">
        <v>2018</v>
      </c>
      <c r="N70" s="177" t="s">
        <v>597</v>
      </c>
      <c r="O70" s="177">
        <v>11</v>
      </c>
      <c r="P70" s="177">
        <v>101</v>
      </c>
      <c r="Q70" s="177" t="s">
        <v>609</v>
      </c>
      <c r="R70" s="177">
        <v>-70.884</v>
      </c>
      <c r="S70" s="177">
        <v>40.226999999999997</v>
      </c>
      <c r="T70" s="177" t="s">
        <v>271</v>
      </c>
      <c r="U70" s="177">
        <v>25</v>
      </c>
      <c r="V70" s="176" t="s">
        <v>573</v>
      </c>
      <c r="W70" t="s">
        <v>586</v>
      </c>
      <c r="X70" s="149"/>
    </row>
    <row r="71" spans="1:24">
      <c r="A71" s="167" t="s">
        <v>355</v>
      </c>
      <c r="C71" s="176" t="s">
        <v>435</v>
      </c>
      <c r="D71" s="176" t="s">
        <v>490</v>
      </c>
      <c r="E71" s="176" t="s">
        <v>472</v>
      </c>
      <c r="F71" s="177" t="s">
        <v>269</v>
      </c>
      <c r="G71" s="177">
        <v>1060</v>
      </c>
      <c r="H71" s="177">
        <v>28</v>
      </c>
      <c r="I71" s="177">
        <v>10</v>
      </c>
      <c r="J71" s="177">
        <v>36.6</v>
      </c>
      <c r="K71" s="177">
        <v>94</v>
      </c>
      <c r="L71" s="176" t="s">
        <v>570</v>
      </c>
      <c r="M71" s="177">
        <v>2018</v>
      </c>
      <c r="N71" s="177" t="s">
        <v>597</v>
      </c>
      <c r="O71" s="177">
        <v>11</v>
      </c>
      <c r="P71" s="177">
        <v>101</v>
      </c>
      <c r="Q71" s="177" t="s">
        <v>610</v>
      </c>
      <c r="R71" s="177">
        <v>-70.882999999999996</v>
      </c>
      <c r="S71" s="177">
        <v>40.363999999999997</v>
      </c>
      <c r="T71" s="177" t="s">
        <v>271</v>
      </c>
      <c r="U71" s="177">
        <v>25</v>
      </c>
      <c r="V71" s="176" t="s">
        <v>573</v>
      </c>
      <c r="W71" t="s">
        <v>584</v>
      </c>
      <c r="X71" s="149"/>
    </row>
    <row r="72" spans="1:24">
      <c r="A72" s="167" t="s">
        <v>356</v>
      </c>
      <c r="C72" s="176" t="s">
        <v>435</v>
      </c>
      <c r="D72" s="176" t="s">
        <v>491</v>
      </c>
      <c r="E72" s="176" t="s">
        <v>472</v>
      </c>
      <c r="F72" s="177" t="s">
        <v>269</v>
      </c>
      <c r="G72" s="177">
        <v>1057</v>
      </c>
      <c r="H72" s="177">
        <v>28</v>
      </c>
      <c r="I72" s="177">
        <v>15</v>
      </c>
      <c r="J72" s="177">
        <v>6</v>
      </c>
      <c r="K72" s="177">
        <v>94</v>
      </c>
      <c r="L72" s="176" t="s">
        <v>570</v>
      </c>
      <c r="M72" s="177">
        <v>2018</v>
      </c>
      <c r="N72" s="177" t="s">
        <v>597</v>
      </c>
      <c r="O72" s="177">
        <v>11</v>
      </c>
      <c r="P72" s="177">
        <v>101</v>
      </c>
      <c r="Q72" s="177" t="s">
        <v>610</v>
      </c>
      <c r="R72" s="177">
        <v>-70.882999999999996</v>
      </c>
      <c r="S72" s="177">
        <v>40.363999999999997</v>
      </c>
      <c r="T72" s="177" t="s">
        <v>271</v>
      </c>
      <c r="U72" s="177">
        <v>25</v>
      </c>
      <c r="V72" s="176" t="s">
        <v>573</v>
      </c>
      <c r="W72" t="s">
        <v>584</v>
      </c>
      <c r="X72" s="149"/>
    </row>
    <row r="73" spans="1:24">
      <c r="A73" s="167" t="s">
        <v>357</v>
      </c>
      <c r="C73" s="176" t="s">
        <v>435</v>
      </c>
      <c r="D73" s="176" t="s">
        <v>494</v>
      </c>
      <c r="E73" s="176" t="s">
        <v>495</v>
      </c>
      <c r="F73" s="177" t="s">
        <v>269</v>
      </c>
      <c r="G73" s="177">
        <v>547</v>
      </c>
      <c r="H73" s="177">
        <v>1</v>
      </c>
      <c r="I73" s="177">
        <v>5</v>
      </c>
      <c r="J73" s="177">
        <v>12.2</v>
      </c>
      <c r="K73" s="177">
        <v>21</v>
      </c>
      <c r="L73" s="176" t="s">
        <v>570</v>
      </c>
      <c r="M73" s="177">
        <v>2018</v>
      </c>
      <c r="N73" s="177" t="s">
        <v>614</v>
      </c>
      <c r="O73" s="177">
        <v>20</v>
      </c>
      <c r="P73" s="177">
        <v>201</v>
      </c>
      <c r="Q73" s="177" t="s">
        <v>615</v>
      </c>
      <c r="R73" s="177">
        <v>-70.885000000000005</v>
      </c>
      <c r="S73" s="177">
        <v>41.201000000000001</v>
      </c>
      <c r="T73" s="177" t="s">
        <v>271</v>
      </c>
      <c r="U73" s="177">
        <v>25</v>
      </c>
      <c r="V73" s="176" t="s">
        <v>573</v>
      </c>
      <c r="W73" t="s">
        <v>574</v>
      </c>
      <c r="X73" s="149"/>
    </row>
    <row r="74" spans="1:24">
      <c r="A74" s="167" t="s">
        <v>358</v>
      </c>
      <c r="C74" s="176" t="s">
        <v>435</v>
      </c>
      <c r="D74" s="176" t="s">
        <v>496</v>
      </c>
      <c r="E74" s="176" t="s">
        <v>495</v>
      </c>
      <c r="F74" s="177" t="s">
        <v>269</v>
      </c>
      <c r="G74" s="177">
        <v>549</v>
      </c>
      <c r="H74" s="177">
        <v>1</v>
      </c>
      <c r="I74" s="177">
        <v>8</v>
      </c>
      <c r="J74" s="177">
        <v>7.3</v>
      </c>
      <c r="K74" s="177">
        <v>21</v>
      </c>
      <c r="L74" s="176" t="s">
        <v>570</v>
      </c>
      <c r="M74" s="177">
        <v>2018</v>
      </c>
      <c r="N74" s="177" t="s">
        <v>614</v>
      </c>
      <c r="O74" s="177">
        <v>20</v>
      </c>
      <c r="P74" s="177">
        <v>201</v>
      </c>
      <c r="Q74" s="177" t="s">
        <v>615</v>
      </c>
      <c r="R74" s="177">
        <v>-70.885000000000005</v>
      </c>
      <c r="S74" s="177">
        <v>41.201000000000001</v>
      </c>
      <c r="T74" s="177" t="s">
        <v>271</v>
      </c>
      <c r="U74" s="177">
        <v>25</v>
      </c>
      <c r="V74" s="176" t="s">
        <v>573</v>
      </c>
      <c r="W74" t="s">
        <v>574</v>
      </c>
      <c r="X74" s="149"/>
    </row>
    <row r="75" spans="1:24">
      <c r="A75" s="167" t="s">
        <v>359</v>
      </c>
      <c r="C75" s="176" t="s">
        <v>435</v>
      </c>
      <c r="D75" s="176" t="s">
        <v>497</v>
      </c>
      <c r="E75" s="176" t="s">
        <v>495</v>
      </c>
      <c r="F75" s="177" t="s">
        <v>269</v>
      </c>
      <c r="G75" s="177">
        <v>548</v>
      </c>
      <c r="H75" s="177">
        <v>1</v>
      </c>
      <c r="I75" s="177">
        <v>12</v>
      </c>
      <c r="J75" s="177">
        <v>1.8</v>
      </c>
      <c r="K75" s="177">
        <v>21</v>
      </c>
      <c r="L75" s="176" t="s">
        <v>570</v>
      </c>
      <c r="M75" s="177">
        <v>2018</v>
      </c>
      <c r="N75" s="177" t="s">
        <v>614</v>
      </c>
      <c r="O75" s="177">
        <v>20</v>
      </c>
      <c r="P75" s="177">
        <v>201</v>
      </c>
      <c r="Q75" s="177" t="s">
        <v>615</v>
      </c>
      <c r="R75" s="177">
        <v>-70.885000000000005</v>
      </c>
      <c r="S75" s="177">
        <v>41.201000000000001</v>
      </c>
      <c r="T75" s="177" t="s">
        <v>271</v>
      </c>
      <c r="U75" s="177">
        <v>25</v>
      </c>
      <c r="V75" s="176" t="s">
        <v>573</v>
      </c>
      <c r="W75" t="s">
        <v>574</v>
      </c>
      <c r="X75" s="149"/>
    </row>
    <row r="76" spans="1:24">
      <c r="A76" s="167" t="s">
        <v>360</v>
      </c>
      <c r="C76" s="184" t="s">
        <v>435</v>
      </c>
      <c r="D76" s="184" t="s">
        <v>645</v>
      </c>
      <c r="E76" s="184" t="s">
        <v>495</v>
      </c>
      <c r="F76" s="185" t="s">
        <v>269</v>
      </c>
      <c r="G76" s="185">
        <v>547</v>
      </c>
      <c r="H76" s="185">
        <v>-9999</v>
      </c>
      <c r="I76" s="185">
        <v>-9999</v>
      </c>
      <c r="J76" s="185">
        <v>-9999</v>
      </c>
      <c r="K76" s="185">
        <v>-9999</v>
      </c>
      <c r="L76" s="185">
        <v>-9999</v>
      </c>
      <c r="M76" s="185">
        <v>-9999</v>
      </c>
      <c r="N76" s="185">
        <v>-9999</v>
      </c>
      <c r="O76" s="185">
        <v>-9999</v>
      </c>
      <c r="P76" s="185">
        <v>-9999</v>
      </c>
      <c r="Q76" s="185">
        <v>-9999</v>
      </c>
      <c r="R76" s="185">
        <v>-9999</v>
      </c>
      <c r="S76" s="185">
        <v>-9999</v>
      </c>
      <c r="T76" s="185" t="s">
        <v>271</v>
      </c>
      <c r="U76" s="185">
        <v>25</v>
      </c>
      <c r="V76" s="184" t="s">
        <v>573</v>
      </c>
      <c r="W76" s="153" t="s">
        <v>576</v>
      </c>
      <c r="X76" s="149"/>
    </row>
    <row r="77" spans="1:24">
      <c r="A77" s="167" t="s">
        <v>361</v>
      </c>
      <c r="C77" s="184" t="s">
        <v>435</v>
      </c>
      <c r="D77" s="184" t="s">
        <v>645</v>
      </c>
      <c r="E77" s="184" t="s">
        <v>495</v>
      </c>
      <c r="F77" s="185" t="s">
        <v>269</v>
      </c>
      <c r="G77" s="185">
        <v>547</v>
      </c>
      <c r="H77" s="185">
        <v>-9999</v>
      </c>
      <c r="I77" s="185">
        <v>-9999</v>
      </c>
      <c r="J77" s="185">
        <v>-9999</v>
      </c>
      <c r="K77" s="185">
        <v>-9999</v>
      </c>
      <c r="L77" s="185">
        <v>-9999</v>
      </c>
      <c r="M77" s="185">
        <v>-9999</v>
      </c>
      <c r="N77" s="185">
        <v>-9999</v>
      </c>
      <c r="O77" s="185">
        <v>-9999</v>
      </c>
      <c r="P77" s="185">
        <v>-9999</v>
      </c>
      <c r="Q77" s="185">
        <v>-9999</v>
      </c>
      <c r="R77" s="185">
        <v>-9999</v>
      </c>
      <c r="S77" s="185">
        <v>-9999</v>
      </c>
      <c r="T77" s="185" t="s">
        <v>271</v>
      </c>
      <c r="U77" s="185">
        <v>25</v>
      </c>
      <c r="V77" s="184" t="s">
        <v>573</v>
      </c>
      <c r="W77" s="153" t="s">
        <v>576</v>
      </c>
      <c r="X77" s="149"/>
    </row>
    <row r="78" spans="1:24">
      <c r="A78" s="167" t="s">
        <v>362</v>
      </c>
      <c r="C78" s="176" t="s">
        <v>435</v>
      </c>
      <c r="D78" s="176" t="s">
        <v>499</v>
      </c>
      <c r="E78" s="176" t="s">
        <v>495</v>
      </c>
      <c r="F78" s="177" t="s">
        <v>269</v>
      </c>
      <c r="G78" s="177">
        <v>547</v>
      </c>
      <c r="H78" s="177">
        <v>2</v>
      </c>
      <c r="I78" s="177">
        <v>16</v>
      </c>
      <c r="J78" s="177">
        <v>3.2</v>
      </c>
      <c r="K78" s="177">
        <v>45</v>
      </c>
      <c r="L78" s="176" t="s">
        <v>570</v>
      </c>
      <c r="M78" s="177">
        <v>2018</v>
      </c>
      <c r="N78" s="177" t="s">
        <v>614</v>
      </c>
      <c r="O78" s="177">
        <v>20</v>
      </c>
      <c r="P78" s="177">
        <v>201</v>
      </c>
      <c r="Q78" s="177" t="s">
        <v>616</v>
      </c>
      <c r="R78" s="177">
        <v>-70.881</v>
      </c>
      <c r="S78" s="177">
        <v>41.03</v>
      </c>
      <c r="T78" s="177" t="s">
        <v>271</v>
      </c>
      <c r="U78" s="177">
        <v>25</v>
      </c>
      <c r="V78" s="176" t="s">
        <v>573</v>
      </c>
      <c r="W78" t="s">
        <v>576</v>
      </c>
      <c r="X78" s="149"/>
    </row>
    <row r="79" spans="1:24">
      <c r="A79" s="167" t="s">
        <v>363</v>
      </c>
      <c r="C79" s="176" t="s">
        <v>435</v>
      </c>
      <c r="D79" s="176" t="s">
        <v>500</v>
      </c>
      <c r="E79" s="176" t="s">
        <v>495</v>
      </c>
      <c r="F79" s="177" t="s">
        <v>269</v>
      </c>
      <c r="G79" s="177">
        <v>547</v>
      </c>
      <c r="H79" s="177">
        <v>5</v>
      </c>
      <c r="I79" s="177">
        <v>6</v>
      </c>
      <c r="J79" s="177">
        <v>25.2</v>
      </c>
      <c r="K79" s="177">
        <v>55</v>
      </c>
      <c r="L79" s="176" t="s">
        <v>570</v>
      </c>
      <c r="M79" s="177">
        <v>2018</v>
      </c>
      <c r="N79" s="177" t="s">
        <v>614</v>
      </c>
      <c r="O79" s="177">
        <v>21</v>
      </c>
      <c r="P79" s="177">
        <v>202</v>
      </c>
      <c r="Q79" s="177" t="s">
        <v>617</v>
      </c>
      <c r="R79" s="177">
        <v>-70.882999999999996</v>
      </c>
      <c r="S79" s="177">
        <v>40.863999999999997</v>
      </c>
      <c r="T79" s="177" t="s">
        <v>271</v>
      </c>
      <c r="U79" s="177">
        <v>25</v>
      </c>
      <c r="V79" s="176" t="s">
        <v>573</v>
      </c>
      <c r="W79" t="s">
        <v>578</v>
      </c>
      <c r="X79" s="149"/>
    </row>
    <row r="80" spans="1:24">
      <c r="A80" s="167" t="s">
        <v>364</v>
      </c>
      <c r="C80" s="176" t="s">
        <v>435</v>
      </c>
      <c r="D80" s="176" t="s">
        <v>501</v>
      </c>
      <c r="E80" s="176" t="s">
        <v>495</v>
      </c>
      <c r="F80" s="177" t="s">
        <v>272</v>
      </c>
      <c r="G80" s="177">
        <v>547</v>
      </c>
      <c r="H80" s="177">
        <v>5</v>
      </c>
      <c r="I80" s="177">
        <v>16</v>
      </c>
      <c r="J80" s="177">
        <v>1.6</v>
      </c>
      <c r="K80" s="177">
        <v>55</v>
      </c>
      <c r="L80" s="176" t="s">
        <v>570</v>
      </c>
      <c r="M80" s="177">
        <v>2018</v>
      </c>
      <c r="N80" s="177" t="s">
        <v>614</v>
      </c>
      <c r="O80" s="177">
        <v>21</v>
      </c>
      <c r="P80" s="177">
        <v>202</v>
      </c>
      <c r="Q80" s="177" t="s">
        <v>617</v>
      </c>
      <c r="R80" s="177">
        <v>-70.882999999999996</v>
      </c>
      <c r="S80" s="177">
        <v>40.863999999999997</v>
      </c>
      <c r="T80" s="177" t="s">
        <v>271</v>
      </c>
      <c r="U80" s="177">
        <v>25</v>
      </c>
      <c r="V80" s="176" t="s">
        <v>573</v>
      </c>
      <c r="W80" t="s">
        <v>578</v>
      </c>
      <c r="X80" s="149"/>
    </row>
    <row r="81" spans="1:24">
      <c r="A81" s="167" t="s">
        <v>365</v>
      </c>
      <c r="C81" s="176" t="s">
        <v>435</v>
      </c>
      <c r="D81" s="176" t="s">
        <v>502</v>
      </c>
      <c r="E81" s="176" t="s">
        <v>495</v>
      </c>
      <c r="F81" s="177" t="s">
        <v>272</v>
      </c>
      <c r="G81" s="177">
        <v>547</v>
      </c>
      <c r="H81" s="177">
        <v>5</v>
      </c>
      <c r="I81" s="177">
        <v>16</v>
      </c>
      <c r="J81" s="177">
        <v>1.6</v>
      </c>
      <c r="K81" s="177">
        <v>55</v>
      </c>
      <c r="L81" s="176" t="s">
        <v>570</v>
      </c>
      <c r="M81" s="177">
        <v>2018</v>
      </c>
      <c r="N81" s="177" t="s">
        <v>614</v>
      </c>
      <c r="O81" s="177">
        <v>21</v>
      </c>
      <c r="P81" s="177">
        <v>202</v>
      </c>
      <c r="Q81" s="177" t="s">
        <v>617</v>
      </c>
      <c r="R81" s="177">
        <v>-70.882999999999996</v>
      </c>
      <c r="S81" s="177">
        <v>40.863999999999997</v>
      </c>
      <c r="T81" s="177" t="s">
        <v>271</v>
      </c>
      <c r="U81" s="177">
        <v>25</v>
      </c>
      <c r="V81" s="176" t="s">
        <v>573</v>
      </c>
      <c r="W81" t="s">
        <v>578</v>
      </c>
      <c r="X81" s="149"/>
    </row>
    <row r="82" spans="1:24">
      <c r="A82" s="167" t="s">
        <v>366</v>
      </c>
      <c r="C82" s="176" t="s">
        <v>435</v>
      </c>
      <c r="D82" s="176" t="s">
        <v>503</v>
      </c>
      <c r="E82" s="176" t="s">
        <v>495</v>
      </c>
      <c r="F82" s="177" t="s">
        <v>269</v>
      </c>
      <c r="G82" s="177">
        <v>547</v>
      </c>
      <c r="H82" s="177">
        <v>8</v>
      </c>
      <c r="I82" s="177">
        <v>16</v>
      </c>
      <c r="J82" s="177">
        <v>2.2999999999999998</v>
      </c>
      <c r="K82" s="177">
        <v>60</v>
      </c>
      <c r="L82" s="176" t="s">
        <v>570</v>
      </c>
      <c r="M82" s="177">
        <v>2018</v>
      </c>
      <c r="N82" s="177" t="s">
        <v>614</v>
      </c>
      <c r="O82" s="177">
        <v>21</v>
      </c>
      <c r="P82" s="177">
        <v>202</v>
      </c>
      <c r="Q82" s="177" t="s">
        <v>618</v>
      </c>
      <c r="R82" s="177">
        <v>-70.88</v>
      </c>
      <c r="S82" s="177">
        <v>40.698999999999998</v>
      </c>
      <c r="T82" s="177" t="s">
        <v>271</v>
      </c>
      <c r="U82" s="177">
        <v>25</v>
      </c>
      <c r="V82" s="176" t="s">
        <v>573</v>
      </c>
      <c r="W82" t="s">
        <v>580</v>
      </c>
      <c r="X82" s="149"/>
    </row>
    <row r="83" spans="1:24">
      <c r="A83" s="167" t="s">
        <v>367</v>
      </c>
      <c r="C83" s="176" t="s">
        <v>435</v>
      </c>
      <c r="D83" s="176" t="s">
        <v>504</v>
      </c>
      <c r="E83" s="176" t="s">
        <v>495</v>
      </c>
      <c r="F83" s="177" t="s">
        <v>269</v>
      </c>
      <c r="G83" s="177">
        <v>547</v>
      </c>
      <c r="H83" s="177">
        <v>8</v>
      </c>
      <c r="I83" s="177">
        <v>7</v>
      </c>
      <c r="J83" s="177">
        <v>24.7</v>
      </c>
      <c r="K83" s="177">
        <v>60</v>
      </c>
      <c r="L83" s="176" t="s">
        <v>570</v>
      </c>
      <c r="M83" s="177">
        <v>2018</v>
      </c>
      <c r="N83" s="177" t="s">
        <v>614</v>
      </c>
      <c r="O83" s="177">
        <v>21</v>
      </c>
      <c r="P83" s="177">
        <v>202</v>
      </c>
      <c r="Q83" s="177" t="s">
        <v>618</v>
      </c>
      <c r="R83" s="177">
        <v>-70.88</v>
      </c>
      <c r="S83" s="177">
        <v>40.698999999999998</v>
      </c>
      <c r="T83" s="177" t="s">
        <v>271</v>
      </c>
      <c r="U83" s="177">
        <v>25</v>
      </c>
      <c r="V83" s="176" t="s">
        <v>573</v>
      </c>
      <c r="W83" t="s">
        <v>580</v>
      </c>
      <c r="X83" s="149"/>
    </row>
    <row r="84" spans="1:24">
      <c r="A84" s="167" t="s">
        <v>368</v>
      </c>
      <c r="C84" s="176" t="s">
        <v>435</v>
      </c>
      <c r="D84" s="176" t="s">
        <v>505</v>
      </c>
      <c r="E84" s="176" t="s">
        <v>495</v>
      </c>
      <c r="F84" s="177" t="s">
        <v>269</v>
      </c>
      <c r="G84" s="177">
        <v>547</v>
      </c>
      <c r="H84" s="177">
        <v>9</v>
      </c>
      <c r="I84" s="177">
        <v>11</v>
      </c>
      <c r="J84" s="177">
        <v>4.4000000000000004</v>
      </c>
      <c r="K84" s="177">
        <v>76</v>
      </c>
      <c r="L84" s="176" t="s">
        <v>570</v>
      </c>
      <c r="M84" s="177">
        <v>2018</v>
      </c>
      <c r="N84" s="177" t="s">
        <v>614</v>
      </c>
      <c r="O84" s="177">
        <v>21</v>
      </c>
      <c r="P84" s="177">
        <v>202</v>
      </c>
      <c r="Q84" s="177" t="s">
        <v>615</v>
      </c>
      <c r="R84" s="177">
        <v>-70.881</v>
      </c>
      <c r="S84" s="177">
        <v>40.517000000000003</v>
      </c>
      <c r="T84" s="177" t="s">
        <v>271</v>
      </c>
      <c r="U84" s="177">
        <v>25</v>
      </c>
      <c r="V84" s="176" t="s">
        <v>573</v>
      </c>
      <c r="W84" t="s">
        <v>582</v>
      </c>
      <c r="X84" s="149"/>
    </row>
    <row r="85" spans="1:24">
      <c r="A85" s="167" t="s">
        <v>369</v>
      </c>
      <c r="C85" s="176" t="s">
        <v>435</v>
      </c>
      <c r="D85" s="176" t="s">
        <v>506</v>
      </c>
      <c r="E85" s="176" t="s">
        <v>495</v>
      </c>
      <c r="F85" s="177" t="s">
        <v>269</v>
      </c>
      <c r="G85" s="177">
        <v>547</v>
      </c>
      <c r="H85" s="177">
        <v>9</v>
      </c>
      <c r="I85" s="177">
        <v>7</v>
      </c>
      <c r="J85" s="177">
        <v>20.2</v>
      </c>
      <c r="K85" s="177">
        <v>76</v>
      </c>
      <c r="L85" s="176" t="s">
        <v>570</v>
      </c>
      <c r="M85" s="177">
        <v>2018</v>
      </c>
      <c r="N85" s="177" t="s">
        <v>614</v>
      </c>
      <c r="O85" s="177">
        <v>21</v>
      </c>
      <c r="P85" s="177">
        <v>202</v>
      </c>
      <c r="Q85" s="177" t="s">
        <v>615</v>
      </c>
      <c r="R85" s="177">
        <v>-70.881</v>
      </c>
      <c r="S85" s="177">
        <v>40.517000000000003</v>
      </c>
      <c r="T85" s="177" t="s">
        <v>271</v>
      </c>
      <c r="U85" s="177">
        <v>25</v>
      </c>
      <c r="V85" s="176" t="s">
        <v>573</v>
      </c>
      <c r="W85" t="s">
        <v>582</v>
      </c>
      <c r="X85" s="149"/>
    </row>
    <row r="86" spans="1:24">
      <c r="A86" s="167" t="s">
        <v>370</v>
      </c>
      <c r="C86" s="176" t="s">
        <v>435</v>
      </c>
      <c r="D86" s="176" t="s">
        <v>507</v>
      </c>
      <c r="E86" s="176" t="s">
        <v>495</v>
      </c>
      <c r="F86" s="177" t="s">
        <v>269</v>
      </c>
      <c r="G86" s="177">
        <v>547</v>
      </c>
      <c r="H86" s="177">
        <v>12</v>
      </c>
      <c r="I86" s="177">
        <v>10</v>
      </c>
      <c r="J86" s="177">
        <v>28.7</v>
      </c>
      <c r="K86" s="177">
        <v>93</v>
      </c>
      <c r="L86" s="176" t="s">
        <v>570</v>
      </c>
      <c r="M86" s="177">
        <v>2018</v>
      </c>
      <c r="N86" s="177" t="s">
        <v>614</v>
      </c>
      <c r="O86" s="177">
        <v>22</v>
      </c>
      <c r="P86" s="177">
        <v>203</v>
      </c>
      <c r="Q86" s="177" t="s">
        <v>619</v>
      </c>
      <c r="R86" s="177">
        <v>-70.888000000000005</v>
      </c>
      <c r="S86" s="177">
        <v>40.366</v>
      </c>
      <c r="T86" s="177" t="s">
        <v>271</v>
      </c>
      <c r="U86" s="177">
        <v>25</v>
      </c>
      <c r="V86" s="176" t="s">
        <v>573</v>
      </c>
      <c r="W86" t="s">
        <v>584</v>
      </c>
      <c r="X86" s="149"/>
    </row>
    <row r="87" spans="1:24">
      <c r="A87" s="167" t="s">
        <v>371</v>
      </c>
      <c r="C87" s="176" t="s">
        <v>435</v>
      </c>
      <c r="D87" s="176" t="s">
        <v>508</v>
      </c>
      <c r="E87" s="176" t="s">
        <v>495</v>
      </c>
      <c r="F87" s="177" t="s">
        <v>269</v>
      </c>
      <c r="G87" s="177">
        <v>547</v>
      </c>
      <c r="H87" s="177">
        <v>12</v>
      </c>
      <c r="I87" s="177">
        <v>20</v>
      </c>
      <c r="J87" s="177">
        <v>4.8</v>
      </c>
      <c r="K87" s="177">
        <v>93</v>
      </c>
      <c r="L87" s="176" t="s">
        <v>570</v>
      </c>
      <c r="M87" s="177">
        <v>2018</v>
      </c>
      <c r="N87" s="177" t="s">
        <v>614</v>
      </c>
      <c r="O87" s="177">
        <v>22</v>
      </c>
      <c r="P87" s="177">
        <v>203</v>
      </c>
      <c r="Q87" s="177" t="s">
        <v>619</v>
      </c>
      <c r="R87" s="177">
        <v>-70.888000000000005</v>
      </c>
      <c r="S87" s="177">
        <v>40.366</v>
      </c>
      <c r="T87" s="177" t="s">
        <v>271</v>
      </c>
      <c r="U87" s="177">
        <v>25</v>
      </c>
      <c r="V87" s="176" t="s">
        <v>573</v>
      </c>
      <c r="W87" t="s">
        <v>584</v>
      </c>
      <c r="X87" s="149"/>
    </row>
    <row r="88" spans="1:24">
      <c r="A88" s="167" t="s">
        <v>372</v>
      </c>
      <c r="C88" s="176" t="s">
        <v>435</v>
      </c>
      <c r="D88" s="176" t="s">
        <v>509</v>
      </c>
      <c r="E88" s="176" t="s">
        <v>495</v>
      </c>
      <c r="F88" s="177" t="s">
        <v>269</v>
      </c>
      <c r="G88" s="177">
        <v>547</v>
      </c>
      <c r="H88" s="177">
        <v>13</v>
      </c>
      <c r="I88" s="177">
        <v>13</v>
      </c>
      <c r="J88" s="177">
        <v>32</v>
      </c>
      <c r="K88" s="177">
        <v>125</v>
      </c>
      <c r="L88" s="176" t="s">
        <v>570</v>
      </c>
      <c r="M88" s="177">
        <v>2018</v>
      </c>
      <c r="N88" s="177" t="s">
        <v>614</v>
      </c>
      <c r="O88" s="177">
        <v>22</v>
      </c>
      <c r="P88" s="177">
        <v>203</v>
      </c>
      <c r="Q88" s="177" t="s">
        <v>620</v>
      </c>
      <c r="R88" s="177">
        <v>-70.891999999999996</v>
      </c>
      <c r="S88" s="177">
        <v>40.234000000000002</v>
      </c>
      <c r="T88" s="177" t="s">
        <v>271</v>
      </c>
      <c r="U88" s="177">
        <v>25</v>
      </c>
      <c r="V88" s="176" t="s">
        <v>573</v>
      </c>
      <c r="W88" t="s">
        <v>586</v>
      </c>
      <c r="X88" s="149"/>
    </row>
    <row r="89" spans="1:24">
      <c r="A89" s="167" t="s">
        <v>373</v>
      </c>
      <c r="C89" s="176" t="s">
        <v>435</v>
      </c>
      <c r="D89" s="176" t="s">
        <v>510</v>
      </c>
      <c r="E89" s="176" t="s">
        <v>495</v>
      </c>
      <c r="F89" s="177" t="s">
        <v>269</v>
      </c>
      <c r="G89" s="177">
        <v>547</v>
      </c>
      <c r="H89" s="177">
        <v>13</v>
      </c>
      <c r="I89" s="177">
        <v>18</v>
      </c>
      <c r="J89" s="177">
        <v>3.4</v>
      </c>
      <c r="K89" s="177">
        <v>125</v>
      </c>
      <c r="L89" s="176" t="s">
        <v>570</v>
      </c>
      <c r="M89" s="177">
        <v>2018</v>
      </c>
      <c r="N89" s="177" t="s">
        <v>614</v>
      </c>
      <c r="O89" s="177">
        <v>22</v>
      </c>
      <c r="P89" s="177">
        <v>203</v>
      </c>
      <c r="Q89" s="177" t="s">
        <v>620</v>
      </c>
      <c r="R89" s="177">
        <v>-70.891999999999996</v>
      </c>
      <c r="S89" s="177">
        <v>40.234000000000002</v>
      </c>
      <c r="T89" s="177" t="s">
        <v>271</v>
      </c>
      <c r="U89" s="177">
        <v>25</v>
      </c>
      <c r="V89" s="176" t="s">
        <v>573</v>
      </c>
      <c r="W89" t="s">
        <v>586</v>
      </c>
      <c r="X89" s="149"/>
    </row>
    <row r="90" spans="1:24">
      <c r="A90" s="167" t="s">
        <v>374</v>
      </c>
      <c r="C90" s="176" t="s">
        <v>435</v>
      </c>
      <c r="D90" s="176" t="s">
        <v>511</v>
      </c>
      <c r="E90" s="176" t="s">
        <v>495</v>
      </c>
      <c r="F90" s="177" t="s">
        <v>269</v>
      </c>
      <c r="G90" s="177">
        <v>547</v>
      </c>
      <c r="H90" s="177">
        <v>14</v>
      </c>
      <c r="I90" s="177">
        <v>10</v>
      </c>
      <c r="J90" s="177">
        <v>38.6</v>
      </c>
      <c r="K90" s="177">
        <v>130</v>
      </c>
      <c r="L90" s="176" t="s">
        <v>570</v>
      </c>
      <c r="M90" s="177">
        <v>2018</v>
      </c>
      <c r="N90" s="177" t="s">
        <v>614</v>
      </c>
      <c r="O90" s="177">
        <v>22</v>
      </c>
      <c r="P90" s="177">
        <v>203</v>
      </c>
      <c r="Q90" s="177" t="s">
        <v>621</v>
      </c>
      <c r="R90" s="177">
        <v>-70.757999999999996</v>
      </c>
      <c r="S90" s="177">
        <v>40.139000000000003</v>
      </c>
      <c r="T90" s="177" t="s">
        <v>271</v>
      </c>
      <c r="U90" s="177">
        <v>25</v>
      </c>
      <c r="V90" s="176" t="s">
        <v>573</v>
      </c>
      <c r="W90" t="s">
        <v>588</v>
      </c>
      <c r="X90" s="149"/>
    </row>
    <row r="91" spans="1:24">
      <c r="A91" s="167" t="s">
        <v>376</v>
      </c>
      <c r="C91" s="176" t="s">
        <v>435</v>
      </c>
      <c r="D91" s="176" t="s">
        <v>512</v>
      </c>
      <c r="E91" s="176" t="s">
        <v>495</v>
      </c>
      <c r="F91" s="177" t="s">
        <v>272</v>
      </c>
      <c r="G91" s="177">
        <v>547</v>
      </c>
      <c r="H91" s="177">
        <v>14</v>
      </c>
      <c r="I91" s="177">
        <v>17</v>
      </c>
      <c r="J91" s="177">
        <v>6.8</v>
      </c>
      <c r="K91" s="177">
        <v>130</v>
      </c>
      <c r="L91" s="176" t="s">
        <v>570</v>
      </c>
      <c r="M91" s="177">
        <v>2018</v>
      </c>
      <c r="N91" s="177" t="s">
        <v>614</v>
      </c>
      <c r="O91" s="177">
        <v>22</v>
      </c>
      <c r="P91" s="177">
        <v>203</v>
      </c>
      <c r="Q91" s="177" t="s">
        <v>621</v>
      </c>
      <c r="R91" s="177">
        <v>-70.757999999999996</v>
      </c>
      <c r="S91" s="177">
        <v>40.139000000000003</v>
      </c>
      <c r="T91" s="177" t="s">
        <v>271</v>
      </c>
      <c r="U91" s="177">
        <v>25</v>
      </c>
      <c r="V91" s="176" t="s">
        <v>573</v>
      </c>
      <c r="W91" t="s">
        <v>588</v>
      </c>
      <c r="X91" s="149"/>
    </row>
    <row r="92" spans="1:24">
      <c r="A92" s="167" t="s">
        <v>377</v>
      </c>
      <c r="C92" s="176" t="s">
        <v>435</v>
      </c>
      <c r="D92" s="176" t="s">
        <v>513</v>
      </c>
      <c r="E92" s="176" t="s">
        <v>495</v>
      </c>
      <c r="F92" s="177" t="s">
        <v>272</v>
      </c>
      <c r="G92" s="177">
        <v>547</v>
      </c>
      <c r="H92" s="177">
        <v>14</v>
      </c>
      <c r="I92" s="177">
        <v>17</v>
      </c>
      <c r="J92" s="177">
        <v>6.8</v>
      </c>
      <c r="K92" s="177">
        <v>130</v>
      </c>
      <c r="L92" s="176" t="s">
        <v>570</v>
      </c>
      <c r="M92" s="177">
        <v>2018</v>
      </c>
      <c r="N92" s="177" t="s">
        <v>614</v>
      </c>
      <c r="O92" s="177">
        <v>22</v>
      </c>
      <c r="P92" s="177">
        <v>203</v>
      </c>
      <c r="Q92" s="177" t="s">
        <v>621</v>
      </c>
      <c r="R92" s="177">
        <v>-70.757999999999996</v>
      </c>
      <c r="S92" s="177">
        <v>40.139000000000003</v>
      </c>
      <c r="T92" s="177" t="s">
        <v>271</v>
      </c>
      <c r="U92" s="177">
        <v>25</v>
      </c>
      <c r="V92" s="176" t="s">
        <v>573</v>
      </c>
      <c r="W92" t="s">
        <v>588</v>
      </c>
      <c r="X92" s="149"/>
    </row>
    <row r="93" spans="1:24">
      <c r="A93" s="167" t="s">
        <v>378</v>
      </c>
      <c r="C93" s="176" t="s">
        <v>435</v>
      </c>
      <c r="D93" s="176" t="s">
        <v>514</v>
      </c>
      <c r="E93" s="176" t="s">
        <v>495</v>
      </c>
      <c r="F93" s="177" t="s">
        <v>269</v>
      </c>
      <c r="G93" s="177">
        <v>1060</v>
      </c>
      <c r="H93" s="177">
        <v>17</v>
      </c>
      <c r="I93" s="177">
        <v>10</v>
      </c>
      <c r="J93" s="177">
        <v>30.1</v>
      </c>
      <c r="K93" s="177">
        <v>146</v>
      </c>
      <c r="L93" s="176" t="s">
        <v>570</v>
      </c>
      <c r="M93" s="177">
        <v>2018</v>
      </c>
      <c r="N93" s="177" t="s">
        <v>614</v>
      </c>
      <c r="O93" s="177">
        <v>22</v>
      </c>
      <c r="P93" s="177">
        <v>203</v>
      </c>
      <c r="Q93" s="177" t="s">
        <v>622</v>
      </c>
      <c r="R93" s="177">
        <v>-70.876000000000005</v>
      </c>
      <c r="S93" s="177">
        <v>40.098999999999997</v>
      </c>
      <c r="T93" s="177" t="s">
        <v>271</v>
      </c>
      <c r="U93" s="177">
        <v>25</v>
      </c>
      <c r="V93" s="176" t="s">
        <v>573</v>
      </c>
      <c r="W93" t="s">
        <v>608</v>
      </c>
      <c r="X93" s="149"/>
    </row>
    <row r="94" spans="1:24">
      <c r="A94" s="167" t="s">
        <v>379</v>
      </c>
      <c r="C94" s="176" t="s">
        <v>435</v>
      </c>
      <c r="D94" s="176" t="s">
        <v>515</v>
      </c>
      <c r="E94" s="176" t="s">
        <v>495</v>
      </c>
      <c r="F94" s="177" t="s">
        <v>269</v>
      </c>
      <c r="G94" s="177">
        <v>1060</v>
      </c>
      <c r="H94" s="177">
        <v>17</v>
      </c>
      <c r="I94" s="177">
        <v>17</v>
      </c>
      <c r="J94" s="177">
        <v>5.6</v>
      </c>
      <c r="K94" s="177">
        <v>146</v>
      </c>
      <c r="L94" s="176" t="s">
        <v>570</v>
      </c>
      <c r="M94" s="177">
        <v>2018</v>
      </c>
      <c r="N94" s="177" t="s">
        <v>614</v>
      </c>
      <c r="O94" s="177">
        <v>22</v>
      </c>
      <c r="P94" s="177">
        <v>203</v>
      </c>
      <c r="Q94" s="177" t="s">
        <v>622</v>
      </c>
      <c r="R94" s="177">
        <v>-70.876000000000005</v>
      </c>
      <c r="S94" s="177">
        <v>40.098999999999997</v>
      </c>
      <c r="T94" s="177" t="s">
        <v>271</v>
      </c>
      <c r="U94" s="177">
        <v>25</v>
      </c>
      <c r="V94" s="176" t="s">
        <v>573</v>
      </c>
      <c r="W94" t="s">
        <v>608</v>
      </c>
      <c r="X94" s="149"/>
    </row>
    <row r="95" spans="1:24">
      <c r="A95" s="167" t="s">
        <v>380</v>
      </c>
      <c r="C95" s="176" t="s">
        <v>435</v>
      </c>
      <c r="D95" s="176" t="s">
        <v>516</v>
      </c>
      <c r="E95" s="176" t="s">
        <v>495</v>
      </c>
      <c r="F95" s="177" t="s">
        <v>269</v>
      </c>
      <c r="G95" s="177">
        <v>1060</v>
      </c>
      <c r="H95" s="177">
        <v>18</v>
      </c>
      <c r="I95" s="177">
        <v>9</v>
      </c>
      <c r="J95" s="177">
        <v>40</v>
      </c>
      <c r="K95" s="177">
        <v>160</v>
      </c>
      <c r="L95" s="176" t="s">
        <v>570</v>
      </c>
      <c r="M95" s="177">
        <v>2018</v>
      </c>
      <c r="N95" s="177" t="s">
        <v>614</v>
      </c>
      <c r="O95" s="177">
        <v>22</v>
      </c>
      <c r="P95" s="177">
        <v>203</v>
      </c>
      <c r="Q95" s="177" t="s">
        <v>623</v>
      </c>
      <c r="R95" s="177">
        <v>-70.884</v>
      </c>
      <c r="S95" s="177">
        <v>39.950000000000003</v>
      </c>
      <c r="T95" s="177" t="s">
        <v>271</v>
      </c>
      <c r="U95" s="177">
        <v>25</v>
      </c>
      <c r="V95" s="176" t="s">
        <v>573</v>
      </c>
      <c r="W95" t="s">
        <v>605</v>
      </c>
      <c r="X95" s="149"/>
    </row>
    <row r="96" spans="1:24">
      <c r="A96" s="167" t="s">
        <v>381</v>
      </c>
      <c r="C96" s="176" t="s">
        <v>435</v>
      </c>
      <c r="D96" s="176" t="s">
        <v>517</v>
      </c>
      <c r="E96" s="176" t="s">
        <v>495</v>
      </c>
      <c r="F96" s="177" t="s">
        <v>269</v>
      </c>
      <c r="G96" s="177">
        <v>1060</v>
      </c>
      <c r="H96" s="177">
        <v>18</v>
      </c>
      <c r="I96" s="177">
        <v>16</v>
      </c>
      <c r="J96" s="177">
        <v>4.8</v>
      </c>
      <c r="K96" s="177">
        <v>160</v>
      </c>
      <c r="L96" s="176" t="s">
        <v>570</v>
      </c>
      <c r="M96" s="177">
        <v>2018</v>
      </c>
      <c r="N96" s="177" t="s">
        <v>614</v>
      </c>
      <c r="O96" s="177">
        <v>22</v>
      </c>
      <c r="P96" s="177">
        <v>203</v>
      </c>
      <c r="Q96" s="177" t="s">
        <v>623</v>
      </c>
      <c r="R96" s="177">
        <v>-70.884</v>
      </c>
      <c r="S96" s="177">
        <v>39.950000000000003</v>
      </c>
      <c r="T96" s="177" t="s">
        <v>271</v>
      </c>
      <c r="U96" s="177">
        <v>25</v>
      </c>
      <c r="V96" s="176" t="s">
        <v>573</v>
      </c>
      <c r="W96" t="s">
        <v>605</v>
      </c>
      <c r="X96" s="149"/>
    </row>
    <row r="97" spans="1:24">
      <c r="A97" s="167" t="s">
        <v>382</v>
      </c>
      <c r="C97" s="176" t="s">
        <v>435</v>
      </c>
      <c r="D97" s="176" t="s">
        <v>518</v>
      </c>
      <c r="E97" s="176" t="s">
        <v>495</v>
      </c>
      <c r="F97" s="177" t="s">
        <v>269</v>
      </c>
      <c r="G97" s="177">
        <v>1060</v>
      </c>
      <c r="H97" s="177">
        <v>21</v>
      </c>
      <c r="I97" s="177">
        <v>11</v>
      </c>
      <c r="J97" s="177">
        <v>30</v>
      </c>
      <c r="K97" s="177">
        <v>1595</v>
      </c>
      <c r="L97" s="176" t="s">
        <v>570</v>
      </c>
      <c r="M97" s="177">
        <v>2018</v>
      </c>
      <c r="N97" s="177" t="s">
        <v>614</v>
      </c>
      <c r="O97" s="177">
        <v>23</v>
      </c>
      <c r="P97" s="177">
        <v>204</v>
      </c>
      <c r="Q97" s="186">
        <v>0.54027777777777775</v>
      </c>
      <c r="R97" s="177">
        <v>-70.88</v>
      </c>
      <c r="S97" s="177">
        <v>39.771999999999998</v>
      </c>
      <c r="T97" s="177" t="s">
        <v>271</v>
      </c>
      <c r="U97" s="177">
        <v>25</v>
      </c>
      <c r="V97" s="176" t="s">
        <v>573</v>
      </c>
      <c r="W97" t="s">
        <v>591</v>
      </c>
      <c r="X97" s="149"/>
    </row>
    <row r="98" spans="1:24">
      <c r="A98" s="167" t="s">
        <v>383</v>
      </c>
      <c r="C98" s="176" t="s">
        <v>435</v>
      </c>
      <c r="D98" s="176" t="s">
        <v>519</v>
      </c>
      <c r="E98" s="176" t="s">
        <v>495</v>
      </c>
      <c r="F98" s="177" t="s">
        <v>269</v>
      </c>
      <c r="G98" s="177">
        <v>1060</v>
      </c>
      <c r="H98" s="177">
        <v>21</v>
      </c>
      <c r="I98" s="177">
        <v>20</v>
      </c>
      <c r="J98" s="177">
        <v>4.5</v>
      </c>
      <c r="K98" s="177">
        <v>1595</v>
      </c>
      <c r="L98" s="176" t="s">
        <v>570</v>
      </c>
      <c r="M98" s="177">
        <v>2018</v>
      </c>
      <c r="N98" s="177" t="s">
        <v>614</v>
      </c>
      <c r="O98" s="177">
        <v>23</v>
      </c>
      <c r="P98" s="177">
        <v>204</v>
      </c>
      <c r="Q98" s="186">
        <v>0.54027777777777775</v>
      </c>
      <c r="R98" s="177">
        <v>-70.88</v>
      </c>
      <c r="S98" s="177">
        <v>39.771999999999998</v>
      </c>
      <c r="T98" s="177" t="s">
        <v>271</v>
      </c>
      <c r="U98" s="177">
        <v>25</v>
      </c>
      <c r="V98" s="176" t="s">
        <v>573</v>
      </c>
      <c r="W98" t="s">
        <v>591</v>
      </c>
      <c r="X98" s="149"/>
    </row>
    <row r="99" spans="1:24">
      <c r="A99" s="167" t="s">
        <v>384</v>
      </c>
      <c r="C99" s="176" t="s">
        <v>435</v>
      </c>
      <c r="D99" s="176" t="s">
        <v>520</v>
      </c>
      <c r="E99" s="176" t="s">
        <v>495</v>
      </c>
      <c r="F99" s="177" t="s">
        <v>269</v>
      </c>
      <c r="G99" s="177">
        <v>549</v>
      </c>
      <c r="H99" s="177">
        <v>35</v>
      </c>
      <c r="I99" s="177">
        <v>2</v>
      </c>
      <c r="J99" s="177">
        <v>14</v>
      </c>
      <c r="K99" s="177">
        <v>15</v>
      </c>
      <c r="L99" s="176" t="s">
        <v>570</v>
      </c>
      <c r="M99" s="177">
        <v>2018</v>
      </c>
      <c r="N99" s="177" t="s">
        <v>614</v>
      </c>
      <c r="O99" s="177">
        <v>25</v>
      </c>
      <c r="P99" s="177">
        <v>206</v>
      </c>
      <c r="Q99" s="186">
        <v>5.0694444444444452E-2</v>
      </c>
      <c r="R99" s="177">
        <v>-70.587000000000003</v>
      </c>
      <c r="S99" s="177">
        <v>41.323999999999998</v>
      </c>
      <c r="T99" s="177" t="s">
        <v>271</v>
      </c>
      <c r="U99" s="177">
        <v>25</v>
      </c>
      <c r="V99" s="176" t="s">
        <v>573</v>
      </c>
      <c r="W99" t="s">
        <v>596</v>
      </c>
      <c r="X99" s="149"/>
    </row>
    <row r="100" spans="1:24">
      <c r="A100" s="167" t="s">
        <v>385</v>
      </c>
      <c r="C100" s="176" t="s">
        <v>435</v>
      </c>
      <c r="D100" s="176" t="s">
        <v>521</v>
      </c>
      <c r="E100" s="176" t="s">
        <v>495</v>
      </c>
      <c r="F100" s="177" t="s">
        <v>269</v>
      </c>
      <c r="G100" s="177">
        <v>547</v>
      </c>
      <c r="H100" s="177">
        <v>35</v>
      </c>
      <c r="I100" s="177">
        <v>4</v>
      </c>
      <c r="J100" s="177">
        <v>7.5</v>
      </c>
      <c r="K100" s="177">
        <v>15</v>
      </c>
      <c r="L100" s="176" t="s">
        <v>570</v>
      </c>
      <c r="M100" s="177">
        <v>2018</v>
      </c>
      <c r="N100" s="177" t="s">
        <v>614</v>
      </c>
      <c r="O100" s="177">
        <v>25</v>
      </c>
      <c r="P100" s="177">
        <v>206</v>
      </c>
      <c r="Q100" s="186">
        <v>5.0694444444444452E-2</v>
      </c>
      <c r="R100" s="177">
        <v>-70.587000000000003</v>
      </c>
      <c r="S100" s="177">
        <v>41.323999999999998</v>
      </c>
      <c r="T100" s="177" t="s">
        <v>271</v>
      </c>
      <c r="U100" s="177">
        <v>25</v>
      </c>
      <c r="V100" s="176" t="s">
        <v>573</v>
      </c>
      <c r="W100" t="s">
        <v>596</v>
      </c>
      <c r="X100" s="149"/>
    </row>
    <row r="101" spans="1:24">
      <c r="A101" s="167" t="s">
        <v>386</v>
      </c>
      <c r="C101" s="176" t="s">
        <v>435</v>
      </c>
      <c r="D101" s="176" t="s">
        <v>522</v>
      </c>
      <c r="E101" s="176" t="s">
        <v>495</v>
      </c>
      <c r="F101" s="177" t="s">
        <v>269</v>
      </c>
      <c r="G101" s="177">
        <v>548</v>
      </c>
      <c r="H101" s="177">
        <v>35</v>
      </c>
      <c r="I101" s="177">
        <v>8</v>
      </c>
      <c r="J101" s="177">
        <v>4.5</v>
      </c>
      <c r="K101" s="177">
        <v>15</v>
      </c>
      <c r="L101" s="176" t="s">
        <v>570</v>
      </c>
      <c r="M101" s="177">
        <v>2018</v>
      </c>
      <c r="N101" s="177" t="s">
        <v>614</v>
      </c>
      <c r="O101" s="177">
        <v>25</v>
      </c>
      <c r="P101" s="177">
        <v>206</v>
      </c>
      <c r="Q101" s="186">
        <v>5.0694444444444452E-2</v>
      </c>
      <c r="R101" s="177">
        <v>-70.587000000000003</v>
      </c>
      <c r="S101" s="177">
        <v>41.323999999999998</v>
      </c>
      <c r="T101" s="177" t="s">
        <v>271</v>
      </c>
      <c r="U101" s="177">
        <v>25</v>
      </c>
      <c r="V101" s="176" t="s">
        <v>573</v>
      </c>
      <c r="W101" t="s">
        <v>596</v>
      </c>
      <c r="X101" s="149"/>
    </row>
    <row r="102" spans="1:24">
      <c r="A102" s="167" t="s">
        <v>387</v>
      </c>
      <c r="C102" s="176" t="s">
        <v>435</v>
      </c>
      <c r="D102" s="176" t="s">
        <v>523</v>
      </c>
      <c r="E102" s="176" t="s">
        <v>524</v>
      </c>
      <c r="F102" s="177" t="s">
        <v>269</v>
      </c>
      <c r="G102" s="177">
        <v>547</v>
      </c>
      <c r="H102" s="177">
        <v>1</v>
      </c>
      <c r="I102" s="177">
        <v>7</v>
      </c>
      <c r="J102" s="177">
        <v>29.6</v>
      </c>
      <c r="K102" s="177">
        <v>94</v>
      </c>
      <c r="L102" s="176" t="s">
        <v>570</v>
      </c>
      <c r="M102" s="177">
        <v>2018</v>
      </c>
      <c r="N102" s="177" t="s">
        <v>624</v>
      </c>
      <c r="O102" s="177">
        <v>21</v>
      </c>
      <c r="P102" s="177">
        <v>294</v>
      </c>
      <c r="Q102" s="177" t="s">
        <v>625</v>
      </c>
      <c r="R102" s="177">
        <v>-70.881</v>
      </c>
      <c r="S102" s="177">
        <v>40.360999999999997</v>
      </c>
      <c r="T102" s="177" t="s">
        <v>271</v>
      </c>
      <c r="U102" s="177">
        <v>25</v>
      </c>
      <c r="V102" s="176" t="s">
        <v>573</v>
      </c>
      <c r="W102" t="s">
        <v>584</v>
      </c>
      <c r="X102" s="149"/>
    </row>
    <row r="103" spans="1:24">
      <c r="A103" s="167" t="s">
        <v>388</v>
      </c>
      <c r="C103" s="176" t="s">
        <v>435</v>
      </c>
      <c r="D103" s="176" t="s">
        <v>525</v>
      </c>
      <c r="E103" s="176" t="s">
        <v>524</v>
      </c>
      <c r="F103" s="177" t="s">
        <v>269</v>
      </c>
      <c r="G103" s="177">
        <v>548</v>
      </c>
      <c r="H103" s="177">
        <v>1</v>
      </c>
      <c r="I103" s="177">
        <v>12</v>
      </c>
      <c r="J103" s="177">
        <v>4.4000000000000004</v>
      </c>
      <c r="K103" s="177">
        <v>94</v>
      </c>
      <c r="L103" s="176" t="s">
        <v>570</v>
      </c>
      <c r="M103" s="177">
        <v>2018</v>
      </c>
      <c r="N103" s="177" t="s">
        <v>624</v>
      </c>
      <c r="O103" s="177">
        <v>21</v>
      </c>
      <c r="P103" s="177">
        <v>294</v>
      </c>
      <c r="Q103" s="177" t="s">
        <v>625</v>
      </c>
      <c r="R103" s="177">
        <v>-70.881</v>
      </c>
      <c r="S103" s="177">
        <v>40.360999999999997</v>
      </c>
      <c r="T103" s="177" t="s">
        <v>271</v>
      </c>
      <c r="U103" s="177">
        <v>25</v>
      </c>
      <c r="V103" s="176" t="s">
        <v>573</v>
      </c>
      <c r="W103" t="s">
        <v>584</v>
      </c>
      <c r="X103" s="149"/>
    </row>
    <row r="104" spans="1:24">
      <c r="A104" s="167" t="s">
        <v>389</v>
      </c>
      <c r="C104" s="176" t="s">
        <v>435</v>
      </c>
      <c r="D104" s="176" t="s">
        <v>526</v>
      </c>
      <c r="E104" s="176" t="s">
        <v>524</v>
      </c>
      <c r="F104" s="177" t="s">
        <v>269</v>
      </c>
      <c r="G104" s="177">
        <v>547</v>
      </c>
      <c r="H104" s="177">
        <v>2</v>
      </c>
      <c r="I104" s="177">
        <v>7</v>
      </c>
      <c r="J104" s="177">
        <v>24.9</v>
      </c>
      <c r="K104" s="177">
        <v>76</v>
      </c>
      <c r="L104" s="176" t="s">
        <v>570</v>
      </c>
      <c r="M104" s="177">
        <v>2018</v>
      </c>
      <c r="N104" s="177" t="s">
        <v>624</v>
      </c>
      <c r="O104" s="177">
        <v>21</v>
      </c>
      <c r="P104" s="177">
        <v>294</v>
      </c>
      <c r="Q104" s="177" t="s">
        <v>626</v>
      </c>
      <c r="R104" s="177">
        <v>-70.881</v>
      </c>
      <c r="S104" s="177">
        <v>40.515000000000001</v>
      </c>
      <c r="T104" s="177" t="s">
        <v>271</v>
      </c>
      <c r="U104" s="177">
        <v>25</v>
      </c>
      <c r="V104" s="176" t="s">
        <v>573</v>
      </c>
      <c r="W104" t="s">
        <v>582</v>
      </c>
      <c r="X104" s="149"/>
    </row>
    <row r="105" spans="1:24">
      <c r="A105" s="167" t="s">
        <v>390</v>
      </c>
      <c r="C105" s="176" t="s">
        <v>435</v>
      </c>
      <c r="D105" s="176" t="s">
        <v>527</v>
      </c>
      <c r="E105" s="176" t="s">
        <v>524</v>
      </c>
      <c r="F105" s="177" t="s">
        <v>269</v>
      </c>
      <c r="G105" s="177">
        <v>548</v>
      </c>
      <c r="H105" s="177">
        <v>2</v>
      </c>
      <c r="I105" s="177">
        <v>9</v>
      </c>
      <c r="J105" s="177">
        <v>2.9</v>
      </c>
      <c r="K105" s="177">
        <v>76</v>
      </c>
      <c r="L105" s="176" t="s">
        <v>570</v>
      </c>
      <c r="M105" s="177">
        <v>2018</v>
      </c>
      <c r="N105" s="177" t="s">
        <v>624</v>
      </c>
      <c r="O105" s="177">
        <v>21</v>
      </c>
      <c r="P105" s="177">
        <v>294</v>
      </c>
      <c r="Q105" s="177" t="s">
        <v>626</v>
      </c>
      <c r="R105" s="177">
        <v>-70.881</v>
      </c>
      <c r="S105" s="177">
        <v>40.515000000000001</v>
      </c>
      <c r="T105" s="177" t="s">
        <v>271</v>
      </c>
      <c r="U105" s="177">
        <v>25</v>
      </c>
      <c r="V105" s="176" t="s">
        <v>573</v>
      </c>
      <c r="W105" t="s">
        <v>582</v>
      </c>
      <c r="X105" s="149"/>
    </row>
    <row r="106" spans="1:24">
      <c r="A106" s="167" t="s">
        <v>391</v>
      </c>
      <c r="C106" s="176" t="s">
        <v>435</v>
      </c>
      <c r="D106" s="176" t="s">
        <v>528</v>
      </c>
      <c r="E106" s="176" t="s">
        <v>524</v>
      </c>
      <c r="F106" s="177" t="s">
        <v>272</v>
      </c>
      <c r="G106" s="177">
        <v>547</v>
      </c>
      <c r="H106" s="177">
        <v>3</v>
      </c>
      <c r="I106" s="177">
        <v>3</v>
      </c>
      <c r="J106" s="177">
        <v>35.299999999999997</v>
      </c>
      <c r="K106" s="177">
        <v>76</v>
      </c>
      <c r="L106" s="176" t="s">
        <v>570</v>
      </c>
      <c r="M106" s="177">
        <v>2018</v>
      </c>
      <c r="N106" s="177" t="s">
        <v>624</v>
      </c>
      <c r="O106" s="177">
        <v>21</v>
      </c>
      <c r="P106" s="177">
        <v>294</v>
      </c>
      <c r="Q106" s="177" t="s">
        <v>627</v>
      </c>
      <c r="R106" s="177">
        <v>-70.884</v>
      </c>
      <c r="S106" s="177">
        <v>40.695999999999998</v>
      </c>
      <c r="T106" s="177" t="s">
        <v>271</v>
      </c>
      <c r="U106" s="177">
        <v>25</v>
      </c>
      <c r="V106" s="176" t="s">
        <v>573</v>
      </c>
      <c r="W106" t="s">
        <v>580</v>
      </c>
      <c r="X106" s="149"/>
    </row>
    <row r="107" spans="1:24">
      <c r="A107" s="167" t="s">
        <v>392</v>
      </c>
      <c r="C107" s="176" t="s">
        <v>435</v>
      </c>
      <c r="D107" s="176" t="s">
        <v>529</v>
      </c>
      <c r="E107" s="176" t="s">
        <v>524</v>
      </c>
      <c r="F107" s="177" t="s">
        <v>272</v>
      </c>
      <c r="G107" s="177">
        <v>532</v>
      </c>
      <c r="H107" s="177">
        <v>3</v>
      </c>
      <c r="I107" s="177">
        <v>3</v>
      </c>
      <c r="J107" s="177">
        <v>35.299999999999997</v>
      </c>
      <c r="K107" s="177">
        <v>76</v>
      </c>
      <c r="L107" s="176" t="s">
        <v>570</v>
      </c>
      <c r="M107" s="177">
        <v>2018</v>
      </c>
      <c r="N107" s="177" t="s">
        <v>624</v>
      </c>
      <c r="O107" s="177">
        <v>21</v>
      </c>
      <c r="P107" s="177">
        <v>294</v>
      </c>
      <c r="Q107" s="177" t="s">
        <v>627</v>
      </c>
      <c r="R107" s="177">
        <v>-70.884</v>
      </c>
      <c r="S107" s="177">
        <v>40.695999999999998</v>
      </c>
      <c r="T107" s="177" t="s">
        <v>271</v>
      </c>
      <c r="U107" s="177">
        <v>25</v>
      </c>
      <c r="V107" s="176" t="s">
        <v>573</v>
      </c>
      <c r="W107" t="s">
        <v>580</v>
      </c>
      <c r="X107" s="149"/>
    </row>
    <row r="108" spans="1:24">
      <c r="A108" s="167" t="s">
        <v>393</v>
      </c>
      <c r="C108" s="176" t="s">
        <v>435</v>
      </c>
      <c r="D108" s="176" t="s">
        <v>530</v>
      </c>
      <c r="E108" s="176" t="s">
        <v>524</v>
      </c>
      <c r="F108" s="177" t="s">
        <v>269</v>
      </c>
      <c r="G108" s="177">
        <v>548</v>
      </c>
      <c r="H108" s="177">
        <v>3</v>
      </c>
      <c r="I108" s="177">
        <v>7</v>
      </c>
      <c r="J108" s="177">
        <v>2.2999999999999998</v>
      </c>
      <c r="K108" s="177">
        <v>76</v>
      </c>
      <c r="L108" s="176" t="s">
        <v>570</v>
      </c>
      <c r="M108" s="177">
        <v>2018</v>
      </c>
      <c r="N108" s="177" t="s">
        <v>624</v>
      </c>
      <c r="O108" s="177">
        <v>21</v>
      </c>
      <c r="P108" s="177">
        <v>294</v>
      </c>
      <c r="Q108" s="177" t="s">
        <v>627</v>
      </c>
      <c r="R108" s="177">
        <v>-70.884</v>
      </c>
      <c r="S108" s="177">
        <v>40.695999999999998</v>
      </c>
      <c r="T108" s="177" t="s">
        <v>271</v>
      </c>
      <c r="U108" s="177">
        <v>25</v>
      </c>
      <c r="V108" s="176" t="s">
        <v>573</v>
      </c>
      <c r="W108" t="s">
        <v>580</v>
      </c>
      <c r="X108" s="149"/>
    </row>
    <row r="109" spans="1:24">
      <c r="A109" s="167" t="s">
        <v>394</v>
      </c>
      <c r="C109" s="176" t="s">
        <v>435</v>
      </c>
      <c r="D109" s="176" t="s">
        <v>531</v>
      </c>
      <c r="E109" s="176" t="s">
        <v>524</v>
      </c>
      <c r="F109" s="177" t="s">
        <v>269</v>
      </c>
      <c r="G109" s="177">
        <v>547</v>
      </c>
      <c r="H109" s="177">
        <v>4</v>
      </c>
      <c r="I109" s="177">
        <v>3</v>
      </c>
      <c r="J109" s="177">
        <v>40.200000000000003</v>
      </c>
      <c r="K109" s="177">
        <v>54</v>
      </c>
      <c r="L109" s="176" t="s">
        <v>570</v>
      </c>
      <c r="M109" s="177">
        <v>2018</v>
      </c>
      <c r="N109" s="177" t="s">
        <v>624</v>
      </c>
      <c r="O109" s="177">
        <v>21</v>
      </c>
      <c r="P109" s="177">
        <v>294</v>
      </c>
      <c r="Q109" s="177" t="s">
        <v>628</v>
      </c>
      <c r="R109" s="177">
        <v>-70.884</v>
      </c>
      <c r="S109" s="177">
        <v>40.863</v>
      </c>
      <c r="T109" s="177" t="s">
        <v>271</v>
      </c>
      <c r="U109" s="177">
        <v>25</v>
      </c>
      <c r="V109" s="176" t="s">
        <v>573</v>
      </c>
      <c r="W109" t="s">
        <v>578</v>
      </c>
      <c r="X109" s="149"/>
    </row>
    <row r="110" spans="1:24">
      <c r="A110" s="167" t="s">
        <v>395</v>
      </c>
      <c r="C110" s="176" t="s">
        <v>435</v>
      </c>
      <c r="D110" s="176" t="s">
        <v>532</v>
      </c>
      <c r="E110" s="176" t="s">
        <v>524</v>
      </c>
      <c r="F110" s="177" t="s">
        <v>269</v>
      </c>
      <c r="G110" s="177">
        <v>548</v>
      </c>
      <c r="H110" s="177">
        <v>4</v>
      </c>
      <c r="I110" s="177">
        <v>7</v>
      </c>
      <c r="J110" s="177">
        <v>3</v>
      </c>
      <c r="K110" s="177">
        <v>54</v>
      </c>
      <c r="L110" s="176" t="s">
        <v>570</v>
      </c>
      <c r="M110" s="177">
        <v>2018</v>
      </c>
      <c r="N110" s="177" t="s">
        <v>624</v>
      </c>
      <c r="O110" s="177">
        <v>21</v>
      </c>
      <c r="P110" s="177">
        <v>294</v>
      </c>
      <c r="Q110" s="177" t="s">
        <v>628</v>
      </c>
      <c r="R110" s="177">
        <v>-70.884</v>
      </c>
      <c r="S110" s="177">
        <v>40.863</v>
      </c>
      <c r="T110" s="177" t="s">
        <v>271</v>
      </c>
      <c r="U110" s="177">
        <v>25</v>
      </c>
      <c r="V110" s="176" t="s">
        <v>573</v>
      </c>
      <c r="W110" t="s">
        <v>578</v>
      </c>
      <c r="X110" s="149"/>
    </row>
    <row r="111" spans="1:24">
      <c r="A111" s="167" t="s">
        <v>396</v>
      </c>
      <c r="C111" s="176" t="s">
        <v>435</v>
      </c>
      <c r="D111" s="176" t="s">
        <v>533</v>
      </c>
      <c r="E111" s="176" t="s">
        <v>524</v>
      </c>
      <c r="F111" s="177" t="s">
        <v>269</v>
      </c>
      <c r="G111" s="177">
        <v>547</v>
      </c>
      <c r="H111" s="177">
        <v>5</v>
      </c>
      <c r="I111" s="177">
        <v>3</v>
      </c>
      <c r="J111" s="177">
        <v>29.8</v>
      </c>
      <c r="K111" s="177">
        <v>45</v>
      </c>
      <c r="L111" s="176" t="s">
        <v>570</v>
      </c>
      <c r="M111" s="177">
        <v>2018</v>
      </c>
      <c r="N111" s="177" t="s">
        <v>624</v>
      </c>
      <c r="O111" s="177">
        <v>21</v>
      </c>
      <c r="P111" s="177">
        <v>294</v>
      </c>
      <c r="Q111" s="177" t="s">
        <v>629</v>
      </c>
      <c r="R111" s="177">
        <v>-70.882999999999996</v>
      </c>
      <c r="S111" s="177">
        <v>41.030999999999999</v>
      </c>
      <c r="T111" s="177" t="s">
        <v>271</v>
      </c>
      <c r="U111" s="177">
        <v>25</v>
      </c>
      <c r="V111" s="176" t="s">
        <v>573</v>
      </c>
      <c r="W111" t="s">
        <v>576</v>
      </c>
      <c r="X111" s="149"/>
    </row>
    <row r="112" spans="1:24">
      <c r="A112" s="167" t="s">
        <v>397</v>
      </c>
      <c r="C112" s="176" t="s">
        <v>435</v>
      </c>
      <c r="D112" s="176" t="s">
        <v>534</v>
      </c>
      <c r="E112" s="176" t="s">
        <v>524</v>
      </c>
      <c r="F112" s="177" t="s">
        <v>269</v>
      </c>
      <c r="G112" s="177">
        <v>548</v>
      </c>
      <c r="H112" s="177">
        <v>5</v>
      </c>
      <c r="I112" s="177">
        <v>7</v>
      </c>
      <c r="J112" s="177">
        <v>3.1</v>
      </c>
      <c r="K112" s="177">
        <v>45</v>
      </c>
      <c r="L112" s="176" t="s">
        <v>570</v>
      </c>
      <c r="M112" s="177">
        <v>2018</v>
      </c>
      <c r="N112" s="177" t="s">
        <v>624</v>
      </c>
      <c r="O112" s="177">
        <v>21</v>
      </c>
      <c r="P112" s="177">
        <v>294</v>
      </c>
      <c r="Q112" s="177" t="s">
        <v>629</v>
      </c>
      <c r="R112" s="177">
        <v>-70.882999999999996</v>
      </c>
      <c r="S112" s="177">
        <v>41.030999999999999</v>
      </c>
      <c r="T112" s="177" t="s">
        <v>271</v>
      </c>
      <c r="U112" s="177">
        <v>25</v>
      </c>
      <c r="V112" s="176" t="s">
        <v>573</v>
      </c>
      <c r="W112" t="s">
        <v>576</v>
      </c>
      <c r="X112" s="149"/>
    </row>
    <row r="113" spans="1:24">
      <c r="A113" s="167" t="s">
        <v>398</v>
      </c>
      <c r="C113" s="176" t="s">
        <v>435</v>
      </c>
      <c r="D113" s="176" t="s">
        <v>536</v>
      </c>
      <c r="E113" s="176" t="s">
        <v>524</v>
      </c>
      <c r="F113" s="177" t="s">
        <v>272</v>
      </c>
      <c r="G113" s="177">
        <v>547</v>
      </c>
      <c r="H113" s="177">
        <v>6</v>
      </c>
      <c r="I113" s="177">
        <v>3</v>
      </c>
      <c r="J113" s="177">
        <v>3.4</v>
      </c>
      <c r="K113" s="177">
        <v>23</v>
      </c>
      <c r="L113" s="176" t="s">
        <v>570</v>
      </c>
      <c r="M113" s="177">
        <v>2018</v>
      </c>
      <c r="N113" s="177" t="s">
        <v>624</v>
      </c>
      <c r="O113" s="177">
        <v>21</v>
      </c>
      <c r="P113" s="177">
        <v>294</v>
      </c>
      <c r="Q113" s="177" t="s">
        <v>630</v>
      </c>
      <c r="R113" s="177">
        <v>-70.882999999999996</v>
      </c>
      <c r="S113" s="177">
        <v>41.197000000000003</v>
      </c>
      <c r="T113" s="177" t="s">
        <v>271</v>
      </c>
      <c r="U113" s="177">
        <v>25</v>
      </c>
      <c r="V113" s="176" t="s">
        <v>573</v>
      </c>
      <c r="W113" t="s">
        <v>574</v>
      </c>
      <c r="X113" s="149"/>
    </row>
    <row r="114" spans="1:24">
      <c r="A114" s="167" t="s">
        <v>399</v>
      </c>
      <c r="C114" s="176" t="s">
        <v>435</v>
      </c>
      <c r="D114" s="187" t="s">
        <v>537</v>
      </c>
      <c r="E114" s="176" t="s">
        <v>524</v>
      </c>
      <c r="F114" s="177" t="s">
        <v>272</v>
      </c>
      <c r="G114" s="177">
        <v>548</v>
      </c>
      <c r="H114" s="177">
        <v>6</v>
      </c>
      <c r="I114" s="177">
        <v>3</v>
      </c>
      <c r="J114" s="177">
        <v>3.4</v>
      </c>
      <c r="K114" s="177">
        <v>23</v>
      </c>
      <c r="L114" s="176" t="s">
        <v>570</v>
      </c>
      <c r="M114" s="177">
        <v>2018</v>
      </c>
      <c r="N114" s="177" t="s">
        <v>624</v>
      </c>
      <c r="O114" s="177">
        <v>21</v>
      </c>
      <c r="P114" s="177">
        <v>294</v>
      </c>
      <c r="Q114" s="177" t="s">
        <v>630</v>
      </c>
      <c r="R114" s="177">
        <v>-70.882999999999996</v>
      </c>
      <c r="S114" s="177">
        <v>41.197000000000003</v>
      </c>
      <c r="T114" s="177" t="s">
        <v>271</v>
      </c>
      <c r="U114" s="177">
        <v>25</v>
      </c>
      <c r="V114" s="176" t="s">
        <v>573</v>
      </c>
      <c r="W114" t="s">
        <v>574</v>
      </c>
      <c r="X114" s="149"/>
    </row>
    <row r="115" spans="1:24">
      <c r="A115" s="167" t="s">
        <v>400</v>
      </c>
      <c r="C115" s="176" t="s">
        <v>435</v>
      </c>
      <c r="D115" s="176" t="s">
        <v>538</v>
      </c>
      <c r="E115" s="176" t="s">
        <v>539</v>
      </c>
      <c r="F115" s="177" t="s">
        <v>269</v>
      </c>
      <c r="G115" s="177">
        <v>539</v>
      </c>
      <c r="H115" s="177">
        <v>3</v>
      </c>
      <c r="I115" s="177">
        <v>3</v>
      </c>
      <c r="J115" s="177">
        <v>11.8</v>
      </c>
      <c r="K115" s="177">
        <v>22</v>
      </c>
      <c r="L115" s="176" t="s">
        <v>570</v>
      </c>
      <c r="M115" s="177">
        <v>2019</v>
      </c>
      <c r="N115" s="177" t="s">
        <v>270</v>
      </c>
      <c r="O115" s="177">
        <v>1</v>
      </c>
      <c r="P115" s="177">
        <v>32</v>
      </c>
      <c r="Q115" s="177" t="s">
        <v>631</v>
      </c>
      <c r="R115" s="177">
        <v>-70.882000000000005</v>
      </c>
      <c r="S115" s="177">
        <v>41.197000000000003</v>
      </c>
      <c r="T115" s="177" t="s">
        <v>271</v>
      </c>
      <c r="U115" s="177">
        <v>25</v>
      </c>
      <c r="V115" s="176" t="s">
        <v>573</v>
      </c>
      <c r="W115" t="s">
        <v>574</v>
      </c>
      <c r="X115" s="149"/>
    </row>
    <row r="116" spans="1:24">
      <c r="A116" s="167" t="s">
        <v>401</v>
      </c>
      <c r="C116" s="176" t="s">
        <v>435</v>
      </c>
      <c r="D116" s="176" t="s">
        <v>540</v>
      </c>
      <c r="E116" s="176" t="s">
        <v>539</v>
      </c>
      <c r="F116" s="177" t="s">
        <v>272</v>
      </c>
      <c r="G116" s="177">
        <v>547</v>
      </c>
      <c r="H116" s="177">
        <v>3</v>
      </c>
      <c r="I116" s="177">
        <v>7</v>
      </c>
      <c r="J116" s="177">
        <v>2.1</v>
      </c>
      <c r="K116" s="177">
        <v>22</v>
      </c>
      <c r="L116" s="176" t="s">
        <v>570</v>
      </c>
      <c r="M116" s="177">
        <v>2019</v>
      </c>
      <c r="N116" s="177" t="s">
        <v>270</v>
      </c>
      <c r="O116" s="177">
        <v>1</v>
      </c>
      <c r="P116" s="177">
        <v>32</v>
      </c>
      <c r="Q116" s="177" t="s">
        <v>631</v>
      </c>
      <c r="R116" s="177">
        <v>-70.882000000000005</v>
      </c>
      <c r="S116" s="177">
        <v>41.197000000000003</v>
      </c>
      <c r="T116" s="177" t="s">
        <v>271</v>
      </c>
      <c r="U116" s="177">
        <v>25</v>
      </c>
      <c r="V116" s="176" t="s">
        <v>573</v>
      </c>
      <c r="W116" t="s">
        <v>574</v>
      </c>
      <c r="X116" s="149"/>
    </row>
    <row r="117" spans="1:24">
      <c r="A117" s="167" t="s">
        <v>402</v>
      </c>
      <c r="C117" s="176" t="s">
        <v>435</v>
      </c>
      <c r="D117" s="176" t="s">
        <v>541</v>
      </c>
      <c r="E117" s="176" t="s">
        <v>539</v>
      </c>
      <c r="F117" s="177" t="s">
        <v>272</v>
      </c>
      <c r="G117" s="177">
        <v>540</v>
      </c>
      <c r="H117" s="177">
        <v>3</v>
      </c>
      <c r="I117" s="177">
        <v>7</v>
      </c>
      <c r="J117" s="177">
        <v>2.1</v>
      </c>
      <c r="K117" s="177">
        <v>22</v>
      </c>
      <c r="L117" s="176" t="s">
        <v>570</v>
      </c>
      <c r="M117" s="177">
        <v>2019</v>
      </c>
      <c r="N117" s="177" t="s">
        <v>270</v>
      </c>
      <c r="O117" s="177">
        <v>1</v>
      </c>
      <c r="P117" s="177">
        <v>32</v>
      </c>
      <c r="Q117" s="177" t="s">
        <v>631</v>
      </c>
      <c r="R117" s="177">
        <v>-70.882000000000005</v>
      </c>
      <c r="S117" s="177">
        <v>41.197000000000003</v>
      </c>
      <c r="T117" s="177" t="s">
        <v>271</v>
      </c>
      <c r="U117" s="177">
        <v>25</v>
      </c>
      <c r="V117" s="176" t="s">
        <v>573</v>
      </c>
      <c r="W117" t="s">
        <v>574</v>
      </c>
      <c r="X117" s="149"/>
    </row>
    <row r="118" spans="1:24">
      <c r="A118" s="167" t="s">
        <v>403</v>
      </c>
      <c r="C118" s="176" t="s">
        <v>435</v>
      </c>
      <c r="D118" s="176" t="s">
        <v>542</v>
      </c>
      <c r="E118" s="176" t="s">
        <v>539</v>
      </c>
      <c r="F118" s="177" t="s">
        <v>269</v>
      </c>
      <c r="G118" s="177">
        <v>539</v>
      </c>
      <c r="H118" s="177">
        <v>7</v>
      </c>
      <c r="I118" s="177">
        <v>4</v>
      </c>
      <c r="J118" s="177">
        <v>30.4</v>
      </c>
      <c r="K118" s="177">
        <v>46</v>
      </c>
      <c r="L118" s="176" t="s">
        <v>570</v>
      </c>
      <c r="M118" s="177">
        <v>2019</v>
      </c>
      <c r="N118" s="177" t="s">
        <v>270</v>
      </c>
      <c r="O118" s="177">
        <v>2</v>
      </c>
      <c r="P118" s="177">
        <v>33</v>
      </c>
      <c r="Q118" s="177" t="s">
        <v>632</v>
      </c>
      <c r="R118" s="177">
        <v>-70.882000000000005</v>
      </c>
      <c r="S118" s="177">
        <v>41.027999999999999</v>
      </c>
      <c r="T118" s="177" t="s">
        <v>271</v>
      </c>
      <c r="U118" s="177">
        <v>25</v>
      </c>
      <c r="V118" s="176" t="s">
        <v>573</v>
      </c>
      <c r="W118" t="s">
        <v>576</v>
      </c>
      <c r="X118" s="149"/>
    </row>
    <row r="119" spans="1:24">
      <c r="A119" s="167" t="s">
        <v>404</v>
      </c>
      <c r="C119" s="176" t="s">
        <v>435</v>
      </c>
      <c r="D119" s="176" t="s">
        <v>543</v>
      </c>
      <c r="E119" s="176" t="s">
        <v>539</v>
      </c>
      <c r="F119" s="177" t="s">
        <v>269</v>
      </c>
      <c r="G119" s="177">
        <v>548</v>
      </c>
      <c r="H119" s="177">
        <v>7</v>
      </c>
      <c r="I119" s="177">
        <v>10</v>
      </c>
      <c r="J119" s="177">
        <v>3.8</v>
      </c>
      <c r="K119" s="177">
        <v>46</v>
      </c>
      <c r="L119" s="176" t="s">
        <v>570</v>
      </c>
      <c r="M119" s="177">
        <v>2019</v>
      </c>
      <c r="N119" s="177" t="s">
        <v>270</v>
      </c>
      <c r="O119" s="177">
        <v>2</v>
      </c>
      <c r="P119" s="177">
        <v>33</v>
      </c>
      <c r="Q119" s="177" t="s">
        <v>632</v>
      </c>
      <c r="R119" s="177">
        <v>-70.882000000000005</v>
      </c>
      <c r="S119" s="177">
        <v>41.027999999999999</v>
      </c>
      <c r="T119" s="177" t="s">
        <v>271</v>
      </c>
      <c r="U119" s="177">
        <v>25</v>
      </c>
      <c r="V119" s="176" t="s">
        <v>573</v>
      </c>
      <c r="W119" t="s">
        <v>576</v>
      </c>
      <c r="X119" s="149"/>
    </row>
    <row r="120" spans="1:24">
      <c r="A120" s="167" t="s">
        <v>405</v>
      </c>
      <c r="C120" s="176" t="s">
        <v>435</v>
      </c>
      <c r="D120" s="176" t="s">
        <v>544</v>
      </c>
      <c r="E120" s="176" t="s">
        <v>539</v>
      </c>
      <c r="F120" s="177" t="s">
        <v>272</v>
      </c>
      <c r="G120" s="177">
        <v>539</v>
      </c>
      <c r="H120" s="177">
        <v>8</v>
      </c>
      <c r="I120" s="177">
        <v>1</v>
      </c>
      <c r="J120" s="177">
        <v>50.7</v>
      </c>
      <c r="K120" s="177">
        <v>56</v>
      </c>
      <c r="L120" s="176" t="s">
        <v>570</v>
      </c>
      <c r="M120" s="177">
        <v>2019</v>
      </c>
      <c r="N120" s="177" t="s">
        <v>270</v>
      </c>
      <c r="O120" s="177">
        <v>2</v>
      </c>
      <c r="P120" s="177">
        <v>33</v>
      </c>
      <c r="Q120" s="177" t="s">
        <v>633</v>
      </c>
      <c r="R120" s="177">
        <v>-70.885000000000005</v>
      </c>
      <c r="S120" s="177">
        <v>40.863</v>
      </c>
      <c r="T120" s="177" t="s">
        <v>271</v>
      </c>
      <c r="U120" s="177">
        <v>25</v>
      </c>
      <c r="V120" s="176" t="s">
        <v>573</v>
      </c>
      <c r="W120" t="s">
        <v>578</v>
      </c>
      <c r="X120" s="149"/>
    </row>
    <row r="121" spans="1:24">
      <c r="A121" s="167" t="s">
        <v>406</v>
      </c>
      <c r="C121" s="176" t="s">
        <v>435</v>
      </c>
      <c r="D121" s="176" t="s">
        <v>545</v>
      </c>
      <c r="E121" s="176" t="s">
        <v>539</v>
      </c>
      <c r="F121" s="177" t="s">
        <v>272</v>
      </c>
      <c r="G121" s="177">
        <v>539</v>
      </c>
      <c r="H121" s="177">
        <v>8</v>
      </c>
      <c r="I121" s="177">
        <v>1</v>
      </c>
      <c r="J121" s="177">
        <v>50.7</v>
      </c>
      <c r="K121" s="177">
        <v>56</v>
      </c>
      <c r="L121" s="176" t="s">
        <v>570</v>
      </c>
      <c r="M121" s="177">
        <v>2019</v>
      </c>
      <c r="N121" s="177" t="s">
        <v>270</v>
      </c>
      <c r="O121" s="177">
        <v>2</v>
      </c>
      <c r="P121" s="177">
        <v>33</v>
      </c>
      <c r="Q121" s="177" t="s">
        <v>633</v>
      </c>
      <c r="R121" s="177">
        <v>-70.885000000000005</v>
      </c>
      <c r="S121" s="177">
        <v>40.863</v>
      </c>
      <c r="T121" s="177" t="s">
        <v>271</v>
      </c>
      <c r="U121" s="177">
        <v>25</v>
      </c>
      <c r="V121" s="176" t="s">
        <v>573</v>
      </c>
      <c r="W121" t="s">
        <v>578</v>
      </c>
      <c r="X121" s="149"/>
    </row>
    <row r="122" spans="1:24">
      <c r="A122" s="167" t="s">
        <v>407</v>
      </c>
      <c r="C122" s="176" t="s">
        <v>435</v>
      </c>
      <c r="D122" s="176" t="s">
        <v>546</v>
      </c>
      <c r="E122" s="176" t="s">
        <v>539</v>
      </c>
      <c r="F122" s="177" t="s">
        <v>269</v>
      </c>
      <c r="G122" s="177">
        <v>548</v>
      </c>
      <c r="H122" s="177">
        <v>8</v>
      </c>
      <c r="I122" s="177">
        <v>8</v>
      </c>
      <c r="J122" s="177">
        <v>5.0999999999999996</v>
      </c>
      <c r="K122" s="177">
        <v>56</v>
      </c>
      <c r="L122" s="176" t="s">
        <v>570</v>
      </c>
      <c r="M122" s="177">
        <v>2019</v>
      </c>
      <c r="N122" s="177" t="s">
        <v>270</v>
      </c>
      <c r="O122" s="177">
        <v>2</v>
      </c>
      <c r="P122" s="177">
        <v>33</v>
      </c>
      <c r="Q122" s="177" t="s">
        <v>633</v>
      </c>
      <c r="R122" s="177">
        <v>-70.885000000000005</v>
      </c>
      <c r="S122" s="177">
        <v>40.863</v>
      </c>
      <c r="T122" s="177" t="s">
        <v>271</v>
      </c>
      <c r="U122" s="177">
        <v>25</v>
      </c>
      <c r="V122" s="176" t="s">
        <v>573</v>
      </c>
      <c r="W122" t="s">
        <v>578</v>
      </c>
      <c r="X122" s="149"/>
    </row>
    <row r="123" spans="1:24">
      <c r="A123" s="167" t="s">
        <v>408</v>
      </c>
      <c r="C123" s="176" t="s">
        <v>435</v>
      </c>
      <c r="D123" s="176" t="s">
        <v>547</v>
      </c>
      <c r="E123" s="176" t="s">
        <v>539</v>
      </c>
      <c r="F123" s="177" t="s">
        <v>269</v>
      </c>
      <c r="G123" s="177">
        <v>548</v>
      </c>
      <c r="H123" s="177">
        <v>12</v>
      </c>
      <c r="I123" s="177">
        <v>10</v>
      </c>
      <c r="J123" s="177">
        <v>3.3</v>
      </c>
      <c r="K123" s="177">
        <v>66</v>
      </c>
      <c r="L123" s="176" t="s">
        <v>570</v>
      </c>
      <c r="M123" s="177">
        <v>2019</v>
      </c>
      <c r="N123" s="177" t="s">
        <v>270</v>
      </c>
      <c r="O123" s="177">
        <v>2</v>
      </c>
      <c r="P123" s="177">
        <v>33</v>
      </c>
      <c r="Q123" s="177" t="s">
        <v>634</v>
      </c>
      <c r="R123" s="177">
        <v>-70.882999999999996</v>
      </c>
      <c r="S123" s="177">
        <v>40.697000000000003</v>
      </c>
      <c r="T123" s="177" t="s">
        <v>271</v>
      </c>
      <c r="U123" s="177">
        <v>25</v>
      </c>
      <c r="V123" s="176" t="s">
        <v>573</v>
      </c>
      <c r="W123" t="s">
        <v>580</v>
      </c>
      <c r="X123" s="149"/>
    </row>
    <row r="124" spans="1:24">
      <c r="A124" s="167" t="s">
        <v>410</v>
      </c>
      <c r="C124" s="176" t="s">
        <v>435</v>
      </c>
      <c r="D124" s="176" t="s">
        <v>548</v>
      </c>
      <c r="E124" s="176" t="s">
        <v>539</v>
      </c>
      <c r="F124" s="177" t="s">
        <v>269</v>
      </c>
      <c r="G124" s="177">
        <v>547</v>
      </c>
      <c r="H124" s="177">
        <v>12</v>
      </c>
      <c r="I124" s="177">
        <v>8</v>
      </c>
      <c r="J124" s="177">
        <v>15.2</v>
      </c>
      <c r="K124" s="177">
        <v>66</v>
      </c>
      <c r="L124" s="176" t="s">
        <v>570</v>
      </c>
      <c r="M124" s="177">
        <v>2019</v>
      </c>
      <c r="N124" s="177" t="s">
        <v>270</v>
      </c>
      <c r="O124" s="177">
        <v>2</v>
      </c>
      <c r="P124" s="177">
        <v>33</v>
      </c>
      <c r="Q124" s="177" t="s">
        <v>634</v>
      </c>
      <c r="R124" s="177">
        <v>-70.882999999999996</v>
      </c>
      <c r="S124" s="177">
        <v>40.697000000000003</v>
      </c>
      <c r="T124" s="177" t="s">
        <v>271</v>
      </c>
      <c r="U124" s="177">
        <v>25</v>
      </c>
      <c r="V124" s="176" t="s">
        <v>573</v>
      </c>
      <c r="W124" t="s">
        <v>580</v>
      </c>
      <c r="X124" s="149"/>
    </row>
    <row r="125" spans="1:24">
      <c r="A125" s="167" t="s">
        <v>411</v>
      </c>
      <c r="C125" s="176" t="s">
        <v>435</v>
      </c>
      <c r="D125" s="176" t="s">
        <v>549</v>
      </c>
      <c r="E125" s="176" t="s">
        <v>539</v>
      </c>
      <c r="F125" s="177" t="s">
        <v>269</v>
      </c>
      <c r="G125" s="177">
        <v>548</v>
      </c>
      <c r="H125" s="177">
        <v>13</v>
      </c>
      <c r="I125" s="177">
        <v>10</v>
      </c>
      <c r="J125" s="177">
        <v>3.9</v>
      </c>
      <c r="K125" s="177">
        <v>78</v>
      </c>
      <c r="L125" s="176" t="s">
        <v>570</v>
      </c>
      <c r="M125" s="177">
        <v>2019</v>
      </c>
      <c r="N125" s="177" t="s">
        <v>270</v>
      </c>
      <c r="O125" s="177">
        <v>2</v>
      </c>
      <c r="P125" s="177">
        <v>33</v>
      </c>
      <c r="Q125" s="177" t="s">
        <v>635</v>
      </c>
      <c r="R125" s="177">
        <v>-70.88</v>
      </c>
      <c r="S125" s="177">
        <v>40.509</v>
      </c>
      <c r="T125" s="177" t="s">
        <v>271</v>
      </c>
      <c r="U125" s="177">
        <v>25</v>
      </c>
      <c r="V125" s="176" t="s">
        <v>573</v>
      </c>
      <c r="W125" t="s">
        <v>582</v>
      </c>
      <c r="X125" s="149"/>
    </row>
    <row r="126" spans="1:24">
      <c r="A126" s="167" t="s">
        <v>412</v>
      </c>
      <c r="C126" s="176" t="s">
        <v>435</v>
      </c>
      <c r="D126" s="176" t="s">
        <v>550</v>
      </c>
      <c r="E126" s="176" t="s">
        <v>539</v>
      </c>
      <c r="F126" s="177" t="s">
        <v>272</v>
      </c>
      <c r="G126" s="177">
        <v>539</v>
      </c>
      <c r="H126" s="177">
        <v>13</v>
      </c>
      <c r="I126" s="177">
        <v>6</v>
      </c>
      <c r="J126" s="177">
        <v>29.3</v>
      </c>
      <c r="K126" s="177">
        <v>78</v>
      </c>
      <c r="L126" s="176" t="s">
        <v>570</v>
      </c>
      <c r="M126" s="177">
        <v>2019</v>
      </c>
      <c r="N126" s="177" t="s">
        <v>270</v>
      </c>
      <c r="O126" s="177">
        <v>2</v>
      </c>
      <c r="P126" s="177">
        <v>33</v>
      </c>
      <c r="Q126" s="177" t="s">
        <v>635</v>
      </c>
      <c r="R126" s="177">
        <v>-70.88</v>
      </c>
      <c r="S126" s="177">
        <v>40.509</v>
      </c>
      <c r="T126" s="177" t="s">
        <v>271</v>
      </c>
      <c r="U126" s="177">
        <v>25</v>
      </c>
      <c r="V126" s="176" t="s">
        <v>573</v>
      </c>
      <c r="W126" t="s">
        <v>582</v>
      </c>
      <c r="X126" s="149"/>
    </row>
    <row r="127" spans="1:24">
      <c r="A127" s="167" t="s">
        <v>413</v>
      </c>
      <c r="C127" s="176" t="s">
        <v>435</v>
      </c>
      <c r="D127" s="176" t="s">
        <v>551</v>
      </c>
      <c r="E127" s="176" t="s">
        <v>539</v>
      </c>
      <c r="F127" s="177" t="s">
        <v>272</v>
      </c>
      <c r="G127" s="177">
        <v>539</v>
      </c>
      <c r="H127" s="177">
        <v>13</v>
      </c>
      <c r="I127" s="177">
        <v>6</v>
      </c>
      <c r="J127" s="177">
        <v>29.3</v>
      </c>
      <c r="K127" s="177">
        <v>78</v>
      </c>
      <c r="L127" s="176" t="s">
        <v>570</v>
      </c>
      <c r="M127" s="177">
        <v>2019</v>
      </c>
      <c r="N127" s="177" t="s">
        <v>270</v>
      </c>
      <c r="O127" s="177">
        <v>2</v>
      </c>
      <c r="P127" s="177">
        <v>33</v>
      </c>
      <c r="Q127" s="177" t="s">
        <v>635</v>
      </c>
      <c r="R127" s="177">
        <v>-70.88</v>
      </c>
      <c r="S127" s="177">
        <v>40.509</v>
      </c>
      <c r="T127" s="177" t="s">
        <v>271</v>
      </c>
      <c r="U127" s="177">
        <v>25</v>
      </c>
      <c r="V127" s="176" t="s">
        <v>573</v>
      </c>
      <c r="W127" t="s">
        <v>582</v>
      </c>
      <c r="X127" s="149"/>
    </row>
    <row r="128" spans="1:24">
      <c r="A128" s="167" t="s">
        <v>414</v>
      </c>
      <c r="C128" s="176" t="s">
        <v>435</v>
      </c>
      <c r="D128" s="176" t="s">
        <v>552</v>
      </c>
      <c r="E128" s="176" t="s">
        <v>539</v>
      </c>
      <c r="F128" s="177" t="s">
        <v>269</v>
      </c>
      <c r="G128" s="177">
        <v>539</v>
      </c>
      <c r="H128" s="177">
        <v>16</v>
      </c>
      <c r="I128" s="177">
        <v>6</v>
      </c>
      <c r="J128" s="177">
        <v>43.7</v>
      </c>
      <c r="K128" s="177">
        <v>90</v>
      </c>
      <c r="L128" s="176" t="s">
        <v>570</v>
      </c>
      <c r="M128" s="177">
        <v>2019</v>
      </c>
      <c r="N128" s="177" t="s">
        <v>270</v>
      </c>
      <c r="O128" s="177">
        <v>3</v>
      </c>
      <c r="P128" s="177">
        <v>34</v>
      </c>
      <c r="Q128" s="177" t="s">
        <v>636</v>
      </c>
      <c r="R128" s="177">
        <v>-70.887</v>
      </c>
      <c r="S128" s="177">
        <v>40.362000000000002</v>
      </c>
      <c r="T128" s="177" t="s">
        <v>271</v>
      </c>
      <c r="U128" s="177">
        <v>25</v>
      </c>
      <c r="V128" s="176" t="s">
        <v>573</v>
      </c>
      <c r="W128" t="s">
        <v>584</v>
      </c>
      <c r="X128" s="149"/>
    </row>
    <row r="129" spans="1:24">
      <c r="A129" s="167" t="s">
        <v>415</v>
      </c>
      <c r="C129" s="176" t="s">
        <v>435</v>
      </c>
      <c r="D129" s="176" t="s">
        <v>553</v>
      </c>
      <c r="E129" s="176" t="s">
        <v>539</v>
      </c>
      <c r="F129" s="177" t="s">
        <v>269</v>
      </c>
      <c r="G129" s="177">
        <v>547</v>
      </c>
      <c r="H129" s="177">
        <v>16</v>
      </c>
      <c r="I129" s="177">
        <v>11</v>
      </c>
      <c r="J129" s="177">
        <v>5.5</v>
      </c>
      <c r="K129" s="177">
        <v>90</v>
      </c>
      <c r="L129" s="176" t="s">
        <v>570</v>
      </c>
      <c r="M129" s="177">
        <v>2019</v>
      </c>
      <c r="N129" s="177" t="s">
        <v>270</v>
      </c>
      <c r="O129" s="177">
        <v>3</v>
      </c>
      <c r="P129" s="177">
        <v>34</v>
      </c>
      <c r="Q129" s="177" t="s">
        <v>636</v>
      </c>
      <c r="R129" s="177">
        <v>-70.887</v>
      </c>
      <c r="S129" s="177">
        <v>40.362000000000002</v>
      </c>
      <c r="T129" s="177" t="s">
        <v>271</v>
      </c>
      <c r="U129" s="177">
        <v>25</v>
      </c>
      <c r="V129" s="176" t="s">
        <v>573</v>
      </c>
      <c r="W129" t="s">
        <v>584</v>
      </c>
      <c r="X129" s="149"/>
    </row>
    <row r="130" spans="1:24">
      <c r="A130" s="167" t="s">
        <v>416</v>
      </c>
      <c r="C130" s="176" t="s">
        <v>435</v>
      </c>
      <c r="D130" s="176" t="s">
        <v>554</v>
      </c>
      <c r="E130" s="176" t="s">
        <v>539</v>
      </c>
      <c r="F130" s="177" t="s">
        <v>272</v>
      </c>
      <c r="G130" s="177">
        <v>539</v>
      </c>
      <c r="H130" s="177">
        <v>17</v>
      </c>
      <c r="I130" s="177">
        <v>8</v>
      </c>
      <c r="J130" s="177">
        <v>45.6</v>
      </c>
      <c r="K130" s="177">
        <v>122</v>
      </c>
      <c r="L130" s="176" t="s">
        <v>570</v>
      </c>
      <c r="M130" s="177">
        <v>2019</v>
      </c>
      <c r="N130" s="177" t="s">
        <v>270</v>
      </c>
      <c r="O130" s="177">
        <v>3</v>
      </c>
      <c r="P130" s="177">
        <v>34</v>
      </c>
      <c r="Q130" s="177" t="s">
        <v>637</v>
      </c>
      <c r="R130" s="177">
        <v>-70.887</v>
      </c>
      <c r="S130" s="177">
        <v>40.228000000000002</v>
      </c>
      <c r="T130" s="177" t="s">
        <v>271</v>
      </c>
      <c r="U130" s="177">
        <v>25</v>
      </c>
      <c r="V130" s="176" t="s">
        <v>573</v>
      </c>
      <c r="W130" t="s">
        <v>586</v>
      </c>
      <c r="X130" s="149"/>
    </row>
    <row r="131" spans="1:24">
      <c r="A131" s="167" t="s">
        <v>418</v>
      </c>
      <c r="C131" s="176" t="s">
        <v>435</v>
      </c>
      <c r="D131" s="176" t="s">
        <v>555</v>
      </c>
      <c r="E131" s="176" t="s">
        <v>539</v>
      </c>
      <c r="F131" s="177" t="s">
        <v>272</v>
      </c>
      <c r="G131" s="177">
        <v>539</v>
      </c>
      <c r="H131" s="177">
        <v>17</v>
      </c>
      <c r="I131" s="177">
        <v>8</v>
      </c>
      <c r="J131" s="177">
        <v>45.6</v>
      </c>
      <c r="K131" s="177">
        <v>122</v>
      </c>
      <c r="L131" s="176" t="s">
        <v>570</v>
      </c>
      <c r="M131" s="177">
        <v>2019</v>
      </c>
      <c r="N131" s="177" t="s">
        <v>270</v>
      </c>
      <c r="O131" s="177">
        <v>3</v>
      </c>
      <c r="P131" s="177">
        <v>34</v>
      </c>
      <c r="Q131" s="177" t="s">
        <v>637</v>
      </c>
      <c r="R131" s="177">
        <v>-70.887</v>
      </c>
      <c r="S131" s="177">
        <v>40.228000000000002</v>
      </c>
      <c r="T131" s="177" t="s">
        <v>271</v>
      </c>
      <c r="U131" s="177">
        <v>25</v>
      </c>
      <c r="V131" s="176" t="s">
        <v>573</v>
      </c>
      <c r="W131" t="s">
        <v>586</v>
      </c>
      <c r="X131" s="149"/>
    </row>
    <row r="132" spans="1:24">
      <c r="A132" s="167" t="s">
        <v>419</v>
      </c>
      <c r="C132" s="176" t="s">
        <v>435</v>
      </c>
      <c r="D132" s="176" t="s">
        <v>556</v>
      </c>
      <c r="E132" s="176" t="s">
        <v>539</v>
      </c>
      <c r="F132" s="177" t="s">
        <v>269</v>
      </c>
      <c r="G132" s="177">
        <v>493</v>
      </c>
      <c r="H132" s="177">
        <v>17</v>
      </c>
      <c r="I132" s="177">
        <v>10</v>
      </c>
      <c r="J132" s="177">
        <v>4.8</v>
      </c>
      <c r="K132" s="177">
        <v>122</v>
      </c>
      <c r="L132" s="176" t="s">
        <v>570</v>
      </c>
      <c r="M132" s="177">
        <v>2019</v>
      </c>
      <c r="N132" s="177" t="s">
        <v>270</v>
      </c>
      <c r="O132" s="177">
        <v>3</v>
      </c>
      <c r="P132" s="177">
        <v>34</v>
      </c>
      <c r="Q132" s="177" t="s">
        <v>637</v>
      </c>
      <c r="R132" s="177">
        <v>-70.887</v>
      </c>
      <c r="S132" s="177">
        <v>40.228000000000002</v>
      </c>
      <c r="T132" s="177" t="s">
        <v>271</v>
      </c>
      <c r="U132" s="177">
        <v>25</v>
      </c>
      <c r="V132" s="176" t="s">
        <v>573</v>
      </c>
      <c r="W132" t="s">
        <v>586</v>
      </c>
      <c r="X132" s="149"/>
    </row>
    <row r="133" spans="1:24">
      <c r="A133" s="167" t="s">
        <v>420</v>
      </c>
      <c r="C133" s="176" t="s">
        <v>435</v>
      </c>
      <c r="D133" s="176" t="s">
        <v>557</v>
      </c>
      <c r="E133" s="176" t="s">
        <v>539</v>
      </c>
      <c r="F133" s="177" t="s">
        <v>269</v>
      </c>
      <c r="G133" s="177">
        <v>539</v>
      </c>
      <c r="H133" s="177">
        <v>19</v>
      </c>
      <c r="I133" s="177">
        <v>7</v>
      </c>
      <c r="J133" s="177">
        <v>19.7</v>
      </c>
      <c r="K133" s="177">
        <v>133</v>
      </c>
      <c r="L133" s="176" t="s">
        <v>570</v>
      </c>
      <c r="M133" s="177">
        <v>2019</v>
      </c>
      <c r="N133" s="177" t="s">
        <v>270</v>
      </c>
      <c r="O133" s="177">
        <v>3</v>
      </c>
      <c r="P133" s="177">
        <v>34</v>
      </c>
      <c r="Q133" s="177" t="s">
        <v>638</v>
      </c>
      <c r="R133" s="177">
        <v>-70.763999999999996</v>
      </c>
      <c r="S133" s="177">
        <v>40.134999999999998</v>
      </c>
      <c r="T133" s="177" t="s">
        <v>271</v>
      </c>
      <c r="U133" s="177">
        <v>25</v>
      </c>
      <c r="V133" s="176" t="s">
        <v>573</v>
      </c>
      <c r="W133" t="s">
        <v>588</v>
      </c>
      <c r="X133" s="149"/>
    </row>
    <row r="134" spans="1:24">
      <c r="A134" s="167" t="s">
        <v>421</v>
      </c>
      <c r="C134" s="176" t="s">
        <v>435</v>
      </c>
      <c r="D134" s="176" t="s">
        <v>558</v>
      </c>
      <c r="E134" s="176" t="s">
        <v>539</v>
      </c>
      <c r="F134" s="177" t="s">
        <v>269</v>
      </c>
      <c r="G134" s="177">
        <v>548</v>
      </c>
      <c r="H134" s="177">
        <v>19</v>
      </c>
      <c r="I134" s="177">
        <v>9</v>
      </c>
      <c r="J134" s="177">
        <v>3</v>
      </c>
      <c r="K134" s="177">
        <v>133</v>
      </c>
      <c r="L134" s="176" t="s">
        <v>570</v>
      </c>
      <c r="M134" s="177">
        <v>2019</v>
      </c>
      <c r="N134" s="177" t="s">
        <v>270</v>
      </c>
      <c r="O134" s="177">
        <v>3</v>
      </c>
      <c r="P134" s="177">
        <v>34</v>
      </c>
      <c r="Q134" s="177" t="s">
        <v>638</v>
      </c>
      <c r="R134" s="177">
        <v>-70.763999999999996</v>
      </c>
      <c r="S134" s="177">
        <v>40.134999999999998</v>
      </c>
      <c r="T134" s="177" t="s">
        <v>271</v>
      </c>
      <c r="U134" s="177">
        <v>25</v>
      </c>
      <c r="V134" s="176" t="s">
        <v>573</v>
      </c>
      <c r="W134" t="s">
        <v>588</v>
      </c>
      <c r="X134" s="149"/>
    </row>
    <row r="135" spans="1:24">
      <c r="A135" s="167" t="s">
        <v>422</v>
      </c>
      <c r="C135" s="176" t="s">
        <v>435</v>
      </c>
      <c r="D135" s="176" t="s">
        <v>559</v>
      </c>
      <c r="E135" s="176" t="s">
        <v>539</v>
      </c>
      <c r="F135" s="177" t="s">
        <v>269</v>
      </c>
      <c r="G135" s="177">
        <v>539</v>
      </c>
      <c r="H135" s="177">
        <v>22</v>
      </c>
      <c r="I135" s="177">
        <v>7</v>
      </c>
      <c r="J135" s="177">
        <v>25.3</v>
      </c>
      <c r="K135" s="177">
        <v>149</v>
      </c>
      <c r="L135" s="176" t="s">
        <v>570</v>
      </c>
      <c r="M135" s="177">
        <v>2019</v>
      </c>
      <c r="N135" s="177" t="s">
        <v>270</v>
      </c>
      <c r="O135" s="177">
        <v>4</v>
      </c>
      <c r="P135" s="177">
        <v>35</v>
      </c>
      <c r="Q135" s="177" t="s">
        <v>639</v>
      </c>
      <c r="R135" s="177">
        <v>-70.885000000000005</v>
      </c>
      <c r="S135" s="177">
        <v>40.097999999999999</v>
      </c>
      <c r="T135" s="177" t="s">
        <v>271</v>
      </c>
      <c r="U135" s="177">
        <v>25</v>
      </c>
      <c r="V135" s="176" t="s">
        <v>573</v>
      </c>
      <c r="W135" t="s">
        <v>608</v>
      </c>
      <c r="X135" s="149"/>
    </row>
    <row r="136" spans="1:24">
      <c r="A136" s="167" t="s">
        <v>423</v>
      </c>
      <c r="C136" s="176" t="s">
        <v>435</v>
      </c>
      <c r="D136" s="176" t="s">
        <v>560</v>
      </c>
      <c r="E136" s="176" t="s">
        <v>539</v>
      </c>
      <c r="F136" s="177" t="s">
        <v>269</v>
      </c>
      <c r="G136" s="177">
        <v>548</v>
      </c>
      <c r="H136" s="177">
        <v>22</v>
      </c>
      <c r="I136" s="177">
        <v>11</v>
      </c>
      <c r="J136" s="177">
        <v>2.5</v>
      </c>
      <c r="K136" s="177">
        <v>149</v>
      </c>
      <c r="L136" s="176" t="s">
        <v>570</v>
      </c>
      <c r="M136" s="177">
        <v>2019</v>
      </c>
      <c r="N136" s="177" t="s">
        <v>270</v>
      </c>
      <c r="O136" s="177">
        <v>4</v>
      </c>
      <c r="P136" s="177">
        <v>35</v>
      </c>
      <c r="Q136" s="177" t="s">
        <v>639</v>
      </c>
      <c r="R136" s="177">
        <v>-70.885000000000005</v>
      </c>
      <c r="S136" s="177">
        <v>40.097999999999999</v>
      </c>
      <c r="T136" s="177" t="s">
        <v>271</v>
      </c>
      <c r="U136" s="177">
        <v>25</v>
      </c>
      <c r="V136" s="176" t="s">
        <v>573</v>
      </c>
      <c r="W136" t="s">
        <v>608</v>
      </c>
      <c r="X136" s="149"/>
    </row>
    <row r="137" spans="1:24">
      <c r="A137" s="167" t="s">
        <v>424</v>
      </c>
      <c r="C137" s="176" t="s">
        <v>435</v>
      </c>
      <c r="D137" s="176" t="s">
        <v>561</v>
      </c>
      <c r="E137" s="176" t="s">
        <v>539</v>
      </c>
      <c r="F137" s="177" t="s">
        <v>269</v>
      </c>
      <c r="G137" s="177">
        <v>539</v>
      </c>
      <c r="H137" s="177">
        <v>24</v>
      </c>
      <c r="I137" s="177">
        <v>6</v>
      </c>
      <c r="J137" s="177">
        <v>19.8</v>
      </c>
      <c r="K137" s="177">
        <v>442</v>
      </c>
      <c r="L137" s="176" t="s">
        <v>570</v>
      </c>
      <c r="M137" s="177">
        <v>2019</v>
      </c>
      <c r="N137" s="177" t="s">
        <v>270</v>
      </c>
      <c r="O137" s="177">
        <v>4</v>
      </c>
      <c r="P137" s="177">
        <v>35</v>
      </c>
      <c r="Q137" s="177" t="s">
        <v>640</v>
      </c>
      <c r="R137" s="177">
        <v>-70.882999999999996</v>
      </c>
      <c r="S137" s="177">
        <v>39.94</v>
      </c>
      <c r="T137" s="177" t="s">
        <v>271</v>
      </c>
      <c r="U137" s="177">
        <v>25</v>
      </c>
      <c r="V137" s="176" t="s">
        <v>573</v>
      </c>
      <c r="W137" t="s">
        <v>605</v>
      </c>
      <c r="X137" s="149"/>
    </row>
    <row r="138" spans="1:24">
      <c r="A138" s="167" t="s">
        <v>425</v>
      </c>
      <c r="C138" s="176" t="s">
        <v>435</v>
      </c>
      <c r="D138" s="176" t="s">
        <v>562</v>
      </c>
      <c r="E138" s="176" t="s">
        <v>539</v>
      </c>
      <c r="F138" s="177" t="s">
        <v>269</v>
      </c>
      <c r="G138" s="177">
        <v>548</v>
      </c>
      <c r="H138" s="177">
        <v>24</v>
      </c>
      <c r="I138" s="177">
        <v>9</v>
      </c>
      <c r="J138" s="177">
        <v>4.9000000000000004</v>
      </c>
      <c r="K138" s="177">
        <v>442</v>
      </c>
      <c r="L138" s="176" t="s">
        <v>570</v>
      </c>
      <c r="M138" s="177">
        <v>2019</v>
      </c>
      <c r="N138" s="177" t="s">
        <v>270</v>
      </c>
      <c r="O138" s="177">
        <v>4</v>
      </c>
      <c r="P138" s="177">
        <v>35</v>
      </c>
      <c r="Q138" s="177" t="s">
        <v>640</v>
      </c>
      <c r="R138" s="177">
        <v>-70.882999999999996</v>
      </c>
      <c r="S138" s="177">
        <v>39.94</v>
      </c>
      <c r="T138" s="177" t="s">
        <v>271</v>
      </c>
      <c r="U138" s="177">
        <v>25</v>
      </c>
      <c r="V138" s="176" t="s">
        <v>573</v>
      </c>
      <c r="W138" t="s">
        <v>605</v>
      </c>
      <c r="X138" s="149"/>
    </row>
    <row r="139" spans="1:24">
      <c r="A139" s="167" t="s">
        <v>426</v>
      </c>
      <c r="C139" s="176" t="s">
        <v>435</v>
      </c>
      <c r="D139" s="176" t="s">
        <v>563</v>
      </c>
      <c r="E139" s="176" t="s">
        <v>539</v>
      </c>
      <c r="F139" s="177" t="s">
        <v>269</v>
      </c>
      <c r="G139" s="177">
        <v>539</v>
      </c>
      <c r="H139" s="177">
        <v>26</v>
      </c>
      <c r="I139" s="177">
        <v>7</v>
      </c>
      <c r="J139" s="177">
        <v>30</v>
      </c>
      <c r="K139" s="177">
        <v>500</v>
      </c>
      <c r="L139" s="176" t="s">
        <v>570</v>
      </c>
      <c r="M139" s="177">
        <v>2019</v>
      </c>
      <c r="N139" s="177" t="s">
        <v>270</v>
      </c>
      <c r="O139" s="177">
        <v>4</v>
      </c>
      <c r="P139" s="177">
        <v>35</v>
      </c>
      <c r="Q139" s="177" t="s">
        <v>641</v>
      </c>
      <c r="R139" s="177">
        <v>-70.882999999999996</v>
      </c>
      <c r="S139" s="177">
        <v>39.774999999999999</v>
      </c>
      <c r="T139" s="177" t="s">
        <v>271</v>
      </c>
      <c r="U139" s="177">
        <v>25</v>
      </c>
      <c r="V139" s="176" t="s">
        <v>573</v>
      </c>
      <c r="W139" t="s">
        <v>591</v>
      </c>
      <c r="X139" s="149"/>
    </row>
    <row r="140" spans="1:24">
      <c r="A140" s="167" t="s">
        <v>427</v>
      </c>
      <c r="C140" s="176" t="s">
        <v>435</v>
      </c>
      <c r="D140" s="176" t="s">
        <v>564</v>
      </c>
      <c r="E140" s="176" t="s">
        <v>539</v>
      </c>
      <c r="F140" s="177" t="s">
        <v>269</v>
      </c>
      <c r="G140" s="177">
        <v>548</v>
      </c>
      <c r="H140" s="177">
        <v>26</v>
      </c>
      <c r="I140" s="177">
        <v>11</v>
      </c>
      <c r="J140" s="177">
        <v>5.0999999999999996</v>
      </c>
      <c r="K140" s="177">
        <v>500</v>
      </c>
      <c r="L140" s="176" t="s">
        <v>570</v>
      </c>
      <c r="M140" s="177">
        <v>2019</v>
      </c>
      <c r="N140" s="177" t="s">
        <v>270</v>
      </c>
      <c r="O140" s="177">
        <v>4</v>
      </c>
      <c r="P140" s="177">
        <v>35</v>
      </c>
      <c r="Q140" s="177" t="s">
        <v>641</v>
      </c>
      <c r="R140" s="177">
        <v>-70.882999999999996</v>
      </c>
      <c r="S140" s="177">
        <v>39.774999999999999</v>
      </c>
      <c r="T140" s="177" t="s">
        <v>271</v>
      </c>
      <c r="U140" s="177">
        <v>25</v>
      </c>
      <c r="V140" s="176" t="s">
        <v>573</v>
      </c>
      <c r="W140" t="s">
        <v>591</v>
      </c>
      <c r="X140" s="149"/>
    </row>
    <row r="141" spans="1:24">
      <c r="A141" s="167" t="s">
        <v>428</v>
      </c>
      <c r="C141" s="176" t="s">
        <v>435</v>
      </c>
      <c r="D141" s="176" t="s">
        <v>565</v>
      </c>
      <c r="E141" s="176" t="s">
        <v>539</v>
      </c>
      <c r="F141" s="177" t="s">
        <v>269</v>
      </c>
      <c r="G141" s="177">
        <v>539</v>
      </c>
      <c r="H141" s="177">
        <v>29</v>
      </c>
      <c r="I141" s="177">
        <v>6</v>
      </c>
      <c r="J141" s="177">
        <v>70.2</v>
      </c>
      <c r="K141" s="177">
        <v>1680</v>
      </c>
      <c r="L141" s="176" t="s">
        <v>570</v>
      </c>
      <c r="M141" s="177">
        <v>2019</v>
      </c>
      <c r="N141" s="177" t="s">
        <v>270</v>
      </c>
      <c r="O141" s="177">
        <v>5</v>
      </c>
      <c r="P141" s="177">
        <v>36</v>
      </c>
      <c r="Q141" s="177" t="s">
        <v>642</v>
      </c>
      <c r="R141" s="177">
        <v>-70.522000000000006</v>
      </c>
      <c r="S141" s="177">
        <v>39.774999999999999</v>
      </c>
      <c r="T141" s="177" t="s">
        <v>271</v>
      </c>
      <c r="U141" s="177">
        <v>25</v>
      </c>
      <c r="V141" s="176" t="s">
        <v>573</v>
      </c>
      <c r="W141" t="s">
        <v>643</v>
      </c>
      <c r="X141" s="149"/>
    </row>
    <row r="142" spans="1:24">
      <c r="A142" s="167" t="s">
        <v>429</v>
      </c>
      <c r="C142" s="176" t="s">
        <v>435</v>
      </c>
      <c r="D142" s="176" t="s">
        <v>566</v>
      </c>
      <c r="E142" s="176" t="s">
        <v>539</v>
      </c>
      <c r="F142" s="177" t="s">
        <v>269</v>
      </c>
      <c r="G142" s="177">
        <v>547</v>
      </c>
      <c r="H142" s="177">
        <v>29</v>
      </c>
      <c r="I142" s="177">
        <v>10</v>
      </c>
      <c r="J142" s="177">
        <v>1.8</v>
      </c>
      <c r="K142" s="177">
        <v>1680</v>
      </c>
      <c r="L142" s="176" t="s">
        <v>570</v>
      </c>
      <c r="M142" s="177">
        <v>2019</v>
      </c>
      <c r="N142" s="177" t="s">
        <v>270</v>
      </c>
      <c r="O142" s="177">
        <v>5</v>
      </c>
      <c r="P142" s="177">
        <v>36</v>
      </c>
      <c r="Q142" s="177" t="s">
        <v>642</v>
      </c>
      <c r="R142" s="177">
        <v>-70.522000000000006</v>
      </c>
      <c r="S142" s="177">
        <v>39.774999999999999</v>
      </c>
      <c r="T142" s="177" t="s">
        <v>271</v>
      </c>
      <c r="U142" s="177">
        <v>25</v>
      </c>
      <c r="V142" s="176" t="s">
        <v>573</v>
      </c>
      <c r="W142" t="s">
        <v>643</v>
      </c>
      <c r="X142" s="149"/>
    </row>
    <row r="143" spans="1:24">
      <c r="A143" s="167" t="s">
        <v>430</v>
      </c>
      <c r="C143" s="176" t="s">
        <v>435</v>
      </c>
      <c r="D143" s="176" t="s">
        <v>567</v>
      </c>
      <c r="E143" s="176" t="s">
        <v>539</v>
      </c>
      <c r="F143" s="177" t="s">
        <v>269</v>
      </c>
      <c r="G143" s="177">
        <v>532</v>
      </c>
      <c r="H143" s="177">
        <v>45</v>
      </c>
      <c r="I143" s="177">
        <v>1</v>
      </c>
      <c r="J143" s="177">
        <v>14.6</v>
      </c>
      <c r="K143" s="177">
        <v>17</v>
      </c>
      <c r="L143" s="176" t="s">
        <v>570</v>
      </c>
      <c r="M143" s="177">
        <v>2019</v>
      </c>
      <c r="N143" s="177" t="s">
        <v>270</v>
      </c>
      <c r="O143" s="177">
        <v>6</v>
      </c>
      <c r="P143" s="177">
        <v>37</v>
      </c>
      <c r="Q143" s="177" t="s">
        <v>644</v>
      </c>
      <c r="R143" s="177">
        <v>-70.572000000000003</v>
      </c>
      <c r="S143" s="177">
        <v>41.32</v>
      </c>
      <c r="T143" s="177" t="s">
        <v>271</v>
      </c>
      <c r="U143" s="177">
        <v>25</v>
      </c>
      <c r="V143" s="176" t="s">
        <v>573</v>
      </c>
      <c r="W143" t="s">
        <v>596</v>
      </c>
      <c r="X143" s="149"/>
    </row>
    <row r="144" spans="1:24">
      <c r="A144" s="167" t="s">
        <v>431</v>
      </c>
      <c r="C144" s="176" t="s">
        <v>435</v>
      </c>
      <c r="D144" s="176" t="s">
        <v>568</v>
      </c>
      <c r="E144" s="176" t="s">
        <v>539</v>
      </c>
      <c r="F144" s="177" t="s">
        <v>269</v>
      </c>
      <c r="G144" s="177">
        <v>539</v>
      </c>
      <c r="H144" s="177">
        <v>45</v>
      </c>
      <c r="I144" s="177">
        <v>5</v>
      </c>
      <c r="J144" s="177">
        <v>8.6999999999999993</v>
      </c>
      <c r="K144" s="177">
        <v>17</v>
      </c>
      <c r="L144" s="176" t="s">
        <v>570</v>
      </c>
      <c r="M144" s="177">
        <v>2019</v>
      </c>
      <c r="N144" s="177" t="s">
        <v>270</v>
      </c>
      <c r="O144" s="177">
        <v>6</v>
      </c>
      <c r="P144" s="177">
        <v>37</v>
      </c>
      <c r="Q144" s="177" t="s">
        <v>644</v>
      </c>
      <c r="R144" s="177">
        <v>-70.572000000000003</v>
      </c>
      <c r="S144" s="177">
        <v>41.32</v>
      </c>
      <c r="T144" s="177" t="s">
        <v>271</v>
      </c>
      <c r="U144" s="177">
        <v>25</v>
      </c>
      <c r="V144" s="176" t="s">
        <v>573</v>
      </c>
      <c r="W144" t="s">
        <v>596</v>
      </c>
      <c r="X144" s="149"/>
    </row>
    <row r="145" spans="1:27">
      <c r="A145" s="167" t="s">
        <v>432</v>
      </c>
      <c r="C145" s="176" t="s">
        <v>435</v>
      </c>
      <c r="D145" s="176" t="s">
        <v>569</v>
      </c>
      <c r="E145" s="176" t="s">
        <v>539</v>
      </c>
      <c r="F145" s="177" t="s">
        <v>269</v>
      </c>
      <c r="G145" s="177">
        <v>548</v>
      </c>
      <c r="H145" s="177">
        <v>45</v>
      </c>
      <c r="I145" s="177">
        <v>9</v>
      </c>
      <c r="J145" s="177">
        <v>2</v>
      </c>
      <c r="K145" s="177">
        <v>17</v>
      </c>
      <c r="L145" s="176" t="s">
        <v>570</v>
      </c>
      <c r="M145" s="177">
        <v>2019</v>
      </c>
      <c r="N145" s="177" t="s">
        <v>270</v>
      </c>
      <c r="O145" s="177">
        <v>6</v>
      </c>
      <c r="P145" s="177">
        <v>37</v>
      </c>
      <c r="Q145" s="177" t="s">
        <v>644</v>
      </c>
      <c r="R145" s="177">
        <v>-70.572000000000003</v>
      </c>
      <c r="S145" s="177">
        <v>41.32</v>
      </c>
      <c r="T145" s="177" t="s">
        <v>271</v>
      </c>
      <c r="U145" s="177">
        <v>25</v>
      </c>
      <c r="V145" s="176" t="s">
        <v>573</v>
      </c>
      <c r="W145" t="s">
        <v>596</v>
      </c>
      <c r="X145" s="149"/>
    </row>
    <row r="146" spans="1:27">
      <c r="A146" s="167" t="s">
        <v>433</v>
      </c>
      <c r="C146" s="188" t="s">
        <v>435</v>
      </c>
      <c r="D146" s="188" t="s">
        <v>492</v>
      </c>
      <c r="E146" s="188" t="s">
        <v>472</v>
      </c>
      <c r="F146" s="189" t="s">
        <v>269</v>
      </c>
      <c r="G146" s="189">
        <v>1060</v>
      </c>
      <c r="H146" s="189">
        <v>37</v>
      </c>
      <c r="I146" s="189">
        <v>13</v>
      </c>
      <c r="J146" s="189">
        <v>17.100000000000001</v>
      </c>
      <c r="K146" s="189">
        <v>135</v>
      </c>
      <c r="L146" s="188" t="s">
        <v>570</v>
      </c>
      <c r="M146" s="189">
        <v>2018</v>
      </c>
      <c r="N146" s="189" t="s">
        <v>597</v>
      </c>
      <c r="O146" s="189">
        <v>12</v>
      </c>
      <c r="P146" s="189">
        <v>102</v>
      </c>
      <c r="Q146" s="189" t="s">
        <v>611</v>
      </c>
      <c r="R146" s="189">
        <v>-70.775000000000006</v>
      </c>
      <c r="S146" s="189">
        <v>40.137</v>
      </c>
      <c r="T146" s="189" t="s">
        <v>271</v>
      </c>
      <c r="U146" s="189">
        <v>25</v>
      </c>
      <c r="V146" s="188" t="s">
        <v>573</v>
      </c>
      <c r="W146" s="146" t="s">
        <v>588</v>
      </c>
      <c r="X146" s="152" t="s">
        <v>612</v>
      </c>
    </row>
    <row r="147" spans="1:27">
      <c r="A147" s="167" t="s">
        <v>434</v>
      </c>
      <c r="C147" s="188" t="s">
        <v>435</v>
      </c>
      <c r="D147" s="188" t="s">
        <v>493</v>
      </c>
      <c r="E147" s="188" t="s">
        <v>472</v>
      </c>
      <c r="F147" s="189" t="s">
        <v>269</v>
      </c>
      <c r="G147" s="189">
        <v>1057</v>
      </c>
      <c r="H147" s="189">
        <v>37</v>
      </c>
      <c r="I147" s="189">
        <v>14</v>
      </c>
      <c r="J147" s="189">
        <v>5.5</v>
      </c>
      <c r="K147" s="189">
        <v>135</v>
      </c>
      <c r="L147" s="188" t="s">
        <v>570</v>
      </c>
      <c r="M147" s="189">
        <v>2018</v>
      </c>
      <c r="N147" s="189" t="s">
        <v>597</v>
      </c>
      <c r="O147" s="189">
        <v>12</v>
      </c>
      <c r="P147" s="189">
        <v>102</v>
      </c>
      <c r="Q147" s="189" t="s">
        <v>611</v>
      </c>
      <c r="R147" s="189">
        <v>-70.775000000000006</v>
      </c>
      <c r="S147" s="189">
        <v>40.137</v>
      </c>
      <c r="T147" s="189" t="s">
        <v>271</v>
      </c>
      <c r="U147" s="189">
        <v>25</v>
      </c>
      <c r="V147" s="188" t="s">
        <v>573</v>
      </c>
      <c r="W147" s="146" t="s">
        <v>588</v>
      </c>
      <c r="X147" s="152" t="s">
        <v>613</v>
      </c>
    </row>
    <row r="150" spans="1:27">
      <c r="A150" s="168" t="s">
        <v>646</v>
      </c>
    </row>
    <row r="151" spans="1:27">
      <c r="A151" s="167" t="s">
        <v>398</v>
      </c>
      <c r="C151" t="s">
        <v>435</v>
      </c>
      <c r="D151" t="s">
        <v>535</v>
      </c>
      <c r="E151" t="s">
        <v>524</v>
      </c>
      <c r="F151" s="1" t="s">
        <v>269</v>
      </c>
      <c r="G151" s="1">
        <v>265</v>
      </c>
      <c r="H151" s="1">
        <v>6</v>
      </c>
      <c r="I151" s="1">
        <v>1</v>
      </c>
      <c r="J151" s="1">
        <v>17</v>
      </c>
      <c r="K151" s="1">
        <v>23</v>
      </c>
      <c r="L151" t="s">
        <v>570</v>
      </c>
      <c r="M151" s="1">
        <v>2018</v>
      </c>
      <c r="N151" s="1" t="s">
        <v>624</v>
      </c>
      <c r="O151" s="1">
        <v>21</v>
      </c>
      <c r="P151" s="1">
        <v>294</v>
      </c>
      <c r="Q151" s="1" t="s">
        <v>630</v>
      </c>
      <c r="R151" s="1">
        <v>-70.882999999999996</v>
      </c>
      <c r="S151" s="1">
        <v>41.197000000000003</v>
      </c>
      <c r="T151" s="1" t="s">
        <v>271</v>
      </c>
      <c r="U151" s="1">
        <v>25</v>
      </c>
      <c r="V151" t="s">
        <v>573</v>
      </c>
      <c r="W151" t="s">
        <v>574</v>
      </c>
      <c r="X151" s="149"/>
    </row>
    <row r="153" spans="1:27">
      <c r="A153" s="168" t="s">
        <v>647</v>
      </c>
    </row>
    <row r="154" spans="1:27">
      <c r="A154" s="68"/>
      <c r="B154" s="68"/>
      <c r="C154" s="68"/>
      <c r="D154" t="s">
        <v>498</v>
      </c>
      <c r="E154" t="s">
        <v>495</v>
      </c>
      <c r="F154" s="1" t="s">
        <v>269</v>
      </c>
      <c r="G154" s="1">
        <v>547</v>
      </c>
      <c r="H154" s="1">
        <v>2</v>
      </c>
      <c r="I154" s="1">
        <v>11</v>
      </c>
      <c r="J154" s="1">
        <v>20.100000000000001</v>
      </c>
      <c r="K154" s="1">
        <v>45</v>
      </c>
      <c r="L154" t="s">
        <v>570</v>
      </c>
      <c r="M154" s="1">
        <v>2018</v>
      </c>
      <c r="N154" s="1" t="s">
        <v>614</v>
      </c>
      <c r="O154" s="1">
        <v>20</v>
      </c>
      <c r="P154" s="1">
        <v>201</v>
      </c>
      <c r="Q154" s="1" t="s">
        <v>616</v>
      </c>
      <c r="R154" s="1">
        <v>-70.881</v>
      </c>
      <c r="S154" s="1">
        <v>41.03</v>
      </c>
      <c r="T154" s="1" t="s">
        <v>271</v>
      </c>
      <c r="U154" s="1">
        <v>25</v>
      </c>
      <c r="V154" t="s">
        <v>573</v>
      </c>
      <c r="W154" t="s">
        <v>576</v>
      </c>
      <c r="X154" s="149"/>
      <c r="Y154" s="2"/>
      <c r="Z154" s="2"/>
      <c r="AA154" s="2"/>
    </row>
  </sheetData>
  <phoneticPr fontId="2" type="noConversion"/>
  <pageMargins left="0.75" right="0.75" top="1" bottom="1" header="0.5" footer="0.5"/>
  <pageSetup orientation="portrait"/>
  <legacy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04"/>
  <sheetViews>
    <sheetView workbookViewId="0"/>
  </sheetViews>
  <sheetFormatPr defaultColWidth="10.88671875" defaultRowHeight="15"/>
  <cols>
    <col min="1" max="1" width="24.5546875" style="45" customWidth="1"/>
    <col min="2" max="2" width="17.109375" style="45" customWidth="1"/>
    <col min="3" max="3" width="20.44140625" style="45" customWidth="1"/>
    <col min="4" max="4" width="17.88671875" style="45" customWidth="1"/>
    <col min="5" max="11" width="10.88671875" style="45"/>
    <col min="12" max="12" width="16" style="45" customWidth="1"/>
    <col min="13" max="13" width="16.33203125" style="45" customWidth="1"/>
    <col min="14" max="14" width="55.109375" style="45" customWidth="1"/>
    <col min="15" max="16384" width="10.88671875" style="45"/>
  </cols>
  <sheetData>
    <row r="2" spans="1:15" ht="18.899999999999999" customHeight="1">
      <c r="A2" s="44" t="s">
        <v>179</v>
      </c>
    </row>
    <row r="4" spans="1:15" ht="17.100000000000001" customHeight="1">
      <c r="B4" s="41" t="s">
        <v>151</v>
      </c>
      <c r="C4" s="41" t="s">
        <v>154</v>
      </c>
      <c r="D4" s="41"/>
      <c r="E4" s="41"/>
    </row>
    <row r="5" spans="1:15" ht="32.1" customHeight="1">
      <c r="B5" s="42" t="s">
        <v>152</v>
      </c>
      <c r="C5" s="42" t="s">
        <v>153</v>
      </c>
      <c r="D5" s="41" t="s">
        <v>65</v>
      </c>
      <c r="E5" s="41" t="s">
        <v>66</v>
      </c>
      <c r="M5" s="42" t="s">
        <v>164</v>
      </c>
      <c r="N5" s="41" t="s">
        <v>134</v>
      </c>
      <c r="O5" s="41" t="s">
        <v>66</v>
      </c>
    </row>
    <row r="6" spans="1:15" ht="14.1" customHeight="1">
      <c r="A6" s="41" t="s">
        <v>64</v>
      </c>
      <c r="B6" s="45" t="s">
        <v>13</v>
      </c>
      <c r="C6" s="45" t="s">
        <v>13</v>
      </c>
      <c r="D6" s="45" t="s">
        <v>63</v>
      </c>
      <c r="M6" s="45" t="s">
        <v>77</v>
      </c>
      <c r="N6" s="45" t="s">
        <v>78</v>
      </c>
      <c r="O6" s="45" t="s">
        <v>173</v>
      </c>
    </row>
    <row r="7" spans="1:15" ht="14.1" customHeight="1">
      <c r="B7" s="45" t="s">
        <v>67</v>
      </c>
      <c r="C7" s="45" t="s">
        <v>18</v>
      </c>
      <c r="D7" s="45" t="s">
        <v>68</v>
      </c>
      <c r="E7" s="45" t="s">
        <v>69</v>
      </c>
      <c r="M7" s="45" t="s">
        <v>100</v>
      </c>
      <c r="N7" s="45" t="s">
        <v>101</v>
      </c>
      <c r="O7" s="45" t="s">
        <v>102</v>
      </c>
    </row>
    <row r="8" spans="1:15" ht="14.1" customHeight="1">
      <c r="B8" s="45" t="s">
        <v>53</v>
      </c>
      <c r="C8" s="45" t="s">
        <v>7</v>
      </c>
      <c r="D8" s="45" t="s">
        <v>70</v>
      </c>
      <c r="M8" s="45" t="s">
        <v>169</v>
      </c>
      <c r="N8" s="45" t="s">
        <v>175</v>
      </c>
      <c r="O8" s="45" t="s">
        <v>103</v>
      </c>
    </row>
    <row r="9" spans="1:15" ht="14.1" customHeight="1">
      <c r="B9" s="45" t="s">
        <v>12</v>
      </c>
      <c r="C9" s="45" t="s">
        <v>74</v>
      </c>
      <c r="D9" s="45" t="s">
        <v>75</v>
      </c>
      <c r="M9" s="45" t="s">
        <v>170</v>
      </c>
      <c r="N9" s="45" t="s">
        <v>176</v>
      </c>
      <c r="O9" s="45" t="s">
        <v>163</v>
      </c>
    </row>
    <row r="10" spans="1:15" ht="14.1" customHeight="1">
      <c r="B10" s="45" t="s">
        <v>14</v>
      </c>
      <c r="C10" s="45" t="s">
        <v>14</v>
      </c>
      <c r="D10" s="45" t="s">
        <v>76</v>
      </c>
      <c r="M10" s="45" t="s">
        <v>104</v>
      </c>
      <c r="N10" s="45" t="s">
        <v>105</v>
      </c>
      <c r="O10" s="45" t="s">
        <v>106</v>
      </c>
    </row>
    <row r="11" spans="1:15" ht="14.1" customHeight="1">
      <c r="B11" s="45" t="s">
        <v>5</v>
      </c>
      <c r="C11" s="45" t="s">
        <v>5</v>
      </c>
      <c r="D11" s="45" t="s">
        <v>207</v>
      </c>
      <c r="M11" s="45" t="s">
        <v>171</v>
      </c>
      <c r="N11" s="45" t="s">
        <v>177</v>
      </c>
      <c r="O11" s="45" t="s">
        <v>167</v>
      </c>
    </row>
    <row r="12" spans="1:15" ht="14.1" customHeight="1">
      <c r="B12" s="45" t="s">
        <v>54</v>
      </c>
      <c r="C12" s="45" t="s">
        <v>11</v>
      </c>
      <c r="D12" s="45" t="s">
        <v>87</v>
      </c>
      <c r="M12" s="45" t="s">
        <v>107</v>
      </c>
      <c r="N12" s="45" t="s">
        <v>108</v>
      </c>
      <c r="O12" s="45" t="s">
        <v>166</v>
      </c>
    </row>
    <row r="13" spans="1:15" ht="14.1" customHeight="1">
      <c r="B13" s="45" t="s">
        <v>4</v>
      </c>
      <c r="C13" s="45" t="s">
        <v>4</v>
      </c>
      <c r="D13" s="45" t="s">
        <v>56</v>
      </c>
      <c r="M13" s="45" t="s">
        <v>172</v>
      </c>
      <c r="N13" s="45" t="s">
        <v>178</v>
      </c>
      <c r="O13" s="45" t="s">
        <v>162</v>
      </c>
    </row>
    <row r="14" spans="1:15" ht="14.1" customHeight="1">
      <c r="B14" s="45" t="s">
        <v>119</v>
      </c>
      <c r="C14" s="45" t="s">
        <v>52</v>
      </c>
      <c r="D14" s="45" t="s">
        <v>124</v>
      </c>
      <c r="E14" s="45" t="s">
        <v>128</v>
      </c>
      <c r="M14" s="45" t="s">
        <v>158</v>
      </c>
      <c r="N14" s="45" t="s">
        <v>109</v>
      </c>
      <c r="O14" s="45" t="s">
        <v>110</v>
      </c>
    </row>
    <row r="15" spans="1:15" ht="14.1" customHeight="1">
      <c r="B15" s="45" t="s">
        <v>121</v>
      </c>
      <c r="C15" s="45" t="s">
        <v>122</v>
      </c>
      <c r="D15" s="45" t="s">
        <v>125</v>
      </c>
      <c r="E15" s="45" t="s">
        <v>129</v>
      </c>
      <c r="M15" s="45" t="s">
        <v>159</v>
      </c>
      <c r="N15" s="45" t="s">
        <v>111</v>
      </c>
      <c r="O15" s="45" t="s">
        <v>112</v>
      </c>
    </row>
    <row r="16" spans="1:15" ht="14.1" customHeight="1">
      <c r="B16" s="45" t="s">
        <v>120</v>
      </c>
      <c r="C16" s="45" t="s">
        <v>123</v>
      </c>
      <c r="D16" s="45" t="s">
        <v>126</v>
      </c>
      <c r="E16" s="45" t="s">
        <v>280</v>
      </c>
      <c r="M16" s="45" t="s">
        <v>157</v>
      </c>
      <c r="N16" s="45" t="s">
        <v>113</v>
      </c>
      <c r="O16" s="45" t="s">
        <v>114</v>
      </c>
    </row>
    <row r="17" spans="1:15" ht="14.1" customHeight="1">
      <c r="B17" s="45" t="s">
        <v>15</v>
      </c>
      <c r="C17" s="45" t="s">
        <v>15</v>
      </c>
      <c r="D17" s="45" t="s">
        <v>60</v>
      </c>
      <c r="M17" s="45" t="s">
        <v>156</v>
      </c>
      <c r="N17" s="45" t="s">
        <v>115</v>
      </c>
      <c r="O17" s="45" t="s">
        <v>116</v>
      </c>
    </row>
    <row r="18" spans="1:15" ht="14.1" customHeight="1">
      <c r="M18" s="45" t="s">
        <v>160</v>
      </c>
      <c r="N18" s="45" t="s">
        <v>117</v>
      </c>
      <c r="O18" s="45" t="s">
        <v>33</v>
      </c>
    </row>
    <row r="19" spans="1:15" ht="14.1" customHeight="1">
      <c r="M19" s="45" t="s">
        <v>155</v>
      </c>
      <c r="N19" s="45" t="s">
        <v>118</v>
      </c>
      <c r="O19" s="45" t="s">
        <v>168</v>
      </c>
    </row>
    <row r="20" spans="1:15" ht="14.1" customHeight="1">
      <c r="A20" s="41" t="s">
        <v>135</v>
      </c>
      <c r="B20" s="45" t="s">
        <v>71</v>
      </c>
      <c r="C20" s="45" t="s">
        <v>6</v>
      </c>
      <c r="D20" s="45" t="s">
        <v>55</v>
      </c>
      <c r="M20" s="45" t="s">
        <v>165</v>
      </c>
      <c r="N20" s="45" t="s">
        <v>127</v>
      </c>
      <c r="O20" s="45" t="s">
        <v>174</v>
      </c>
    </row>
    <row r="21" spans="1:15" ht="14.1" customHeight="1">
      <c r="B21" s="45" t="s">
        <v>72</v>
      </c>
      <c r="C21" s="45" t="s">
        <v>19</v>
      </c>
      <c r="D21" s="45" t="s">
        <v>73</v>
      </c>
    </row>
    <row r="22" spans="1:15" ht="14.1" customHeight="1">
      <c r="B22" s="45" t="s">
        <v>79</v>
      </c>
      <c r="C22" s="45" t="s">
        <v>81</v>
      </c>
      <c r="D22" s="45" t="s">
        <v>83</v>
      </c>
    </row>
    <row r="23" spans="1:15" ht="14.1" customHeight="1">
      <c r="B23" s="45" t="s">
        <v>80</v>
      </c>
      <c r="C23" s="45" t="s">
        <v>82</v>
      </c>
      <c r="D23" s="45" t="s">
        <v>84</v>
      </c>
    </row>
    <row r="24" spans="1:15" ht="14.1" customHeight="1">
      <c r="B24" s="45" t="s">
        <v>88</v>
      </c>
      <c r="C24" s="45" t="s">
        <v>90</v>
      </c>
      <c r="D24" s="45" t="s">
        <v>92</v>
      </c>
    </row>
    <row r="25" spans="1:15" ht="14.1" customHeight="1">
      <c r="B25" s="45" t="s">
        <v>89</v>
      </c>
      <c r="C25" s="45" t="s">
        <v>91</v>
      </c>
      <c r="D25" s="45" t="s">
        <v>93</v>
      </c>
    </row>
    <row r="26" spans="1:15" ht="14.1" customHeight="1">
      <c r="B26" s="45" t="s">
        <v>275</v>
      </c>
      <c r="C26" s="45" t="s">
        <v>130</v>
      </c>
      <c r="D26" s="45" t="s">
        <v>131</v>
      </c>
    </row>
    <row r="27" spans="1:15" ht="14.1" customHeight="1">
      <c r="C27" s="45" t="s">
        <v>132</v>
      </c>
      <c r="D27" s="45" t="s">
        <v>133</v>
      </c>
    </row>
    <row r="28" spans="1:15" ht="14.1" customHeight="1"/>
    <row r="29" spans="1:15" ht="14.1" customHeight="1"/>
    <row r="30" spans="1:15" ht="14.1" customHeight="1"/>
    <row r="31" spans="1:15" ht="14.1" customHeight="1">
      <c r="A31" s="41" t="s">
        <v>136</v>
      </c>
      <c r="B31" s="45" t="s">
        <v>16</v>
      </c>
      <c r="C31" s="45" t="s">
        <v>16</v>
      </c>
      <c r="D31" s="45" t="s">
        <v>61</v>
      </c>
    </row>
    <row r="32" spans="1:15" ht="14.1" customHeight="1">
      <c r="B32" s="45" t="s">
        <v>8</v>
      </c>
      <c r="C32" s="45" t="s">
        <v>8</v>
      </c>
      <c r="D32" s="45" t="s">
        <v>57</v>
      </c>
    </row>
    <row r="33" spans="1:5" ht="14.1" customHeight="1">
      <c r="B33" s="45" t="s">
        <v>94</v>
      </c>
      <c r="C33" s="45" t="s">
        <v>21</v>
      </c>
      <c r="D33" s="45" t="s">
        <v>98</v>
      </c>
      <c r="E33" s="45" t="s">
        <v>99</v>
      </c>
    </row>
    <row r="34" spans="1:5" ht="14.1" customHeight="1">
      <c r="B34" s="45" t="s">
        <v>95</v>
      </c>
      <c r="C34" s="45" t="s">
        <v>20</v>
      </c>
      <c r="D34" s="45" t="s">
        <v>97</v>
      </c>
      <c r="E34" s="45" t="s">
        <v>96</v>
      </c>
    </row>
    <row r="35" spans="1:5" ht="14.1" customHeight="1">
      <c r="B35" s="45" t="s">
        <v>9</v>
      </c>
      <c r="C35" s="45" t="s">
        <v>9</v>
      </c>
      <c r="D35" s="45" t="s">
        <v>58</v>
      </c>
    </row>
    <row r="36" spans="1:5" ht="14.1" customHeight="1">
      <c r="B36" s="45" t="s">
        <v>10</v>
      </c>
      <c r="C36" s="45" t="s">
        <v>10</v>
      </c>
      <c r="D36" s="45" t="s">
        <v>59</v>
      </c>
    </row>
    <row r="37" spans="1:5" ht="14.1" customHeight="1"/>
    <row r="38" spans="1:5" ht="14.1" customHeight="1">
      <c r="A38" s="41" t="s">
        <v>137</v>
      </c>
      <c r="B38" s="45" t="s">
        <v>85</v>
      </c>
      <c r="C38" s="45" t="s">
        <v>17</v>
      </c>
      <c r="D38" s="45" t="s">
        <v>86</v>
      </c>
    </row>
    <row r="41" spans="1:5" ht="18.899999999999999" customHeight="1">
      <c r="A41" s="44" t="s">
        <v>188</v>
      </c>
    </row>
    <row r="42" spans="1:5" ht="15.9" customHeight="1">
      <c r="A42" s="45" t="s">
        <v>208</v>
      </c>
    </row>
    <row r="43" spans="1:5" ht="15.9" customHeight="1">
      <c r="A43" s="45" t="s">
        <v>209</v>
      </c>
    </row>
    <row r="44" spans="1:5" ht="18.899999999999999" customHeight="1">
      <c r="A44" s="41"/>
    </row>
    <row r="45" spans="1:5" ht="18.899999999999999" customHeight="1">
      <c r="A45" s="44" t="s">
        <v>189</v>
      </c>
    </row>
    <row r="46" spans="1:5" ht="15.9" customHeight="1">
      <c r="A46" s="45" t="s">
        <v>180</v>
      </c>
    </row>
    <row r="47" spans="1:5" ht="15.9" customHeight="1">
      <c r="A47" s="45" t="s">
        <v>181</v>
      </c>
    </row>
    <row r="48" spans="1:5" ht="15.9" customHeight="1">
      <c r="A48" s="45" t="s">
        <v>182</v>
      </c>
    </row>
    <row r="49" spans="1:1" ht="15.9" customHeight="1">
      <c r="A49" s="45" t="s">
        <v>210</v>
      </c>
    </row>
    <row r="50" spans="1:1" ht="15.9" customHeight="1">
      <c r="A50" s="45" t="s">
        <v>211</v>
      </c>
    </row>
    <row r="51" spans="1:1" ht="15.9" customHeight="1"/>
    <row r="52" spans="1:1" ht="18.899999999999999" customHeight="1">
      <c r="A52" s="44" t="s">
        <v>190</v>
      </c>
    </row>
    <row r="53" spans="1:1" ht="15.9" customHeight="1">
      <c r="A53" s="45" t="s">
        <v>183</v>
      </c>
    </row>
    <row r="54" spans="1:1" ht="15.9" customHeight="1">
      <c r="A54" s="45" t="s">
        <v>184</v>
      </c>
    </row>
    <row r="55" spans="1:1" ht="15.9" customHeight="1">
      <c r="A55" s="45" t="s">
        <v>185</v>
      </c>
    </row>
    <row r="56" spans="1:1" ht="15.9" customHeight="1">
      <c r="A56" s="45" t="s">
        <v>186</v>
      </c>
    </row>
    <row r="57" spans="1:1" ht="15.9" customHeight="1">
      <c r="A57" s="45" t="s">
        <v>187</v>
      </c>
    </row>
    <row r="58" spans="1:1" ht="15.9" customHeight="1"/>
    <row r="59" spans="1:1" ht="18.899999999999999" customHeight="1">
      <c r="A59" s="44" t="s">
        <v>282</v>
      </c>
    </row>
    <row r="60" spans="1:1" ht="15.9" customHeight="1">
      <c r="A60" s="45" t="s">
        <v>213</v>
      </c>
    </row>
    <row r="61" spans="1:1" ht="15.9" customHeight="1">
      <c r="A61" s="45" t="s">
        <v>212</v>
      </c>
    </row>
    <row r="62" spans="1:1" ht="15.9" customHeight="1"/>
    <row r="63" spans="1:1" ht="15.9" customHeight="1">
      <c r="A63" s="45" t="s">
        <v>281</v>
      </c>
    </row>
    <row r="65" spans="1:1" ht="18.899999999999999" customHeight="1">
      <c r="A65" s="44" t="s">
        <v>216</v>
      </c>
    </row>
    <row r="66" spans="1:1" ht="15.9" customHeight="1">
      <c r="A66" s="45" t="s">
        <v>217</v>
      </c>
    </row>
    <row r="67" spans="1:1">
      <c r="A67" s="45" t="s">
        <v>218</v>
      </c>
    </row>
    <row r="69" spans="1:1" ht="18.899999999999999" customHeight="1">
      <c r="A69" s="44" t="s">
        <v>191</v>
      </c>
    </row>
    <row r="70" spans="1:1" ht="15.9" customHeight="1">
      <c r="A70" s="45" t="s">
        <v>202</v>
      </c>
    </row>
    <row r="71" spans="1:1" ht="15.9" customHeight="1"/>
    <row r="72" spans="1:1" ht="15.9" customHeight="1">
      <c r="A72" s="45" t="s">
        <v>192</v>
      </c>
    </row>
    <row r="73" spans="1:1" ht="15.9" customHeight="1">
      <c r="A73" s="45" t="s">
        <v>203</v>
      </c>
    </row>
    <row r="74" spans="1:1" ht="15.9" customHeight="1"/>
    <row r="75" spans="1:1" ht="15.9" customHeight="1">
      <c r="A75" s="45" t="s">
        <v>193</v>
      </c>
    </row>
    <row r="76" spans="1:1" ht="15.9" customHeight="1">
      <c r="A76" s="45" t="s">
        <v>194</v>
      </c>
    </row>
    <row r="77" spans="1:1" ht="15.9" customHeight="1">
      <c r="A77" s="45" t="s">
        <v>195</v>
      </c>
    </row>
    <row r="78" spans="1:1" ht="15.9" customHeight="1"/>
    <row r="79" spans="1:1" ht="15.9" customHeight="1">
      <c r="A79" s="45" t="s">
        <v>196</v>
      </c>
    </row>
    <row r="80" spans="1:1" ht="15.9" customHeight="1">
      <c r="A80" s="45" t="s">
        <v>197</v>
      </c>
    </row>
    <row r="81" spans="1:5" ht="15.9" customHeight="1">
      <c r="A81" s="45" t="s">
        <v>198</v>
      </c>
    </row>
    <row r="82" spans="1:5" ht="15.9" customHeight="1"/>
    <row r="83" spans="1:5" ht="15.9" customHeight="1">
      <c r="A83" s="45" t="s">
        <v>199</v>
      </c>
    </row>
    <row r="84" spans="1:5" ht="15.9" customHeight="1">
      <c r="A84" s="45" t="s">
        <v>200</v>
      </c>
    </row>
    <row r="85" spans="1:5" ht="15.9" customHeight="1">
      <c r="A85" s="45" t="s">
        <v>201</v>
      </c>
    </row>
    <row r="86" spans="1:5" ht="15.9" customHeight="1"/>
    <row r="87" spans="1:5" ht="18.899999999999999" customHeight="1">
      <c r="A87" s="44" t="s">
        <v>204</v>
      </c>
    </row>
    <row r="88" spans="1:5" ht="15.9" customHeight="1">
      <c r="A88" s="64" t="s">
        <v>287</v>
      </c>
      <c r="D88" s="62"/>
      <c r="E88" s="63"/>
    </row>
    <row r="89" spans="1:5" ht="15.9" customHeight="1">
      <c r="A89" s="65" t="s">
        <v>288</v>
      </c>
    </row>
    <row r="90" spans="1:5" ht="15.9" customHeight="1">
      <c r="A90" s="66"/>
    </row>
    <row r="91" spans="1:5" ht="15.9" customHeight="1">
      <c r="A91" s="66" t="s">
        <v>289</v>
      </c>
    </row>
    <row r="92" spans="1:5" ht="15.9" customHeight="1">
      <c r="A92" s="66" t="s">
        <v>290</v>
      </c>
      <c r="D92" s="61"/>
    </row>
    <row r="93" spans="1:5" ht="15.9" customHeight="1">
      <c r="A93" s="65" t="s">
        <v>291</v>
      </c>
    </row>
    <row r="94" spans="1:5" ht="15.9" customHeight="1">
      <c r="A94" s="66" t="s">
        <v>292</v>
      </c>
    </row>
    <row r="95" spans="1:5" ht="15.9" customHeight="1">
      <c r="A95" s="66" t="s">
        <v>293</v>
      </c>
    </row>
    <row r="96" spans="1:5" ht="15.9" customHeight="1">
      <c r="A96" s="64" t="s">
        <v>206</v>
      </c>
    </row>
    <row r="97" spans="1:1">
      <c r="A97" s="64" t="s">
        <v>205</v>
      </c>
    </row>
    <row r="98" spans="1:1">
      <c r="A98" s="64" t="s">
        <v>294</v>
      </c>
    </row>
    <row r="99" spans="1:1">
      <c r="A99" s="64" t="s">
        <v>205</v>
      </c>
    </row>
    <row r="100" spans="1:1">
      <c r="A100" s="65"/>
    </row>
    <row r="101" spans="1:1">
      <c r="A101" s="64" t="s">
        <v>295</v>
      </c>
    </row>
    <row r="102" spans="1:1">
      <c r="A102" s="64" t="s">
        <v>296</v>
      </c>
    </row>
    <row r="103" spans="1:1">
      <c r="A103" s="64" t="s">
        <v>214</v>
      </c>
    </row>
    <row r="104" spans="1:1">
      <c r="A104" s="64" t="s">
        <v>297</v>
      </c>
    </row>
  </sheetData>
  <hyperlinks>
    <hyperlink ref="A93" r:id="rId1"/>
  </hyperlinks>
  <pageMargins left="0.75" right="0.75" top="1" bottom="1" header="0.5" footer="0.5"/>
  <pageSetup orientation="portrait" horizontalDpi="4294967292" verticalDpi="4294967292"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Report</vt:lpstr>
      <vt:lpstr>Analysis precision</vt:lpstr>
      <vt:lpstr>Replicate filter precision</vt:lpstr>
      <vt:lpstr>Effective LOQ</vt:lpstr>
      <vt:lpstr>SS from clients</vt:lpstr>
      <vt:lpstr>information</vt:lpstr>
      <vt:lpstr>Eff LOQ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Thomas</dc:creator>
  <cp:lastModifiedBy>Taylor</cp:lastModifiedBy>
  <cp:lastPrinted>2019-04-01T17:07:20Z</cp:lastPrinted>
  <dcterms:created xsi:type="dcterms:W3CDTF">2003-07-28T19:31:27Z</dcterms:created>
  <dcterms:modified xsi:type="dcterms:W3CDTF">2020-05-07T17:56:20Z</dcterms:modified>
</cp:coreProperties>
</file>